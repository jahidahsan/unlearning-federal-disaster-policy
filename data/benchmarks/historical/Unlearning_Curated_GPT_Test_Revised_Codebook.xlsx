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59c2e449a24e96" /></Relationships>
</file>

<file path=xl/workbook.xml><?xml version="1.0" encoding="utf-8"?>
<x:workbook xmlns:x="http://schemas.openxmlformats.org/spreadsheetml/2006/main">
  <x:sheets>
    <x:sheet xmlns:r="http://schemas.openxmlformats.org/officeDocument/2006/relationships" name="GPT Test" sheetId="1" r:id="R65fc5fe2b495472a"/>
    <x:sheet xmlns:r="http://schemas.openxmlformats.org/officeDocument/2006/relationships" name="Codebook (revised)" sheetId="2" r:id="Ra8e6e9668eb24c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sz val="9"/>
      <x:color rgb="FF1F2937"/>
      <x:name val="Aptos"/>
    </x:font>
    <x:font>
      <x:b/>
      <x:sz val="10"/>
      <x:color rgb="FFFFFFFF"/>
      <x:name val="Aptos"/>
    </x:font>
    <x:font>
      <x:b/>
      <x:sz val="11"/>
      <x:color rgb="FFFFFFFF"/>
      <x:name val="Carlito"/>
    </x:font>
    <x:font>
      <x:sz val="9"/>
      <x:name val="Carlito"/>
    </x:font>
    <x:font>
      <x:b/>
      <x:sz val="9"/>
      <x:name val="Carlito"/>
    </x:font>
    <x:font>
      <x:b/>
      <x:sz val="10"/>
      <x:name val="Carlito"/>
    </x:font>
    <x:font>
      <x:b/>
      <x:sz val="11"/>
      <x:name val="Carlito"/>
    </x:font>
    <x:font>
      <x:b/>
      <x:sz val="10"/>
      <x:color rgb="FFFFFFFF"/>
      <x:name val="Carlito"/>
    </x:font>
    <x:font>
      <x:b/>
      <x:sz val="9"/>
      <x:color rgb="FFFFFFFF"/>
      <x:name val="Carlito"/>
    </x:font>
    <x:font>
      <x:sz val="8"/>
      <x:name val="Carlito"/>
    </x:font>
    <x:font>
      <x:sz val="9"/>
      <x:color rgb="FF222222"/>
      <x:name val="Aptos"/>
    </x:font>
    <x:font>
      <x:b/>
      <x:sz val="10"/>
      <x:color rgb="FF222222"/>
      <x:name val="Aptos"/>
    </x:font>
  </x:fonts>
  <x:fills count="1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AFC"/>
      </x:patternFill>
    </x:fill>
    <x:fill>
      <x:patternFill patternType="solid">
        <x:fgColor rgb="FFD9E1F2"/>
      </x:patternFill>
    </x:fill>
    <x:fill>
      <x:patternFill patternType="solid">
        <x:fgColor rgb="FF5B9BD5"/>
      </x:patternFill>
    </x:fill>
    <x:fill>
      <x:patternFill patternType="solid">
        <x:fgColor rgb="FFE7E6E6"/>
      </x:patternFill>
    </x:fill>
    <x:fill>
      <x:patternFill patternType="solid">
        <x:fgColor rgb="FFFFF200"/>
      </x:patternFill>
    </x:fill>
    <x:fill>
      <x:patternFill patternType="solid">
        <x:fgColor rgb="FFE2F0D9"/>
      </x:patternFill>
    </x:fill>
  </x:fills>
  <x:borders count="52">
    <x:border/>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right style="thin">
        <x:color rgb="FFB7C9D6"/>
      </x:right>
      <x:top style="thin">
        <x:color rgb="FFB7C9D6"/>
      </x:top>
    </x:border>
    <x:border>
      <x:left style="thin">
        <x:color rgb="FFB7C9D6"/>
      </x:left>
      <x:right style="thin">
        <x:color rgb="FFB7C9D6"/>
      </x:right>
    </x:border>
    <x:border>
      <x:left style="thin">
        <x:color rgb="FFB7C9D6"/>
      </x:left>
      <x:right style="thin">
        <x:color rgb="FFB7C9D6"/>
      </x:right>
      <x:bottom style="thin">
        <x:color rgb="FFB7C9D6"/>
      </x:bottom>
    </x:border>
    <x:border>
      <x:left style="thin">
        <x:color rgb="FFB7C9D6"/>
      </x:left>
      <x:right style="thin">
        <x:color rgb="FFB7C9D6"/>
      </x:right>
      <x:top style="thin">
        <x:color rgb="FFB7C9D6"/>
      </x:top>
    </x:border>
    <x:border>
      <x:left style="thin">
        <x:color rgb="FFB7C9D6"/>
      </x:left>
      <x:right style="thin">
        <x:color rgb="FFB7C9D6"/>
      </x:right>
    </x:border>
    <x:border>
      <x:left style="thin">
        <x:color rgb="FFB7C9D6"/>
      </x:left>
      <x:right style="thin">
        <x:color rgb="FFB7C9D6"/>
      </x:right>
      <x:bottom style="thin">
        <x:color rgb="FFB7C9D6"/>
      </x:bottom>
    </x:border>
    <x:border>
      <x:left style="thin">
        <x:color rgb="FF777777"/>
      </x:left>
      <x:top style="thin">
        <x:color rgb="FF777777"/>
      </x:top>
    </x:border>
    <x:border>
      <x:top style="thin">
        <x:color rgb="FF777777"/>
      </x:top>
    </x:border>
    <x:border>
      <x:right style="thin">
        <x:color rgb="FF777777"/>
      </x:right>
      <x:top style="thin">
        <x:color rgb="FF777777"/>
      </x:top>
    </x:border>
    <x:border>
      <x:left style="thin">
        <x:color rgb="FF777777"/>
      </x:left>
    </x:border>
    <x:border>
      <x:right style="thin">
        <x:color rgb="FF777777"/>
      </x:right>
    </x:border>
    <x:border>
      <x:left style="thin">
        <x:color rgb="FF777777"/>
      </x:left>
      <x:bottom style="thin">
        <x:color rgb="FF777777"/>
      </x:bottom>
    </x:border>
    <x:border>
      <x:bottom style="thin">
        <x:color rgb="FF777777"/>
      </x:bottom>
    </x:border>
    <x:border>
      <x:right style="thin">
        <x:color rgb="FF777777"/>
      </x:right>
      <x:bottom style="thin">
        <x:color rgb="FF777777"/>
      </x:bottom>
    </x:border>
    <x:border>
      <x:left style="thin">
        <x:color rgb="FF777777"/>
      </x:left>
      <x:top style="thin">
        <x:color rgb="FF777777"/>
      </x:top>
    </x:border>
    <x:border>
      <x:top style="thin">
        <x:color rgb="FF777777"/>
      </x:top>
    </x:border>
    <x:border>
      <x:right style="thin">
        <x:color rgb="FF777777"/>
      </x:right>
      <x:top style="thin">
        <x:color rgb="FF777777"/>
      </x:top>
    </x:border>
    <x:border>
      <x:left style="thin">
        <x:color rgb="FF777777"/>
      </x:left>
    </x:border>
    <x:border>
      <x:right style="thin">
        <x:color rgb="FF777777"/>
      </x:right>
    </x:border>
    <x:border>
      <x:left style="thin">
        <x:color rgb="FF777777"/>
      </x:left>
      <x:bottom style="thin">
        <x:color rgb="FF777777"/>
      </x:bottom>
    </x:border>
    <x:border>
      <x:bottom style="thin">
        <x:color rgb="FF777777"/>
      </x:bottom>
    </x:border>
    <x:border>
      <x:right style="thin">
        <x:color rgb="FF777777"/>
      </x:right>
      <x:bottom style="thin">
        <x:color rgb="FF777777"/>
      </x:bottom>
    </x:border>
    <x:border>
      <x:left style="thin">
        <x:color rgb="FF333333"/>
      </x:left>
      <x:top style="thin">
        <x:color rgb="FF333333"/>
      </x:top>
      <x:bottom style="thin">
        <x:color rgb="FF333333"/>
      </x:bottom>
    </x:border>
    <x:border>
      <x:top style="thin">
        <x:color rgb="FF333333"/>
      </x:top>
      <x:bottom style="thin">
        <x:color rgb="FF333333"/>
      </x:bottom>
    </x:border>
    <x:border>
      <x:right style="thin">
        <x:color rgb="FF333333"/>
      </x:right>
      <x:top style="thin">
        <x:color rgb="FF333333"/>
      </x:top>
      <x:bottom style="thin">
        <x:color rgb="FF333333"/>
      </x:bottom>
    </x:border>
    <x:border>
      <x:left style="thin">
        <x:color rgb="FF333333"/>
      </x:left>
      <x:top style="thin">
        <x:color rgb="FF333333"/>
      </x:top>
      <x:bottom style="thin">
        <x:color rgb="FF333333"/>
      </x:bottom>
    </x:border>
    <x:border>
      <x:top style="thin">
        <x:color rgb="FF333333"/>
      </x:top>
      <x:bottom style="thin">
        <x:color rgb="FF333333"/>
      </x:bottom>
    </x:border>
    <x:border>
      <x:right style="thin">
        <x:color rgb="FF333333"/>
      </x:right>
      <x:top style="thin">
        <x:color rgb="FF333333"/>
      </x:top>
      <x:bottom style="thin">
        <x:color rgb="FF333333"/>
      </x:bottom>
    </x:border>
  </x:borders>
  <x:cellStyleXfs count="1">
    <x:xf numFmtId="0" fontId="0" fillId="0" borderId="0"/>
  </x:cellStyleXfs>
  <x:cellXfs count="60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wrapText="1"/>
    </x:xf>
    <x:xf numFmtId="0" fontId="1" fillId="0" borderId="20" xfId="0" applyNumberFormat="1" applyFont="1" applyFill="1" applyBorder="1" applyAlignment="1">
      <x:alignment vertical="top" wrapText="1"/>
    </x:xf>
    <x:xf numFmtId="0" fontId="1" fillId="0" borderId="21" xfId="0" applyNumberFormat="1" applyFont="1" applyFill="1" applyBorder="1" applyAlignment="1">
      <x:alignment vertical="top" wrapText="1"/>
    </x:xf>
    <x:xf numFmtId="0" fontId="1" fillId="0" borderId="22" xfId="0" applyNumberFormat="1" applyFont="1" applyFill="1" applyBorder="1" applyAlignment="1">
      <x:alignment vertical="top" wrapText="1"/>
    </x:xf>
    <x:xf numFmtId="0" fontId="1" fillId="0" borderId="23" xfId="0" applyNumberFormat="1" applyFont="1" applyFill="1" applyBorder="1" applyAlignment="1">
      <x:alignment vertical="top" wrapText="1"/>
    </x:xf>
    <x:xf numFmtId="0" fontId="1" fillId="0" borderId="8" xfId="0" applyNumberFormat="1" applyFont="1" applyFill="1" applyBorder="1" applyAlignment="1">
      <x:alignment horizontal="center" vertical="top" wrapText="1"/>
    </x:xf>
    <x:xf numFmtId="0" fontId="1" fillId="0" borderId="11" xfId="0" applyNumberFormat="1" applyFont="1" applyFill="1" applyBorder="1" applyAlignment="1">
      <x:alignment horizontal="center" vertical="top" wrapText="1"/>
    </x:xf>
    <x:xf numFmtId="0" fontId="1" fillId="0" borderId="13" xfId="0" applyNumberFormat="1" applyFont="1" applyFill="1" applyBorder="1" applyAlignment="1">
      <x:alignment horizontal="center" vertical="top" wrapText="1"/>
    </x:xf>
    <x:xf numFmtId="0" fontId="1" fillId="0" borderId="16" xfId="0" applyNumberFormat="1" applyFont="1" applyFill="1" applyBorder="1" applyAlignment="1">
      <x:alignment horizontal="center" vertical="top" wrapText="1"/>
    </x:xf>
    <x:xf numFmtId="0" fontId="1" fillId="0" borderId="19" xfId="0" applyNumberFormat="1" applyFont="1" applyFill="1" applyBorder="1" applyAlignment="1">
      <x:alignment horizontal="center" vertical="top" wrapText="1"/>
    </x:xf>
    <x:xf numFmtId="0" fontId="1" fillId="0" borderId="21" xfId="0" applyNumberFormat="1" applyFont="1" applyFill="1" applyBorder="1" applyAlignment="1">
      <x:alignment horizontal="center" vertical="top" wrapText="1"/>
    </x:xf>
    <x:xf numFmtId="0" fontId="1" fillId="0" borderId="9"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0" borderId="14" xfId="0" applyNumberFormat="1" applyFont="1" applyFill="1" applyBorder="1" applyAlignment="1">
      <x:alignment horizontal="center" vertical="top" wrapText="1"/>
    </x:xf>
    <x:xf numFmtId="0" fontId="1" fillId="0" borderId="17"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1" fillId="0" borderId="22" xfId="0" applyNumberFormat="1" applyFont="1" applyFill="1" applyBorder="1" applyAlignment="1">
      <x:alignment horizontal="center" vertical="top" wrapText="1"/>
    </x:xf>
    <x:xf numFmtId="200" fontId="1" fillId="0" borderId="9"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0" fontId="1" fillId="0" borderId="14" xfId="0" applyNumberFormat="1" applyFont="1" applyFill="1" applyBorder="1" applyAlignment="1">
      <x:alignment horizontal="center" vertical="top" wrapText="1"/>
    </x:xf>
    <x:xf numFmtId="200" fontId="1" fillId="0" borderId="17" xfId="0" applyNumberFormat="1" applyFont="1" applyFill="1" applyBorder="1" applyAlignment="1">
      <x:alignment horizontal="center" vertical="top" wrapText="1"/>
    </x:xf>
    <x:xf numFmtId="200" fontId="1" fillId="0" borderId="1" xfId="0" applyNumberFormat="1" applyFont="1" applyFill="1" applyBorder="1" applyAlignment="1">
      <x:alignment horizontal="center" vertical="top" wrapText="1"/>
    </x:xf>
    <x:xf numFmtId="200" fontId="1" fillId="0" borderId="22" xfId="0" applyNumberFormat="1" applyFont="1" applyFill="1" applyBorder="1" applyAlignment="1">
      <x:alignment horizontal="center" vertical="top" wrapText="1"/>
    </x:xf>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4"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0" fillId="2" borderId="1" xfId="0" applyNumberFormat="1" applyFont="1" applyFill="1" applyBorder="1"/>
    <x:xf numFmtId="0" fontId="3" fillId="2" borderId="1" xfId="0" applyNumberFormat="1" applyFont="1" applyFill="1" applyBorder="1"/>
    <x:xf numFmtId="0" fontId="3" fillId="2" borderId="5"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3" fillId="2" borderId="5" xfId="0" applyNumberFormat="1" applyFont="1" applyFill="1" applyBorder="1" applyAlignment="1">
      <x:alignment horizontal="center"/>
    </x:xf>
    <x:xf numFmtId="0" fontId="3" fillId="2" borderId="6" xfId="0" applyNumberFormat="1" applyFont="1" applyFill="1" applyBorder="1" applyAlignment="1">
      <x:alignment horizontal="center"/>
    </x:xf>
    <x:xf numFmtId="0" fontId="3" fillId="2" borderId="7" xfId="0" applyNumberFormat="1" applyFont="1" applyFill="1" applyBorder="1" applyAlignment="1">
      <x:alignment horizont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x:xf>
    <x:xf numFmtId="0" fontId="4" fillId="0" borderId="0"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8" xfId="0" applyNumberFormat="1" applyFont="1" applyFill="1" applyBorder="1"/>
    <x:xf numFmtId="0" fontId="4" fillId="0" borderId="19" xfId="0" applyNumberFormat="1" applyFont="1" applyFill="1" applyBorder="1"/>
    <x:xf numFmtId="0" fontId="4" fillId="0" borderId="20" xfId="0" applyNumberFormat="1" applyFont="1" applyFill="1" applyBorder="1"/>
    <x:xf numFmtId="0" fontId="4" fillId="0" borderId="21" xfId="0" applyNumberFormat="1" applyFont="1" applyFill="1" applyBorder="1"/>
    <x:xf numFmtId="0" fontId="4" fillId="0" borderId="22" xfId="0" applyNumberFormat="1" applyFont="1" applyFill="1" applyBorder="1"/>
    <x:xf numFmtId="0" fontId="4" fillId="0" borderId="23" xfId="0" applyNumberFormat="1" applyFont="1" applyFill="1" applyBorder="1"/>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0"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22"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11" xfId="0" applyNumberFormat="1" applyFont="1" applyFill="1" applyBorder="1" applyAlignment="1">
      <x:alignment vertical="top" wrapText="1"/>
    </x:xf>
    <x:xf numFmtId="0" fontId="4" fillId="3" borderId="13"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5" fillId="3" borderId="24" xfId="0" applyNumberFormat="1" applyFont="1" applyFill="1" applyBorder="1" applyAlignment="1">
      <x:alignment vertical="top" wrapText="1"/>
    </x:xf>
    <x:xf numFmtId="0" fontId="5" fillId="3" borderId="25" xfId="0" applyNumberFormat="1" applyFont="1" applyFill="1" applyBorder="1" applyAlignment="1">
      <x:alignment vertical="top" wrapText="1"/>
    </x:xf>
    <x:xf numFmtId="0" fontId="5" fillId="3" borderId="26" xfId="0" applyNumberFormat="1" applyFont="1" applyFill="1" applyBorder="1" applyAlignment="1">
      <x:alignment vertical="top" wrapText="1"/>
    </x:xf>
    <x:xf numFmtId="0" fontId="4" fillId="3" borderId="16" xfId="0" applyNumberFormat="1" applyFont="1" applyFill="1" applyBorder="1" applyAlignment="1">
      <x:alignment vertical="top" wrapText="1"/>
    </x:xf>
    <x:xf numFmtId="0" fontId="4" fillId="3" borderId="19" xfId="0" applyNumberFormat="1" applyFont="1" applyFill="1" applyBorder="1" applyAlignment="1">
      <x:alignment vertical="top" wrapText="1"/>
    </x:xf>
    <x:xf numFmtId="0" fontId="4" fillId="3" borderId="21" xfId="0" applyNumberFormat="1" applyFont="1" applyFill="1" applyBorder="1" applyAlignment="1">
      <x:alignment vertical="top" wrapText="1"/>
    </x:xf>
    <x:xf numFmtId="0" fontId="5" fillId="3" borderId="16" xfId="0" applyNumberFormat="1" applyFont="1" applyFill="1" applyBorder="1" applyAlignment="1">
      <x:alignment vertical="top" wrapText="1"/>
    </x:xf>
    <x:xf numFmtId="0" fontId="5" fillId="3" borderId="19" xfId="0" applyNumberFormat="1" applyFont="1" applyFill="1" applyBorder="1" applyAlignment="1">
      <x:alignment vertical="top" wrapText="1"/>
    </x:xf>
    <x:xf numFmtId="0" fontId="5" fillId="3" borderId="21" xfId="0" applyNumberFormat="1" applyFont="1" applyFill="1" applyBorder="1" applyAlignment="1">
      <x:alignment vertical="top" wrapText="1"/>
    </x:xf>
    <x:xf numFmtId="0" fontId="5" fillId="3" borderId="27" xfId="0" applyNumberFormat="1" applyFont="1" applyFill="1" applyBorder="1" applyAlignment="1">
      <x:alignment vertical="top" wrapText="1"/>
    </x:xf>
    <x:xf numFmtId="0" fontId="5" fillId="3" borderId="28" xfId="0" applyNumberFormat="1" applyFont="1" applyFill="1" applyBorder="1" applyAlignment="1">
      <x:alignment vertical="top" wrapText="1"/>
    </x:xf>
    <x:xf numFmtId="0" fontId="5" fillId="3" borderId="29"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4" xfId="0" applyNumberFormat="1" applyFont="1" applyFill="1" applyBorder="1" applyAlignment="1">
      <x:alignment horizontal="center" vertical="top" wrapText="1"/>
    </x:xf>
    <x:xf numFmtId="0" fontId="6" fillId="0" borderId="25" xfId="0" applyNumberFormat="1" applyFont="1" applyFill="1" applyBorder="1" applyAlignment="1">
      <x:alignment horizontal="center" vertical="top" wrapText="1"/>
    </x:xf>
    <x:xf numFmtId="0" fontId="6" fillId="0" borderId="26" xfId="0" applyNumberFormat="1" applyFont="1" applyFill="1" applyBorder="1" applyAlignment="1">
      <x:alignment horizontal="center" vertical="top" wrapText="1"/>
    </x:xf>
    <x:xf numFmtId="0" fontId="6" fillId="0" borderId="17"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0" borderId="29" xfId="0" applyNumberFormat="1" applyFont="1" applyFill="1" applyBorder="1" applyAlignment="1">
      <x:alignment vertical="top" wrapText="1"/>
    </x:xf>
    <x:xf numFmtId="0" fontId="6" fillId="0" borderId="27" xfId="0" applyNumberFormat="1" applyFont="1" applyFill="1" applyBorder="1" applyAlignment="1">
      <x:alignment horizontal="center" vertical="top" wrapText="1"/>
    </x:xf>
    <x:xf numFmtId="0" fontId="6" fillId="0" borderId="28" xfId="0" applyNumberFormat="1" applyFont="1" applyFill="1" applyBorder="1" applyAlignment="1">
      <x:alignment horizontal="center" vertical="top" wrapText="1"/>
    </x:xf>
    <x:xf numFmtId="0" fontId="6" fillId="0" borderId="29" xfId="0" applyNumberFormat="1" applyFont="1" applyFill="1" applyBorder="1" applyAlignment="1">
      <x:alignment horizontal="center" vertical="top" wrapText="1"/>
    </x:xf>
    <x:xf numFmtId="0" fontId="0" fillId="3" borderId="0" xfId="0" applyNumberFormat="1" applyFont="1" applyFill="1" applyBorder="1"/>
    <x:xf numFmtId="0" fontId="7" fillId="3" borderId="0" xfId="0" applyNumberFormat="1" applyFont="1" applyFill="1" applyBorder="1"/>
    <x:xf numFmtId="0" fontId="7" fillId="3" borderId="24" xfId="0" applyNumberFormat="1" applyFont="1" applyFill="1" applyBorder="1"/>
    <x:xf numFmtId="0" fontId="7" fillId="3" borderId="25" xfId="0" applyNumberFormat="1" applyFont="1" applyFill="1" applyBorder="1"/>
    <x:xf numFmtId="0" fontId="7" fillId="3" borderId="26" xfId="0" applyNumberFormat="1" applyFont="1" applyFill="1" applyBorder="1"/>
    <x:xf numFmtId="0" fontId="7" fillId="3" borderId="24" xfId="0" applyNumberFormat="1" applyFont="1" applyFill="1" applyBorder="1" applyAlignment="1">
      <x:alignment vertical="top"/>
    </x:xf>
    <x:xf numFmtId="0" fontId="7" fillId="3" borderId="25" xfId="0" applyNumberFormat="1" applyFont="1" applyFill="1" applyBorder="1" applyAlignment="1">
      <x:alignment vertical="top"/>
    </x:xf>
    <x:xf numFmtId="0" fontId="7" fillId="3" borderId="26" xfId="0" applyNumberFormat="1" applyFont="1" applyFill="1" applyBorder="1" applyAlignment="1">
      <x:alignment vertical="top"/>
    </x:xf>
    <x:xf numFmtId="0" fontId="0" fillId="3" borderId="1" xfId="0" applyNumberFormat="1" applyFont="1" applyFill="1" applyBorder="1"/>
    <x:xf numFmtId="0" fontId="7" fillId="3" borderId="1" xfId="0" applyNumberFormat="1" applyFont="1" applyFill="1" applyBorder="1"/>
    <x:xf numFmtId="0" fontId="7" fillId="3" borderId="27" xfId="0" applyNumberFormat="1" applyFont="1" applyFill="1" applyBorder="1"/>
    <x:xf numFmtId="0" fontId="7" fillId="3" borderId="28" xfId="0" applyNumberFormat="1" applyFont="1" applyFill="1" applyBorder="1"/>
    <x:xf numFmtId="0" fontId="7" fillId="3" borderId="29" xfId="0" applyNumberFormat="1" applyFont="1" applyFill="1" applyBorder="1"/>
    <x:xf numFmtId="0" fontId="7" fillId="3" borderId="27" xfId="0" applyNumberFormat="1" applyFont="1" applyFill="1" applyBorder="1" applyAlignment="1">
      <x:alignment vertical="top"/>
    </x:xf>
    <x:xf numFmtId="0" fontId="7" fillId="3" borderId="28" xfId="0" applyNumberFormat="1" applyFont="1" applyFill="1" applyBorder="1" applyAlignment="1">
      <x:alignment vertical="top"/>
    </x:xf>
    <x:xf numFmtId="0" fontId="7" fillId="3" borderId="29" xfId="0" applyNumberFormat="1" applyFont="1" applyFill="1" applyBorder="1" applyAlignment="1">
      <x:alignment vertical="top"/>
    </x:xf>
    <x:xf numFmtId="0" fontId="0" fillId="4" borderId="0"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0" fillId="4" borderId="14" xfId="0" applyNumberFormat="1" applyFont="1" applyFill="1" applyBorder="1"/>
    <x:xf numFmtId="0" fontId="0" fillId="4" borderId="15" xfId="0" applyNumberFormat="1" applyFont="1" applyFill="1" applyBorder="1"/>
    <x:xf numFmtId="0" fontId="0" fillId="4" borderId="8" xfId="0" applyNumberFormat="1" applyFont="1" applyFill="1" applyBorder="1" applyAlignment="1">
      <x:alignment wrapText="1"/>
    </x:xf>
    <x:xf numFmtId="0" fontId="0" fillId="4" borderId="9" xfId="0" applyNumberFormat="1" applyFont="1" applyFill="1" applyBorder="1" applyAlignment="1">
      <x:alignment wrapText="1"/>
    </x:xf>
    <x:xf numFmtId="0" fontId="0" fillId="4" borderId="10" xfId="0" applyNumberFormat="1" applyFont="1" applyFill="1" applyBorder="1" applyAlignment="1">
      <x:alignment wrapText="1"/>
    </x:xf>
    <x:xf numFmtId="0" fontId="0" fillId="4" borderId="1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2" xfId="0" applyNumberFormat="1" applyFont="1" applyFill="1" applyBorder="1" applyAlignment="1">
      <x:alignment wrapText="1"/>
    </x:xf>
    <x:xf numFmtId="0" fontId="0" fillId="4" borderId="13" xfId="0" applyNumberFormat="1" applyFont="1" applyFill="1" applyBorder="1" applyAlignment="1">
      <x:alignment wrapText="1"/>
    </x:xf>
    <x:xf numFmtId="0" fontId="0" fillId="4" borderId="14" xfId="0" applyNumberFormat="1" applyFont="1" applyFill="1" applyBorder="1" applyAlignment="1">
      <x:alignment wrapText="1"/>
    </x:xf>
    <x:xf numFmtId="0" fontId="0" fillId="4" borderId="15" xfId="0" applyNumberFormat="1" applyFont="1" applyFill="1" applyBorder="1" applyAlignment="1">
      <x:alignment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4" borderId="1" xfId="0" applyNumberFormat="1" applyFont="1" applyFill="1" applyBorder="1"/>
    <x:xf numFmtId="0" fontId="0" fillId="4" borderId="16" xfId="0" applyNumberFormat="1" applyFont="1" applyFill="1" applyBorder="1"/>
    <x:xf numFmtId="0" fontId="0" fillId="4" borderId="17" xfId="0" applyNumberFormat="1" applyFont="1" applyFill="1" applyBorder="1"/>
    <x:xf numFmtId="0" fontId="0" fillId="4" borderId="18" xfId="0" applyNumberFormat="1" applyFont="1" applyFill="1" applyBorder="1"/>
    <x:xf numFmtId="0" fontId="0" fillId="4" borderId="19" xfId="0" applyNumberFormat="1" applyFont="1" applyFill="1" applyBorder="1"/>
    <x:xf numFmtId="0" fontId="0" fillId="4" borderId="20" xfId="0" applyNumberFormat="1" applyFont="1" applyFill="1" applyBorder="1"/>
    <x:xf numFmtId="0" fontId="0" fillId="4" borderId="21" xfId="0" applyNumberFormat="1" applyFont="1" applyFill="1" applyBorder="1"/>
    <x:xf numFmtId="0" fontId="0" fillId="4" borderId="22" xfId="0" applyNumberFormat="1" applyFont="1" applyFill="1" applyBorder="1"/>
    <x:xf numFmtId="0" fontId="0" fillId="4" borderId="23" xfId="0" applyNumberFormat="1" applyFont="1" applyFill="1" applyBorder="1"/>
    <x:xf numFmtId="0" fontId="0" fillId="4" borderId="16" xfId="0" applyNumberFormat="1" applyFont="1" applyFill="1" applyBorder="1" applyAlignment="1">
      <x:alignment wrapText="1"/>
    </x:xf>
    <x:xf numFmtId="0" fontId="0" fillId="4" borderId="17" xfId="0" applyNumberFormat="1" applyFont="1" applyFill="1" applyBorder="1" applyAlignment="1">
      <x:alignment wrapText="1"/>
    </x:xf>
    <x:xf numFmtId="0" fontId="0" fillId="4" borderId="18" xfId="0" applyNumberFormat="1" applyFont="1" applyFill="1" applyBorder="1" applyAlignment="1">
      <x:alignment wrapText="1"/>
    </x:xf>
    <x:xf numFmtId="0" fontId="0" fillId="4" borderId="19"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20" xfId="0" applyNumberFormat="1" applyFont="1" applyFill="1" applyBorder="1" applyAlignment="1">
      <x:alignment wrapText="1"/>
    </x:xf>
    <x:xf numFmtId="0" fontId="0" fillId="4" borderId="21" xfId="0" applyNumberFormat="1" applyFont="1" applyFill="1" applyBorder="1" applyAlignment="1">
      <x:alignment wrapText="1"/>
    </x:xf>
    <x:xf numFmtId="0" fontId="0" fillId="4" borderId="22" xfId="0" applyNumberFormat="1" applyFont="1" applyFill="1" applyBorder="1" applyAlignment="1">
      <x:alignment wrapText="1"/>
    </x:xf>
    <x:xf numFmtId="0" fontId="0" fillId="4" borderId="23" xfId="0" applyNumberFormat="1" applyFont="1" applyFill="1" applyBorder="1" applyAlignment="1">
      <x:alignment wrapText="1"/>
    </x:xf>
    <x:xf numFmtId="0" fontId="0" fillId="4" borderId="16"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0" fillId="4" borderId="18" xfId="0" applyNumberFormat="1" applyFont="1" applyFill="1" applyBorder="1" applyAlignment="1">
      <x:alignment vertical="top" wrapText="1"/>
    </x:xf>
    <x:xf numFmtId="0" fontId="0" fillId="4" borderId="19"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0" fillId="4" borderId="21" xfId="0" applyNumberFormat="1" applyFont="1" applyFill="1" applyBorder="1" applyAlignment="1">
      <x:alignment vertical="top" wrapText="1"/>
    </x:xf>
    <x:xf numFmtId="0" fontId="0" fillId="4" borderId="22" xfId="0" applyNumberFormat="1" applyFont="1" applyFill="1" applyBorder="1" applyAlignment="1">
      <x:alignment vertical="top" wrapText="1"/>
    </x:xf>
    <x:xf numFmtId="0" fontId="0" fillId="4" borderId="23"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2" xfId="0" applyNumberFormat="1" applyFont="1" applyFill="1" applyBorder="1" applyAlignment="1">
      <x:alignment wrapText="1"/>
    </x:xf>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2" xfId="0" applyNumberFormat="1" applyFont="1" applyFill="1" applyBorder="1" applyAlignment="1">
      <x:alignment horizontal="center" wrapText="1"/>
    </x:xf>
    <x:xf numFmtId="0" fontId="7" fillId="5" borderId="3" xfId="0" applyNumberFormat="1" applyFont="1" applyFill="1" applyBorder="1" applyAlignment="1">
      <x:alignment horizontal="center" wrapText="1"/>
    </x:xf>
    <x:xf numFmtId="0" fontId="7" fillId="5" borderId="4" xfId="0" applyNumberFormat="1" applyFont="1" applyFill="1" applyBorder="1" applyAlignment="1">
      <x:alignment horizontal="center" wrapText="1"/>
    </x:xf>
    <x:xf numFmtId="0" fontId="0" fillId="5" borderId="1" xfId="0" applyNumberFormat="1" applyFont="1" applyFill="1" applyBorder="1"/>
    <x:xf numFmtId="0" fontId="7" fillId="5" borderId="1"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5" xfId="0" applyNumberFormat="1" applyFont="1" applyFill="1" applyBorder="1" applyAlignment="1">
      <x:alignment horizontal="center" wrapText="1"/>
    </x:xf>
    <x:xf numFmtId="0" fontId="7" fillId="5" borderId="6" xfId="0" applyNumberFormat="1" applyFont="1" applyFill="1" applyBorder="1" applyAlignment="1">
      <x:alignment horizontal="center" wrapText="1"/>
    </x:xf>
    <x:xf numFmtId="0" fontId="7" fillId="5" borderId="7" xfId="0" applyNumberFormat="1" applyFont="1" applyFill="1" applyBorder="1" applyAlignment="1">
      <x:alignment horizont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14" xfId="0" applyNumberFormat="1" applyFont="1" applyFill="1" applyBorder="1" applyAlignment="1">
      <x:alignment horizontal="center"/>
    </x:xf>
    <x:xf numFmtId="0" fontId="0" fillId="0" borderId="15" xfId="0" applyNumberFormat="1" applyFont="1" applyFill="1" applyBorder="1" applyAlignment="1">
      <x:alignment horizontal="center"/>
    </x:xf>
    <x:xf numFmtId="0" fontId="0" fillId="0" borderId="8" xfId="0" applyNumberFormat="1" applyFont="1" applyFill="1" applyBorder="1" applyAlignment="1">
      <x:alignment horizontal="center" vertical="center"/>
    </x:xf>
    <x:xf numFmtId="0" fontId="0" fillId="0" borderId="9" xfId="0" applyNumberFormat="1" applyFont="1" applyFill="1" applyBorder="1" applyAlignment="1">
      <x:alignment horizontal="center" vertical="center"/>
    </x:xf>
    <x:xf numFmtId="0" fontId="0" fillId="0" borderId="10" xfId="0" applyNumberFormat="1" applyFont="1" applyFill="1" applyBorder="1" applyAlignment="1">
      <x:alignment horizontal="center" vertical="center"/>
    </x:xf>
    <x:xf numFmtId="0" fontId="0" fillId="0" borderId="11"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x:xf>
    <x:xf numFmtId="0" fontId="0" fillId="0" borderId="12" xfId="0" applyNumberFormat="1" applyFont="1" applyFill="1" applyBorder="1" applyAlignment="1">
      <x:alignment horizontal="center" vertical="center"/>
    </x:xf>
    <x:xf numFmtId="0" fontId="0" fillId="0" borderId="13" xfId="0" applyNumberFormat="1" applyFont="1" applyFill="1" applyBorder="1" applyAlignment="1">
      <x:alignment horizontal="center" vertical="center"/>
    </x:xf>
    <x:xf numFmtId="0" fontId="0" fillId="0" borderId="14" xfId="0" applyNumberFormat="1" applyFont="1" applyFill="1" applyBorder="1" applyAlignment="1">
      <x:alignment horizontal="center" vertical="center"/>
    </x:xf>
    <x:xf numFmtId="0" fontId="0" fillId="0" borderId="15" xfId="0" applyNumberFormat="1" applyFont="1" applyFill="1" applyBorder="1" applyAlignment="1">
      <x:alignment horizontal="center" vertical="center"/>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horizontal="center"/>
    </x:xf>
    <x:xf numFmtId="0" fontId="0" fillId="0" borderId="17"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20" xfId="0" applyNumberFormat="1" applyFont="1" applyFill="1" applyBorder="1" applyAlignment="1">
      <x:alignment horizontal="center"/>
    </x:xf>
    <x:xf numFmtId="0" fontId="0" fillId="0" borderId="21"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0" borderId="23" xfId="0" applyNumberFormat="1" applyFont="1" applyFill="1" applyBorder="1" applyAlignment="1">
      <x:alignment horizontal="center"/>
    </x:xf>
    <x:xf numFmtId="0" fontId="0" fillId="0" borderId="16" xfId="0" applyNumberFormat="1" applyFont="1" applyFill="1" applyBorder="1" applyAlignment="1">
      <x:alignment horizontal="center" vertical="center"/>
    </x:xf>
    <x:xf numFmtId="0" fontId="0" fillId="0" borderId="17" xfId="0" applyNumberFormat="1" applyFont="1" applyFill="1" applyBorder="1" applyAlignment="1">
      <x:alignment horizontal="center" vertical="center"/>
    </x:xf>
    <x:xf numFmtId="0" fontId="0" fillId="0" borderId="18" xfId="0" applyNumberFormat="1" applyFont="1" applyFill="1" applyBorder="1" applyAlignment="1">
      <x:alignment horizontal="center" vertical="center"/>
    </x:xf>
    <x:xf numFmtId="0" fontId="0" fillId="0" borderId="19"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0" fontId="0" fillId="0" borderId="20" xfId="0" applyNumberFormat="1" applyFont="1" applyFill="1" applyBorder="1" applyAlignment="1">
      <x:alignment horizontal="center" vertical="center"/>
    </x:xf>
    <x:xf numFmtId="0" fontId="0" fillId="0" borderId="21" xfId="0" applyNumberFormat="1" applyFont="1" applyFill="1" applyBorder="1" applyAlignment="1">
      <x:alignment horizontal="center" vertical="center"/>
    </x:xf>
    <x:xf numFmtId="0" fontId="0" fillId="0" borderId="22" xfId="0" applyNumberFormat="1" applyFont="1" applyFill="1" applyBorder="1" applyAlignment="1">
      <x:alignment horizontal="center" vertical="center"/>
    </x:xf>
    <x:xf numFmtId="0" fontId="0" fillId="0" borderId="23" xfId="0" applyNumberFormat="1" applyFont="1" applyFill="1" applyBorder="1" applyAlignment="1">
      <x:alignment horizontal="center" vertical="center"/>
    </x:xf>
    <x:xf numFmtId="0" fontId="8" fillId="2" borderId="0" xfId="0" applyNumberFormat="1" applyFont="1" applyFill="1" applyBorder="1"/>
    <x:xf numFmtId="0" fontId="8" fillId="2" borderId="2" xfId="0" applyNumberFormat="1" applyFont="1" applyFill="1" applyBorder="1"/>
    <x:xf numFmtId="0" fontId="8" fillId="2" borderId="3" xfId="0" applyNumberFormat="1" applyFont="1" applyFill="1" applyBorder="1"/>
    <x:xf numFmtId="0" fontId="8" fillId="2" borderId="4" xfId="0" applyNumberFormat="1" applyFont="1" applyFill="1" applyBorder="1"/>
    <x:xf numFmtId="0" fontId="8" fillId="2" borderId="2" xfId="0" applyNumberFormat="1" applyFont="1" applyFill="1" applyBorder="1" applyAlignment="1">
      <x:alignment horizontal="center"/>
    </x:xf>
    <x:xf numFmtId="0" fontId="8" fillId="2" borderId="3" xfId="0" applyNumberFormat="1" applyFont="1" applyFill="1" applyBorder="1" applyAlignment="1">
      <x:alignment horizontal="center"/>
    </x:xf>
    <x:xf numFmtId="0" fontId="8" fillId="2" borderId="4" xfId="0" applyNumberFormat="1" applyFont="1" applyFill="1" applyBorder="1" applyAlignment="1">
      <x:alignment horizontal="center"/>
    </x:xf>
    <x:xf numFmtId="0" fontId="8" fillId="2" borderId="2" xfId="0" applyNumberFormat="1" applyFont="1" applyFill="1" applyBorder="1" applyAlignment="1">
      <x:alignment horizontal="center" vertical="center"/>
    </x:xf>
    <x:xf numFmtId="0" fontId="8" fillId="2" borderId="3" xfId="0" applyNumberFormat="1" applyFont="1" applyFill="1" applyBorder="1" applyAlignment="1">
      <x:alignment horizontal="center" vertical="center"/>
    </x:xf>
    <x:xf numFmtId="0" fontId="8" fillId="2" borderId="4" xfId="0" applyNumberFormat="1" applyFont="1" applyFill="1" applyBorder="1" applyAlignment="1">
      <x:alignment horizontal="center" vertical="center"/>
    </x:xf>
    <x:xf numFmtId="0" fontId="8" fillId="2" borderId="1" xfId="0" applyNumberFormat="1" applyFont="1" applyFill="1" applyBorder="1"/>
    <x:xf numFmtId="0" fontId="8" fillId="2" borderId="5" xfId="0" applyNumberFormat="1" applyFont="1" applyFill="1" applyBorder="1"/>
    <x:xf numFmtId="0" fontId="8" fillId="2" borderId="6" xfId="0" applyNumberFormat="1" applyFont="1" applyFill="1" applyBorder="1"/>
    <x:xf numFmtId="0" fontId="8" fillId="2" borderId="7" xfId="0" applyNumberFormat="1" applyFont="1" applyFill="1" applyBorder="1"/>
    <x:xf numFmtId="0" fontId="8" fillId="2" borderId="5" xfId="0" applyNumberFormat="1" applyFont="1" applyFill="1" applyBorder="1" applyAlignment="1">
      <x:alignment horizontal="center"/>
    </x:xf>
    <x:xf numFmtId="0" fontId="8" fillId="2" borderId="6" xfId="0" applyNumberFormat="1" applyFont="1" applyFill="1" applyBorder="1" applyAlignment="1">
      <x:alignment horizontal="center"/>
    </x:xf>
    <x:xf numFmtId="0" fontId="8" fillId="2" borderId="7" xfId="0" applyNumberFormat="1" applyFont="1" applyFill="1" applyBorder="1" applyAlignment="1">
      <x:alignment horizontal="center"/>
    </x:xf>
    <x:xf numFmtId="0" fontId="8" fillId="2" borderId="5" xfId="0" applyNumberFormat="1" applyFont="1" applyFill="1" applyBorder="1" applyAlignment="1">
      <x:alignment horizontal="center" vertical="center"/>
    </x:xf>
    <x:xf numFmtId="0" fontId="8" fillId="2" borderId="6" xfId="0" applyNumberFormat="1" applyFont="1" applyFill="1" applyBorder="1" applyAlignment="1">
      <x:alignment horizontal="center" vertical="center"/>
    </x:xf>
    <x:xf numFmtId="0" fontId="8" fillId="2" borderId="7" xfId="0" applyNumberFormat="1" applyFont="1" applyFill="1" applyBorder="1" applyAlignment="1">
      <x:alignment horizontal="center" vertical="center"/>
    </x:xf>
    <x:xf numFmtId="0" fontId="0" fillId="6" borderId="0" xfId="0" applyNumberFormat="1" applyFont="1" applyFill="1" applyBorder="1"/>
    <x:xf numFmtId="0" fontId="9" fillId="6" borderId="0" xfId="0" applyNumberFormat="1" applyFont="1" applyFill="1" applyBorder="1"/>
    <x:xf numFmtId="0" fontId="9" fillId="6" borderId="2" xfId="0" applyNumberFormat="1" applyFont="1" applyFill="1" applyBorder="1"/>
    <x:xf numFmtId="0" fontId="9" fillId="6" borderId="3" xfId="0" applyNumberFormat="1" applyFont="1" applyFill="1" applyBorder="1"/>
    <x:xf numFmtId="0" fontId="9" fillId="6" borderId="4" xfId="0" applyNumberFormat="1" applyFont="1" applyFill="1" applyBorder="1"/>
    <x:xf numFmtId="0" fontId="9" fillId="6" borderId="2" xfId="0" applyNumberFormat="1" applyFont="1" applyFill="1" applyBorder="1" applyAlignment="1">
      <x:alignment wrapText="1"/>
    </x:xf>
    <x:xf numFmtId="0" fontId="9" fillId="6" borderId="3" xfId="0" applyNumberFormat="1" applyFont="1" applyFill="1" applyBorder="1" applyAlignment="1">
      <x:alignment wrapText="1"/>
    </x:xf>
    <x:xf numFmtId="0" fontId="9" fillId="6" borderId="4" xfId="0" applyNumberFormat="1" applyFont="1" applyFill="1" applyBorder="1" applyAlignment="1">
      <x:alignment wrapText="1"/>
    </x:xf>
    <x:xf numFmtId="0" fontId="9" fillId="6" borderId="2" xfId="0" applyNumberFormat="1" applyFont="1" applyFill="1" applyBorder="1" applyAlignment="1">
      <x:alignment horizontal="center" wrapText="1"/>
    </x:xf>
    <x:xf numFmtId="0" fontId="9" fillId="6" borderId="3" xfId="0" applyNumberFormat="1" applyFont="1" applyFill="1" applyBorder="1" applyAlignment="1">
      <x:alignment horizontal="center" wrapText="1"/>
    </x:xf>
    <x:xf numFmtId="0" fontId="9" fillId="6" borderId="4" xfId="0" applyNumberFormat="1" applyFont="1" applyFill="1" applyBorder="1" applyAlignment="1">
      <x:alignment horizontal="center" wrapText="1"/>
    </x:xf>
    <x:xf numFmtId="0" fontId="9" fillId="6" borderId="2" xfId="0" applyNumberFormat="1" applyFont="1" applyFill="1" applyBorder="1" applyAlignment="1">
      <x:alignment horizontal="center" vertical="center" wrapText="1"/>
    </x:xf>
    <x:xf numFmtId="0" fontId="9" fillId="6" borderId="3" xfId="0" applyNumberFormat="1" applyFont="1" applyFill="1" applyBorder="1" applyAlignment="1">
      <x:alignment horizontal="center" vertical="center" wrapText="1"/>
    </x:xf>
    <x:xf numFmtId="0" fontId="9" fillId="6" borderId="4" xfId="0" applyNumberFormat="1" applyFont="1" applyFill="1" applyBorder="1" applyAlignment="1">
      <x:alignment horizontal="center" vertical="center" wrapText="1"/>
    </x:xf>
    <x:xf numFmtId="0" fontId="0" fillId="6" borderId="1" xfId="0" applyNumberFormat="1" applyFont="1" applyFill="1" applyBorder="1"/>
    <x:xf numFmtId="0" fontId="9" fillId="6" borderId="1"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5" xfId="0" applyNumberFormat="1" applyFont="1" applyFill="1" applyBorder="1" applyAlignment="1">
      <x:alignment wrapText="1"/>
    </x:xf>
    <x:xf numFmtId="0" fontId="9" fillId="6" borderId="6" xfId="0" applyNumberFormat="1" applyFont="1" applyFill="1" applyBorder="1" applyAlignment="1">
      <x:alignment wrapText="1"/>
    </x:xf>
    <x:xf numFmtId="0" fontId="9" fillId="6" borderId="7" xfId="0" applyNumberFormat="1" applyFont="1" applyFill="1" applyBorder="1" applyAlignment="1">
      <x:alignment wrapText="1"/>
    </x:xf>
    <x:xf numFmtId="0" fontId="9" fillId="6" borderId="5" xfId="0" applyNumberFormat="1" applyFont="1" applyFill="1" applyBorder="1" applyAlignment="1">
      <x:alignment horizontal="center" wrapText="1"/>
    </x:xf>
    <x:xf numFmtId="0" fontId="9" fillId="6" borderId="6" xfId="0" applyNumberFormat="1" applyFont="1" applyFill="1" applyBorder="1" applyAlignment="1">
      <x:alignment horizontal="center" wrapText="1"/>
    </x:xf>
    <x:xf numFmtId="0" fontId="9" fillId="6" borderId="7" xfId="0" applyNumberFormat="1" applyFont="1" applyFill="1" applyBorder="1" applyAlignment="1">
      <x:alignment horizontal="center" wrapText="1"/>
    </x:xf>
    <x:xf numFmtId="0" fontId="9" fillId="6" borderId="5" xfId="0" applyNumberFormat="1" applyFont="1" applyFill="1" applyBorder="1" applyAlignment="1">
      <x:alignment horizontal="center" vertical="center" wrapText="1"/>
    </x:xf>
    <x:xf numFmtId="0" fontId="9" fillId="6" borderId="6" xfId="0" applyNumberFormat="1" applyFont="1" applyFill="1" applyBorder="1" applyAlignment="1">
      <x:alignment horizontal="center" vertical="center" wrapText="1"/>
    </x:xf>
    <x:xf numFmtId="0" fontId="9" fillId="6" borderId="7" xfId="0" applyNumberFormat="1" applyFont="1" applyFill="1" applyBorder="1" applyAlignment="1">
      <x:alignment horizontal="center" vertical="center" wrapText="1"/>
    </x:xf>
    <x:xf numFmtId="0" fontId="10" fillId="0" borderId="0" xfId="0" applyNumberFormat="1" applyFont="1" applyFill="1" applyBorder="1"/>
    <x:xf numFmtId="0" fontId="10" fillId="0" borderId="8" xfId="0" applyNumberFormat="1" applyFont="1" applyFill="1" applyBorder="1"/>
    <x:xf numFmtId="0" fontId="10" fillId="0" borderId="9" xfId="0" applyNumberFormat="1" applyFont="1" applyFill="1" applyBorder="1"/>
    <x:xf numFmtId="0" fontId="10" fillId="0" borderId="10" xfId="0" applyNumberFormat="1" applyFont="1" applyFill="1" applyBorder="1"/>
    <x:xf numFmtId="0" fontId="10" fillId="0" borderId="11" xfId="0" applyNumberFormat="1" applyFont="1" applyFill="1" applyBorder="1"/>
    <x:xf numFmtId="0" fontId="10" fillId="0" borderId="12" xfId="0" applyNumberFormat="1" applyFont="1" applyFill="1" applyBorder="1"/>
    <x:xf numFmtId="0" fontId="10" fillId="0" borderId="13" xfId="0" applyNumberFormat="1" applyFont="1" applyFill="1" applyBorder="1"/>
    <x:xf numFmtId="0" fontId="10" fillId="0" borderId="14" xfId="0" applyNumberFormat="1" applyFont="1" applyFill="1" applyBorder="1"/>
    <x:xf numFmtId="0" fontId="10" fillId="0" borderId="15" xfId="0" applyNumberFormat="1" applyFont="1" applyFill="1" applyBorder="1"/>
    <x:xf numFmtId="0" fontId="10" fillId="0" borderId="8" xfId="0" applyNumberFormat="1" applyFont="1" applyFill="1" applyBorder="1" applyAlignment="1">
      <x:alignment wrapText="1"/>
    </x:xf>
    <x:xf numFmtId="0" fontId="10" fillId="0" borderId="9" xfId="0" applyNumberFormat="1" applyFont="1" applyFill="1" applyBorder="1" applyAlignment="1">
      <x:alignment wrapText="1"/>
    </x:xf>
    <x:xf numFmtId="0" fontId="10" fillId="0" borderId="10" xfId="0" applyNumberFormat="1" applyFont="1" applyFill="1" applyBorder="1" applyAlignment="1">
      <x:alignment wrapText="1"/>
    </x:xf>
    <x:xf numFmtId="0" fontId="10" fillId="0" borderId="11" xfId="0" applyNumberFormat="1" applyFont="1" applyFill="1" applyBorder="1" applyAlignment="1">
      <x:alignment wrapText="1"/>
    </x:xf>
    <x:xf numFmtId="0" fontId="10" fillId="0" borderId="0" xfId="0" applyNumberFormat="1" applyFont="1" applyFill="1" applyBorder="1" applyAlignment="1">
      <x:alignment wrapText="1"/>
    </x:xf>
    <x:xf numFmtId="0" fontId="10" fillId="0" borderId="12" xfId="0" applyNumberFormat="1" applyFont="1" applyFill="1" applyBorder="1" applyAlignment="1">
      <x:alignment wrapText="1"/>
    </x:xf>
    <x:xf numFmtId="0" fontId="10" fillId="0" borderId="13" xfId="0" applyNumberFormat="1" applyFont="1" applyFill="1" applyBorder="1" applyAlignment="1">
      <x:alignment wrapText="1"/>
    </x:xf>
    <x:xf numFmtId="0" fontId="10" fillId="0" borderId="14" xfId="0" applyNumberFormat="1" applyFont="1" applyFill="1" applyBorder="1" applyAlignment="1">
      <x:alignment wrapText="1"/>
    </x:xf>
    <x:xf numFmtId="0" fontId="10" fillId="0" borderId="15" xfId="0" applyNumberFormat="1" applyFont="1" applyFill="1" applyBorder="1" applyAlignment="1">
      <x:alignment wrapText="1"/>
    </x:xf>
    <x:xf numFmtId="0" fontId="10" fillId="0" borderId="8"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0" borderId="12" xfId="0" applyNumberFormat="1" applyFont="1" applyFill="1" applyBorder="1" applyAlignment="1">
      <x:alignment vertical="top" wrapText="1"/>
    </x:xf>
    <x:xf numFmtId="0" fontId="10" fillId="0" borderId="13" xfId="0" applyNumberFormat="1" applyFont="1" applyFill="1" applyBorder="1" applyAlignment="1">
      <x:alignment vertical="top" wrapText="1"/>
    </x:xf>
    <x:xf numFmtId="0" fontId="10" fillId="0" borderId="14" xfId="0" applyNumberFormat="1" applyFont="1" applyFill="1" applyBorder="1" applyAlignment="1">
      <x:alignment vertical="top" wrapText="1"/>
    </x:xf>
    <x:xf numFmtId="0" fontId="10" fillId="0" borderId="15" xfId="0" applyNumberFormat="1" applyFont="1" applyFill="1" applyBorder="1" applyAlignment="1">
      <x:alignment vertical="top" wrapText="1"/>
    </x:xf>
    <x:xf numFmtId="0" fontId="10" fillId="0" borderId="1" xfId="0" applyNumberFormat="1" applyFont="1" applyFill="1" applyBorder="1"/>
    <x:xf numFmtId="0" fontId="10" fillId="0" borderId="16" xfId="0" applyNumberFormat="1" applyFont="1" applyFill="1" applyBorder="1"/>
    <x:xf numFmtId="0" fontId="10" fillId="0" borderId="17" xfId="0" applyNumberFormat="1" applyFont="1" applyFill="1" applyBorder="1"/>
    <x:xf numFmtId="0" fontId="10" fillId="0" borderId="18" xfId="0" applyNumberFormat="1" applyFont="1" applyFill="1" applyBorder="1"/>
    <x:xf numFmtId="0" fontId="10" fillId="0" borderId="19" xfId="0" applyNumberFormat="1" applyFont="1" applyFill="1" applyBorder="1"/>
    <x:xf numFmtId="0" fontId="10" fillId="0" borderId="20" xfId="0" applyNumberFormat="1" applyFont="1" applyFill="1" applyBorder="1"/>
    <x:xf numFmtId="0" fontId="10" fillId="0" borderId="21" xfId="0" applyNumberFormat="1" applyFont="1" applyFill="1" applyBorder="1"/>
    <x:xf numFmtId="0" fontId="10" fillId="0" borderId="22" xfId="0" applyNumberFormat="1" applyFont="1" applyFill="1" applyBorder="1"/>
    <x:xf numFmtId="0" fontId="10" fillId="0" borderId="23" xfId="0" applyNumberFormat="1" applyFont="1" applyFill="1" applyBorder="1"/>
    <x:xf numFmtId="0" fontId="10" fillId="0" borderId="16" xfId="0" applyNumberFormat="1" applyFont="1" applyFill="1" applyBorder="1" applyAlignment="1">
      <x:alignment wrapText="1"/>
    </x:xf>
    <x:xf numFmtId="0" fontId="10" fillId="0" borderId="17" xfId="0" applyNumberFormat="1" applyFont="1" applyFill="1" applyBorder="1" applyAlignment="1">
      <x:alignment wrapText="1"/>
    </x:xf>
    <x:xf numFmtId="0" fontId="10" fillId="0" borderId="18" xfId="0" applyNumberFormat="1" applyFont="1" applyFill="1" applyBorder="1" applyAlignment="1">
      <x:alignment wrapText="1"/>
    </x:xf>
    <x:xf numFmtId="0" fontId="10" fillId="0" borderId="19" xfId="0" applyNumberFormat="1" applyFont="1" applyFill="1" applyBorder="1" applyAlignment="1">
      <x:alignment wrapText="1"/>
    </x:xf>
    <x:xf numFmtId="0" fontId="10" fillId="0" borderId="1" xfId="0" applyNumberFormat="1" applyFont="1" applyFill="1" applyBorder="1" applyAlignment="1">
      <x:alignment wrapText="1"/>
    </x:xf>
    <x:xf numFmtId="0" fontId="10" fillId="0" borderId="20" xfId="0" applyNumberFormat="1" applyFont="1" applyFill="1" applyBorder="1" applyAlignment="1">
      <x:alignment wrapText="1"/>
    </x:xf>
    <x:xf numFmtId="0" fontId="10" fillId="0" borderId="21" xfId="0" applyNumberFormat="1" applyFont="1" applyFill="1" applyBorder="1" applyAlignment="1">
      <x:alignment wrapText="1"/>
    </x:xf>
    <x:xf numFmtId="0" fontId="10" fillId="0" borderId="22" xfId="0" applyNumberFormat="1" applyFont="1" applyFill="1" applyBorder="1" applyAlignment="1">
      <x:alignment wrapText="1"/>
    </x:xf>
    <x:xf numFmtId="0" fontId="10" fillId="0" borderId="23" xfId="0" applyNumberFormat="1" applyFont="1" applyFill="1" applyBorder="1" applyAlignment="1">
      <x:alignment wrapText="1"/>
    </x:xf>
    <x:xf numFmtId="0" fontId="10" fillId="0" borderId="16" xfId="0" applyNumberFormat="1" applyFont="1" applyFill="1" applyBorder="1" applyAlignment="1">
      <x:alignment vertical="top" wrapText="1"/>
    </x:xf>
    <x:xf numFmtId="0" fontId="10" fillId="0" borderId="17" xfId="0" applyNumberFormat="1" applyFont="1" applyFill="1" applyBorder="1" applyAlignment="1">
      <x:alignment vertical="top" wrapText="1"/>
    </x:xf>
    <x:xf numFmtId="0" fontId="10" fillId="0" borderId="18" xfId="0" applyNumberFormat="1" applyFont="1" applyFill="1" applyBorder="1" applyAlignment="1">
      <x:alignment vertical="top" wrapText="1"/>
    </x:xf>
    <x:xf numFmtId="0" fontId="10" fillId="0" borderId="19"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10" fillId="0" borderId="20" xfId="0" applyNumberFormat="1" applyFont="1" applyFill="1" applyBorder="1" applyAlignment="1">
      <x:alignment vertical="top" wrapText="1"/>
    </x:xf>
    <x:xf numFmtId="0" fontId="10" fillId="0" borderId="21" xfId="0" applyNumberFormat="1" applyFont="1" applyFill="1" applyBorder="1" applyAlignment="1">
      <x:alignment vertical="top" wrapText="1"/>
    </x:xf>
    <x:xf numFmtId="0" fontId="10" fillId="0" borderId="22" xfId="0" applyNumberFormat="1" applyFont="1" applyFill="1" applyBorder="1" applyAlignment="1">
      <x:alignment vertical="top" wrapText="1"/>
    </x:xf>
    <x:xf numFmtId="0" fontId="10" fillId="0" borderId="23" xfId="0" applyNumberFormat="1" applyFont="1" applyFill="1" applyBorder="1" applyAlignment="1">
      <x:alignment vertical="top" wrapText="1"/>
    </x:xf>
    <x:xf numFmtId="0" fontId="10" fillId="0" borderId="8" xfId="0" applyNumberFormat="1" applyFont="1" applyFill="1" applyBorder="1" applyAlignment="1">
      <x:alignment horizontal="center" vertical="top" wrapText="1"/>
    </x:xf>
    <x:xf numFmtId="0" fontId="10" fillId="0" borderId="11" xfId="0" applyNumberFormat="1" applyFont="1" applyFill="1" applyBorder="1" applyAlignment="1">
      <x:alignment horizontal="center" vertical="top" wrapText="1"/>
    </x:xf>
    <x:xf numFmtId="0" fontId="10" fillId="0" borderId="13" xfId="0" applyNumberFormat="1" applyFont="1" applyFill="1" applyBorder="1" applyAlignment="1">
      <x:alignment horizontal="center" vertical="top" wrapText="1"/>
    </x:xf>
    <x:xf numFmtId="0" fontId="10" fillId="0" borderId="16" xfId="0" applyNumberFormat="1" applyFont="1" applyFill="1" applyBorder="1" applyAlignment="1">
      <x:alignment horizontal="center" vertical="top" wrapText="1"/>
    </x:xf>
    <x:xf numFmtId="0" fontId="10" fillId="0" borderId="19" xfId="0" applyNumberFormat="1" applyFont="1" applyFill="1" applyBorder="1" applyAlignment="1">
      <x:alignment horizontal="center" vertical="top" wrapText="1"/>
    </x:xf>
    <x:xf numFmtId="0" fontId="10" fillId="0" borderId="21" xfId="0" applyNumberFormat="1" applyFont="1" applyFill="1" applyBorder="1" applyAlignment="1">
      <x:alignment horizontal="center" vertical="top" wrapText="1"/>
    </x:xf>
    <x:xf numFmtId="0" fontId="10" fillId="0" borderId="9" xfId="0" applyNumberFormat="1" applyFont="1" applyFill="1" applyBorder="1" applyAlignment="1">
      <x:alignment horizontal="center" vertical="top" wrapText="1"/>
    </x:xf>
    <x:xf numFmtId="0" fontId="10" fillId="0" borderId="0" xfId="0" applyNumberFormat="1" applyFont="1" applyFill="1" applyBorder="1" applyAlignment="1">
      <x:alignment horizontal="center" vertical="top" wrapText="1"/>
    </x:xf>
    <x:xf numFmtId="0" fontId="10" fillId="0" borderId="14" xfId="0" applyNumberFormat="1" applyFont="1" applyFill="1" applyBorder="1" applyAlignment="1">
      <x:alignment horizontal="center" vertical="top" wrapText="1"/>
    </x:xf>
    <x:xf numFmtId="0" fontId="10" fillId="0" borderId="17" xfId="0" applyNumberFormat="1" applyFont="1" applyFill="1" applyBorder="1" applyAlignment="1">
      <x:alignment horizontal="center" vertical="top" wrapText="1"/>
    </x:xf>
    <x:xf numFmtId="0" fontId="10" fillId="0" borderId="1" xfId="0" applyNumberFormat="1" applyFont="1" applyFill="1" applyBorder="1" applyAlignment="1">
      <x:alignment horizontal="center" vertical="top" wrapText="1"/>
    </x:xf>
    <x:xf numFmtId="0" fontId="10" fillId="0" borderId="22" xfId="0" applyNumberFormat="1" applyFont="1" applyFill="1" applyBorder="1" applyAlignment="1">
      <x:alignment horizontal="center" vertical="top" wrapText="1"/>
    </x:xf>
    <x:xf numFmtId="0" fontId="11" fillId="0" borderId="0" xfId="0" applyNumberFormat="1" applyFont="1" applyFill="1" applyBorder="1"/>
    <x:xf numFmtId="0" fontId="11" fillId="0" borderId="3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3" xfId="0" applyNumberFormat="1" applyFont="1" applyFill="1" applyBorder="1"/>
    <x:xf numFmtId="0" fontId="11" fillId="0" borderId="34" xfId="0" applyNumberFormat="1" applyFont="1" applyFill="1" applyBorder="1"/>
    <x:xf numFmtId="0" fontId="11" fillId="0" borderId="35" xfId="0" applyNumberFormat="1" applyFont="1" applyFill="1" applyBorder="1"/>
    <x:xf numFmtId="0" fontId="11" fillId="0" borderId="36" xfId="0" applyNumberFormat="1" applyFont="1" applyFill="1" applyBorder="1"/>
    <x:xf numFmtId="0" fontId="11" fillId="0" borderId="37" xfId="0" applyNumberFormat="1" applyFont="1" applyFill="1" applyBorder="1"/>
    <x:xf numFmtId="0" fontId="11" fillId="0" borderId="30" xfId="0" applyNumberFormat="1" applyFont="1" applyFill="1" applyBorder="1" applyAlignment="1">
      <x:alignment wrapText="1"/>
    </x:xf>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3" xfId="0" applyNumberFormat="1" applyFont="1" applyFill="1" applyBorder="1" applyAlignment="1">
      <x:alignment wrapText="1"/>
    </x:xf>
    <x:xf numFmtId="0" fontId="11" fillId="0" borderId="0" xfId="0" applyNumberFormat="1" applyFont="1" applyFill="1" applyBorder="1" applyAlignment="1">
      <x:alignment wrapText="1"/>
    </x:xf>
    <x:xf numFmtId="0" fontId="11" fillId="0" borderId="34" xfId="0" applyNumberFormat="1" applyFont="1" applyFill="1" applyBorder="1" applyAlignment="1">
      <x:alignment wrapText="1"/>
    </x:xf>
    <x:xf numFmtId="0" fontId="11" fillId="0" borderId="35" xfId="0" applyNumberFormat="1" applyFont="1" applyFill="1" applyBorder="1" applyAlignment="1">
      <x:alignment wrapText="1"/>
    </x:xf>
    <x:xf numFmtId="0" fontId="11" fillId="0" borderId="36" xfId="0" applyNumberFormat="1" applyFont="1" applyFill="1" applyBorder="1" applyAlignment="1">
      <x:alignment wrapText="1"/>
    </x:xf>
    <x:xf numFmtId="0" fontId="11" fillId="0" borderId="37" xfId="0" applyNumberFormat="1" applyFont="1" applyFill="1" applyBorder="1" applyAlignment="1">
      <x:alignment wrapText="1"/>
    </x:xf>
    <x:xf numFmtId="0" fontId="11" fillId="0" borderId="30" xfId="0" applyNumberFormat="1" applyFont="1" applyFill="1" applyBorder="1" applyAlignment="1">
      <x:alignment vertical="top"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3"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34" xfId="0" applyNumberFormat="1" applyFont="1" applyFill="1" applyBorder="1" applyAlignment="1">
      <x:alignment vertical="top" wrapText="1"/>
    </x:xf>
    <x:xf numFmtId="0" fontId="11" fillId="0" borderId="35" xfId="0" applyNumberFormat="1" applyFont="1" applyFill="1" applyBorder="1" applyAlignment="1">
      <x:alignment vertical="top" wrapText="1"/>
    </x:xf>
    <x:xf numFmtId="0" fontId="11" fillId="0" borderId="36" xfId="0" applyNumberFormat="1" applyFont="1" applyFill="1" applyBorder="1" applyAlignment="1">
      <x:alignment vertical="top" wrapText="1"/>
    </x:xf>
    <x:xf numFmtId="0" fontId="11" fillId="0" borderId="37" xfId="0" applyNumberFormat="1" applyFont="1" applyFill="1" applyBorder="1" applyAlignment="1">
      <x:alignment vertical="top" wrapText="1"/>
    </x:xf>
    <x:xf numFmtId="0" fontId="11" fillId="0" borderId="1" xfId="0" applyNumberFormat="1" applyFont="1" applyFill="1" applyBorder="1"/>
    <x:xf numFmtId="0" fontId="11" fillId="0" borderId="38" xfId="0" applyNumberFormat="1" applyFont="1" applyFill="1" applyBorder="1"/>
    <x:xf numFmtId="0" fontId="11" fillId="0" borderId="39" xfId="0" applyNumberFormat="1" applyFont="1" applyFill="1" applyBorder="1"/>
    <x:xf numFmtId="0" fontId="11" fillId="0" borderId="40" xfId="0" applyNumberFormat="1" applyFont="1" applyFill="1" applyBorder="1"/>
    <x:xf numFmtId="0" fontId="11" fillId="0" borderId="41" xfId="0" applyNumberFormat="1" applyFont="1" applyFill="1" applyBorder="1"/>
    <x:xf numFmtId="0" fontId="11" fillId="0" borderId="42" xfId="0" applyNumberFormat="1" applyFont="1" applyFill="1" applyBorder="1"/>
    <x:xf numFmtId="0" fontId="11" fillId="0" borderId="43" xfId="0" applyNumberFormat="1" applyFont="1" applyFill="1" applyBorder="1"/>
    <x:xf numFmtId="0" fontId="11" fillId="0" borderId="44" xfId="0" applyNumberFormat="1" applyFont="1" applyFill="1" applyBorder="1"/>
    <x:xf numFmtId="0" fontId="11" fillId="0" borderId="45" xfId="0" applyNumberFormat="1" applyFont="1" applyFill="1" applyBorder="1"/>
    <x:xf numFmtId="0" fontId="11" fillId="0" borderId="38" xfId="0" applyNumberFormat="1" applyFont="1" applyFill="1" applyBorder="1" applyAlignment="1">
      <x:alignment wrapText="1"/>
    </x:xf>
    <x:xf numFmtId="0" fontId="11" fillId="0" borderId="39" xfId="0" applyNumberFormat="1" applyFont="1" applyFill="1" applyBorder="1" applyAlignment="1">
      <x:alignment wrapText="1"/>
    </x:xf>
    <x:xf numFmtId="0" fontId="11" fillId="0" borderId="40" xfId="0" applyNumberFormat="1" applyFont="1" applyFill="1" applyBorder="1" applyAlignment="1">
      <x:alignment wrapText="1"/>
    </x:xf>
    <x:xf numFmtId="0" fontId="11" fillId="0" borderId="41" xfId="0" applyNumberFormat="1" applyFont="1" applyFill="1" applyBorder="1" applyAlignment="1">
      <x:alignment wrapText="1"/>
    </x:xf>
    <x:xf numFmtId="0" fontId="11" fillId="0" borderId="1" xfId="0" applyNumberFormat="1" applyFont="1" applyFill="1" applyBorder="1" applyAlignment="1">
      <x:alignment wrapText="1"/>
    </x:xf>
    <x:xf numFmtId="0" fontId="11" fillId="0" borderId="42" xfId="0" applyNumberFormat="1" applyFont="1" applyFill="1" applyBorder="1" applyAlignment="1">
      <x:alignment wrapText="1"/>
    </x:xf>
    <x:xf numFmtId="0" fontId="11" fillId="0" borderId="43" xfId="0" applyNumberFormat="1" applyFont="1" applyFill="1" applyBorder="1" applyAlignment="1">
      <x:alignment wrapText="1"/>
    </x:xf>
    <x:xf numFmtId="0" fontId="11" fillId="0" borderId="44" xfId="0" applyNumberFormat="1" applyFont="1" applyFill="1" applyBorder="1" applyAlignment="1">
      <x:alignment wrapText="1"/>
    </x:xf>
    <x:xf numFmtId="0" fontId="11" fillId="0" borderId="45" xfId="0" applyNumberFormat="1" applyFont="1" applyFill="1" applyBorder="1" applyAlignment="1">
      <x:alignment wrapText="1"/>
    </x:xf>
    <x:xf numFmtId="0" fontId="11" fillId="0" borderId="38" xfId="0" applyNumberFormat="1" applyFont="1" applyFill="1" applyBorder="1" applyAlignment="1">
      <x:alignment vertical="top" wrapText="1"/>
    </x:xf>
    <x:xf numFmtId="0" fontId="11" fillId="0" borderId="39" xfId="0" applyNumberFormat="1" applyFont="1" applyFill="1" applyBorder="1" applyAlignment="1">
      <x:alignment vertical="top" wrapText="1"/>
    </x:xf>
    <x:xf numFmtId="0" fontId="11" fillId="0" borderId="40" xfId="0" applyNumberFormat="1" applyFont="1" applyFill="1" applyBorder="1" applyAlignment="1">
      <x:alignment vertical="top" wrapText="1"/>
    </x:xf>
    <x:xf numFmtId="0" fontId="11" fillId="0" borderId="41"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1" fillId="0" borderId="42" xfId="0" applyNumberFormat="1" applyFont="1" applyFill="1" applyBorder="1" applyAlignment="1">
      <x:alignment vertical="top" wrapText="1"/>
    </x:xf>
    <x:xf numFmtId="0" fontId="11" fillId="0" borderId="43" xfId="0" applyNumberFormat="1" applyFont="1" applyFill="1" applyBorder="1" applyAlignment="1">
      <x:alignment vertical="top" wrapText="1"/>
    </x:xf>
    <x:xf numFmtId="0" fontId="11" fillId="0" borderId="44" xfId="0" applyNumberFormat="1" applyFont="1" applyFill="1" applyBorder="1" applyAlignment="1">
      <x:alignment vertical="top" wrapText="1"/>
    </x:xf>
    <x:xf numFmtId="0" fontId="11" fillId="0" borderId="45" xfId="0" applyNumberFormat="1" applyFont="1" applyFill="1" applyBorder="1" applyAlignment="1">
      <x:alignment vertical="top" wrapText="1"/>
    </x:xf>
    <x:xf numFmtId="0" fontId="12" fillId="0" borderId="30" xfId="0" applyNumberFormat="1" applyFont="1" applyFill="1" applyBorder="1" applyAlignment="1">
      <x:alignment vertical="top" wrapText="1"/>
    </x:xf>
    <x:xf numFmtId="0" fontId="12" fillId="0" borderId="31" xfId="0" applyNumberFormat="1" applyFont="1" applyFill="1" applyBorder="1" applyAlignment="1">
      <x:alignment vertical="top" wrapText="1"/>
    </x:xf>
    <x:xf numFmtId="0" fontId="12" fillId="0" borderId="32" xfId="0" applyNumberFormat="1" applyFont="1" applyFill="1" applyBorder="1" applyAlignment="1">
      <x:alignment vertical="top" wrapText="1"/>
    </x:xf>
    <x:xf numFmtId="0" fontId="12" fillId="0" borderId="46" xfId="0" applyNumberFormat="1" applyFont="1" applyFill="1" applyBorder="1" applyAlignment="1">
      <x:alignment vertical="top" wrapText="1"/>
    </x:xf>
    <x:xf numFmtId="0" fontId="12" fillId="0" borderId="47" xfId="0" applyNumberFormat="1" applyFont="1" applyFill="1" applyBorder="1" applyAlignment="1">
      <x:alignment vertical="top" wrapText="1"/>
    </x:xf>
    <x:xf numFmtId="0" fontId="12" fillId="0" borderId="48" xfId="0" applyNumberFormat="1" applyFont="1" applyFill="1" applyBorder="1" applyAlignment="1">
      <x:alignment vertical="top" wrapText="1"/>
    </x:xf>
    <x:xf numFmtId="0" fontId="12" fillId="0" borderId="46" xfId="0" applyNumberFormat="1" applyFont="1" applyFill="1" applyBorder="1" applyAlignment="1">
      <x:alignment horizontal="center" vertical="top" wrapText="1"/>
    </x:xf>
    <x:xf numFmtId="0" fontId="12" fillId="0" borderId="47" xfId="0" applyNumberFormat="1" applyFont="1" applyFill="1" applyBorder="1" applyAlignment="1">
      <x:alignment horizontal="center" vertical="top" wrapText="1"/>
    </x:xf>
    <x:xf numFmtId="0" fontId="12" fillId="0" borderId="48" xfId="0" applyNumberFormat="1" applyFont="1" applyFill="1" applyBorder="1" applyAlignment="1">
      <x:alignment horizontal="center" vertical="top" wrapText="1"/>
    </x:xf>
    <x:xf numFmtId="0" fontId="12" fillId="0" borderId="46" xfId="0" applyNumberFormat="1" applyFont="1" applyFill="1" applyBorder="1" applyAlignment="1">
      <x:alignment horizontal="center" vertical="center" wrapText="1"/>
    </x:xf>
    <x:xf numFmtId="0" fontId="12" fillId="0" borderId="47" xfId="0" applyNumberFormat="1" applyFont="1" applyFill="1" applyBorder="1" applyAlignment="1">
      <x:alignment horizontal="center" vertical="center" wrapText="1"/>
    </x:xf>
    <x:xf numFmtId="0" fontId="12" fillId="0" borderId="48" xfId="0" applyNumberFormat="1" applyFont="1" applyFill="1" applyBorder="1" applyAlignment="1">
      <x:alignment horizontal="center" vertical="center"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49" xfId="0" applyNumberFormat="1" applyFont="1" applyFill="1" applyBorder="1" applyAlignment="1">
      <x:alignment horizontal="center" vertical="top" wrapText="1"/>
    </x:xf>
    <x:xf numFmtId="0" fontId="12" fillId="0" borderId="50" xfId="0" applyNumberFormat="1" applyFont="1" applyFill="1" applyBorder="1" applyAlignment="1">
      <x:alignment horizontal="center" vertical="top" wrapText="1"/>
    </x:xf>
    <x:xf numFmtId="0" fontId="12" fillId="0" borderId="51" xfId="0" applyNumberFormat="1" applyFont="1" applyFill="1" applyBorder="1" applyAlignment="1">
      <x:alignment horizontal="center" vertical="top" wrapText="1"/>
    </x:xf>
    <x:xf numFmtId="0" fontId="12" fillId="0" borderId="49" xfId="0" applyNumberFormat="1" applyFont="1" applyFill="1" applyBorder="1" applyAlignment="1">
      <x:alignment horizontal="center" vertical="center" wrapText="1"/>
    </x:xf>
    <x:xf numFmtId="0" fontId="12" fillId="0" borderId="50" xfId="0" applyNumberFormat="1" applyFont="1" applyFill="1" applyBorder="1" applyAlignment="1">
      <x:alignment horizontal="center" vertical="center" wrapText="1"/>
    </x:xf>
    <x:xf numFmtId="0" fontId="12" fillId="0" borderId="51" xfId="0" applyNumberFormat="1" applyFont="1" applyFill="1" applyBorder="1" applyAlignment="1">
      <x:alignment horizontal="center" vertical="center" wrapText="1"/>
    </x:xf>
    <x:xf numFmtId="0" fontId="11" fillId="7" borderId="33"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11" fillId="7" borderId="34" xfId="0" applyNumberFormat="1" applyFont="1" applyFill="1" applyBorder="1" applyAlignment="1">
      <x:alignment vertical="top" wrapText="1"/>
    </x:xf>
    <x:xf numFmtId="0" fontId="12" fillId="7" borderId="33"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34" xfId="0" applyNumberFormat="1" applyFont="1" applyFill="1" applyBorder="1" applyAlignment="1">
      <x:alignment vertical="top" wrapText="1"/>
    </x:xf>
    <x:xf numFmtId="0" fontId="12" fillId="7" borderId="2" xfId="0" applyNumberFormat="1" applyFont="1" applyFill="1" applyBorder="1" applyAlignment="1">
      <x:alignment vertical="top" wrapText="1"/>
    </x:xf>
    <x:xf numFmtId="0" fontId="12" fillId="7" borderId="3" xfId="0" applyNumberFormat="1" applyFont="1" applyFill="1" applyBorder="1" applyAlignment="1">
      <x:alignment vertical="top" wrapText="1"/>
    </x:xf>
    <x:xf numFmtId="0" fontId="12" fillId="7" borderId="4" xfId="0" applyNumberFormat="1" applyFont="1" applyFill="1" applyBorder="1" applyAlignment="1">
      <x:alignment vertical="top" wrapText="1"/>
    </x:xf>
    <x:xf numFmtId="0" fontId="12" fillId="7" borderId="2" xfId="0" applyNumberFormat="1" applyFont="1" applyFill="1" applyBorder="1" applyAlignment="1">
      <x:alignment horizontal="center" vertical="top" wrapText="1"/>
    </x:xf>
    <x:xf numFmtId="0" fontId="12" fillId="7" borderId="3" xfId="0" applyNumberFormat="1" applyFont="1" applyFill="1" applyBorder="1" applyAlignment="1">
      <x:alignment horizontal="center" vertical="top" wrapText="1"/>
    </x:xf>
    <x:xf numFmtId="0" fontId="12" fillId="7" borderId="4" xfId="0" applyNumberFormat="1" applyFont="1" applyFill="1" applyBorder="1" applyAlignment="1">
      <x:alignment horizontal="center" vertical="top" wrapText="1"/>
    </x:xf>
    <x:xf numFmtId="0" fontId="12" fillId="7" borderId="2" xfId="0" applyNumberFormat="1" applyFont="1" applyFill="1" applyBorder="1" applyAlignment="1">
      <x:alignment horizontal="center" vertical="center" wrapText="1"/>
    </x:xf>
    <x:xf numFmtId="0" fontId="12" fillId="7" borderId="3" xfId="0" applyNumberFormat="1" applyFont="1" applyFill="1" applyBorder="1" applyAlignment="1">
      <x:alignment horizontal="center" vertical="center" wrapText="1"/>
    </x:xf>
    <x:xf numFmtId="0" fontId="12" fillId="7" borderId="4" xfId="0" applyNumberFormat="1" applyFont="1" applyFill="1" applyBorder="1" applyAlignment="1">
      <x:alignment horizontal="center" vertical="center" wrapText="1"/>
    </x:xf>
    <x:xf numFmtId="0" fontId="11" fillId="7" borderId="41" xfId="0" applyNumberFormat="1" applyFont="1" applyFill="1" applyBorder="1" applyAlignment="1">
      <x:alignment vertical="top" wrapText="1"/>
    </x:xf>
    <x:xf numFmtId="0" fontId="11" fillId="7" borderId="1" xfId="0" applyNumberFormat="1" applyFont="1" applyFill="1" applyBorder="1" applyAlignment="1">
      <x:alignment vertical="top" wrapText="1"/>
    </x:xf>
    <x:xf numFmtId="0" fontId="11" fillId="7" borderId="42" xfId="0" applyNumberFormat="1" applyFont="1" applyFill="1" applyBorder="1" applyAlignment="1">
      <x:alignment vertical="top" wrapText="1"/>
    </x:xf>
    <x:xf numFmtId="0" fontId="12" fillId="7" borderId="41" xfId="0" applyNumberFormat="1" applyFont="1" applyFill="1" applyBorder="1" applyAlignment="1">
      <x:alignment vertical="top" wrapText="1"/>
    </x:xf>
    <x:xf numFmtId="0" fontId="12" fillId="7" borderId="1" xfId="0" applyNumberFormat="1" applyFont="1" applyFill="1" applyBorder="1" applyAlignment="1">
      <x:alignment vertical="top" wrapText="1"/>
    </x:xf>
    <x:xf numFmtId="0" fontId="12" fillId="7" borderId="42"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12" fillId="7" borderId="5" xfId="0" applyNumberFormat="1" applyFont="1" applyFill="1" applyBorder="1" applyAlignment="1">
      <x:alignment horizontal="center" vertical="top" wrapText="1"/>
    </x:xf>
    <x:xf numFmtId="0" fontId="12" fillId="7" borderId="6" xfId="0" applyNumberFormat="1" applyFont="1" applyFill="1" applyBorder="1" applyAlignment="1">
      <x:alignment horizontal="center" vertical="top" wrapText="1"/>
    </x:xf>
    <x:xf numFmtId="0" fontId="12" fillId="7" borderId="7" xfId="0" applyNumberFormat="1" applyFont="1" applyFill="1" applyBorder="1" applyAlignment="1">
      <x:alignment horizontal="center" vertical="top" wrapText="1"/>
    </x:xf>
    <x:xf numFmtId="0" fontId="12" fillId="7" borderId="5" xfId="0" applyNumberFormat="1" applyFont="1" applyFill="1" applyBorder="1" applyAlignment="1">
      <x:alignment horizontal="center" vertical="center" wrapText="1"/>
    </x:xf>
    <x:xf numFmtId="0" fontId="12" fillId="7" borderId="6" xfId="0" applyNumberFormat="1" applyFont="1" applyFill="1" applyBorder="1" applyAlignment="1">
      <x:alignment horizontal="center" vertical="center" wrapText="1"/>
    </x:xf>
    <x:xf numFmtId="0" fontId="12" fillId="7" borderId="7" xfId="0" applyNumberFormat="1" applyFont="1" applyFill="1" applyBorder="1" applyAlignment="1">
      <x:alignment horizontal="center" vertical="center" wrapText="1"/>
    </x:xf>
    <x:xf numFmtId="0" fontId="11" fillId="8" borderId="33" xfId="0" applyNumberFormat="1" applyFont="1" applyFill="1" applyBorder="1" applyAlignment="1">
      <x:alignment vertical="top" wrapText="1"/>
    </x:xf>
    <x:xf numFmtId="0" fontId="11" fillId="8" borderId="0" xfId="0" applyNumberFormat="1" applyFont="1" applyFill="1" applyBorder="1" applyAlignment="1">
      <x:alignment vertical="top" wrapText="1"/>
    </x:xf>
    <x:xf numFmtId="0" fontId="11" fillId="8" borderId="34" xfId="0" applyNumberFormat="1" applyFont="1" applyFill="1" applyBorder="1" applyAlignment="1">
      <x:alignment vertical="top" wrapText="1"/>
    </x:xf>
    <x:xf numFmtId="0" fontId="12" fillId="8" borderId="33"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12" fillId="8" borderId="34" xfId="0" applyNumberFormat="1" applyFont="1" applyFill="1" applyBorder="1" applyAlignment="1">
      <x:alignment vertical="top" wrapText="1"/>
    </x:xf>
    <x:xf numFmtId="0" fontId="12" fillId="8" borderId="2" xfId="0" applyNumberFormat="1" applyFont="1" applyFill="1" applyBorder="1" applyAlignment="1">
      <x:alignment vertical="top" wrapText="1"/>
    </x:xf>
    <x:xf numFmtId="0" fontId="12" fillId="8" borderId="3" xfId="0" applyNumberFormat="1" applyFont="1" applyFill="1" applyBorder="1" applyAlignment="1">
      <x:alignment vertical="top" wrapText="1"/>
    </x:xf>
    <x:xf numFmtId="0" fontId="12" fillId="8" borderId="4" xfId="0" applyNumberFormat="1" applyFont="1" applyFill="1" applyBorder="1" applyAlignment="1">
      <x:alignment vertical="top" wrapText="1"/>
    </x:xf>
    <x:xf numFmtId="0" fontId="12" fillId="8" borderId="2" xfId="0" applyNumberFormat="1" applyFont="1" applyFill="1" applyBorder="1" applyAlignment="1">
      <x:alignment horizontal="center" vertical="top" wrapText="1"/>
    </x:xf>
    <x:xf numFmtId="0" fontId="12" fillId="8" borderId="3" xfId="0" applyNumberFormat="1" applyFont="1" applyFill="1" applyBorder="1" applyAlignment="1">
      <x:alignment horizontal="center" vertical="top" wrapText="1"/>
    </x:xf>
    <x:xf numFmtId="0" fontId="12" fillId="8" borderId="4" xfId="0" applyNumberFormat="1" applyFont="1" applyFill="1" applyBorder="1" applyAlignment="1">
      <x:alignment horizontal="center" vertical="top" wrapText="1"/>
    </x:xf>
    <x:xf numFmtId="0" fontId="12" fillId="8" borderId="2" xfId="0" applyNumberFormat="1" applyFont="1" applyFill="1" applyBorder="1" applyAlignment="1">
      <x:alignment horizontal="center" vertical="center" wrapText="1"/>
    </x:xf>
    <x:xf numFmtId="0" fontId="12" fillId="8" borderId="3" xfId="0" applyNumberFormat="1" applyFont="1" applyFill="1" applyBorder="1" applyAlignment="1">
      <x:alignment horizontal="center" vertical="center" wrapText="1"/>
    </x:xf>
    <x:xf numFmtId="0" fontId="12" fillId="8" borderId="4" xfId="0" applyNumberFormat="1" applyFont="1" applyFill="1" applyBorder="1" applyAlignment="1">
      <x:alignment horizontal="center" vertical="center" wrapText="1"/>
    </x:xf>
    <x:xf numFmtId="0" fontId="11" fillId="8" borderId="41" xfId="0" applyNumberFormat="1" applyFont="1" applyFill="1" applyBorder="1" applyAlignment="1">
      <x:alignment vertical="top" wrapText="1"/>
    </x:xf>
    <x:xf numFmtId="0" fontId="11" fillId="8" borderId="1" xfId="0" applyNumberFormat="1" applyFont="1" applyFill="1" applyBorder="1" applyAlignment="1">
      <x:alignment vertical="top" wrapText="1"/>
    </x:xf>
    <x:xf numFmtId="0" fontId="11" fillId="8" borderId="42" xfId="0" applyNumberFormat="1" applyFont="1" applyFill="1" applyBorder="1" applyAlignment="1">
      <x:alignment vertical="top" wrapText="1"/>
    </x:xf>
    <x:xf numFmtId="0" fontId="12" fillId="8" borderId="41" xfId="0" applyNumberFormat="1" applyFont="1" applyFill="1" applyBorder="1" applyAlignment="1">
      <x:alignment vertical="top" wrapText="1"/>
    </x:xf>
    <x:xf numFmtId="0" fontId="12" fillId="8" borderId="1" xfId="0" applyNumberFormat="1" applyFont="1" applyFill="1" applyBorder="1" applyAlignment="1">
      <x:alignment vertical="top" wrapText="1"/>
    </x:xf>
    <x:xf numFmtId="0" fontId="12" fillId="8" borderId="42" xfId="0" applyNumberFormat="1" applyFont="1" applyFill="1" applyBorder="1" applyAlignment="1">
      <x:alignment vertical="top" wrapText="1"/>
    </x:xf>
    <x:xf numFmtId="0" fontId="12" fillId="8" borderId="5" xfId="0" applyNumberFormat="1" applyFont="1" applyFill="1" applyBorder="1" applyAlignment="1">
      <x:alignment vertical="top" wrapText="1"/>
    </x:xf>
    <x:xf numFmtId="0" fontId="12" fillId="8" borderId="6" xfId="0" applyNumberFormat="1" applyFont="1" applyFill="1" applyBorder="1" applyAlignment="1">
      <x:alignment vertical="top" wrapText="1"/>
    </x:xf>
    <x:xf numFmtId="0" fontId="12" fillId="8" borderId="7" xfId="0" applyNumberFormat="1" applyFont="1" applyFill="1" applyBorder="1" applyAlignment="1">
      <x:alignment vertical="top" wrapText="1"/>
    </x:xf>
    <x:xf numFmtId="0" fontId="12" fillId="8" borderId="5" xfId="0" applyNumberFormat="1" applyFont="1" applyFill="1" applyBorder="1" applyAlignment="1">
      <x:alignment horizontal="center" vertical="top" wrapText="1"/>
    </x:xf>
    <x:xf numFmtId="0" fontId="12" fillId="8" borderId="6" xfId="0" applyNumberFormat="1" applyFont="1" applyFill="1" applyBorder="1" applyAlignment="1">
      <x:alignment horizontal="center" vertical="top" wrapText="1"/>
    </x:xf>
    <x:xf numFmtId="0" fontId="12" fillId="8" borderId="7" xfId="0" applyNumberFormat="1" applyFont="1" applyFill="1" applyBorder="1" applyAlignment="1">
      <x:alignment horizontal="center" vertical="top" wrapText="1"/>
    </x:xf>
    <x:xf numFmtId="0" fontId="12" fillId="8" borderId="5" xfId="0" applyNumberFormat="1" applyFont="1" applyFill="1" applyBorder="1" applyAlignment="1">
      <x:alignment horizontal="center" vertical="center" wrapText="1"/>
    </x:xf>
    <x:xf numFmtId="0" fontId="12" fillId="8" borderId="6" xfId="0" applyNumberFormat="1" applyFont="1" applyFill="1" applyBorder="1" applyAlignment="1">
      <x:alignment horizontal="center" vertical="center" wrapText="1"/>
    </x:xf>
    <x:xf numFmtId="0" fontId="12" fillId="8" borderId="7" xfId="0" applyNumberFormat="1" applyFont="1" applyFill="1" applyBorder="1" applyAlignment="1">
      <x:alignment horizontal="center" vertical="center" wrapText="1"/>
    </x:xf>
    <x:xf numFmtId="0" fontId="11" fillId="8" borderId="35" xfId="0" applyNumberFormat="1" applyFont="1" applyFill="1" applyBorder="1" applyAlignment="1">
      <x:alignment vertical="top" wrapText="1"/>
    </x:xf>
    <x:xf numFmtId="0" fontId="11" fillId="8" borderId="36" xfId="0" applyNumberFormat="1" applyFont="1" applyFill="1" applyBorder="1" applyAlignment="1">
      <x:alignment vertical="top" wrapText="1"/>
    </x:xf>
    <x:xf numFmtId="0" fontId="11" fillId="8" borderId="37" xfId="0" applyNumberFormat="1" applyFont="1" applyFill="1" applyBorder="1" applyAlignment="1">
      <x:alignment vertical="top" wrapText="1"/>
    </x:xf>
    <x:xf numFmtId="0" fontId="12" fillId="8" borderId="35" xfId="0" applyNumberFormat="1" applyFont="1" applyFill="1" applyBorder="1" applyAlignment="1">
      <x:alignment vertical="top" wrapText="1"/>
    </x:xf>
    <x:xf numFmtId="0" fontId="12" fillId="8" borderId="36" xfId="0" applyNumberFormat="1" applyFont="1" applyFill="1" applyBorder="1" applyAlignment="1">
      <x:alignment vertical="top" wrapText="1"/>
    </x:xf>
    <x:xf numFmtId="0" fontId="12" fillId="8" borderId="37" xfId="0" applyNumberFormat="1" applyFont="1" applyFill="1" applyBorder="1" applyAlignment="1">
      <x:alignment vertical="top" wrapText="1"/>
    </x:xf>
    <x:xf numFmtId="0" fontId="11" fillId="8" borderId="43" xfId="0" applyNumberFormat="1" applyFont="1" applyFill="1" applyBorder="1" applyAlignment="1">
      <x:alignment vertical="top" wrapText="1"/>
    </x:xf>
    <x:xf numFmtId="0" fontId="11" fillId="8" borderId="44" xfId="0" applyNumberFormat="1" applyFont="1" applyFill="1" applyBorder="1" applyAlignment="1">
      <x:alignment vertical="top" wrapText="1"/>
    </x:xf>
    <x:xf numFmtId="0" fontId="11" fillId="8" borderId="45" xfId="0" applyNumberFormat="1" applyFont="1" applyFill="1" applyBorder="1" applyAlignment="1">
      <x:alignment vertical="top" wrapText="1"/>
    </x:xf>
    <x:xf numFmtId="0" fontId="12" fillId="8" borderId="43" xfId="0" applyNumberFormat="1" applyFont="1" applyFill="1" applyBorder="1" applyAlignment="1">
      <x:alignment vertical="top" wrapText="1"/>
    </x:xf>
    <x:xf numFmtId="0" fontId="12" fillId="8" borderId="44" xfId="0" applyNumberFormat="1" applyFont="1" applyFill="1" applyBorder="1" applyAlignment="1">
      <x:alignment vertical="top" wrapText="1"/>
    </x:xf>
    <x:xf numFmtId="0" fontId="12" fillId="8" borderId="45" xfId="0" applyNumberFormat="1" applyFont="1" applyFill="1" applyBorder="1" applyAlignment="1">
      <x:alignment vertical="top" wrapText="1"/>
    </x:xf>
    <x:xf numFmtId="0" fontId="11" fillId="9" borderId="33"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11" fillId="9" borderId="34" xfId="0" applyNumberFormat="1" applyFont="1" applyFill="1" applyBorder="1" applyAlignment="1">
      <x:alignment vertical="top" wrapText="1"/>
    </x:xf>
    <x:xf numFmtId="0" fontId="11" fillId="9" borderId="41" xfId="0" applyNumberFormat="1" applyFont="1" applyFill="1" applyBorder="1" applyAlignment="1">
      <x:alignment vertical="top" wrapText="1"/>
    </x:xf>
    <x:xf numFmtId="0" fontId="11" fillId="9" borderId="1" xfId="0" applyNumberFormat="1" applyFont="1" applyFill="1" applyBorder="1" applyAlignment="1">
      <x:alignment vertical="top" wrapText="1"/>
    </x:xf>
    <x:xf numFmtId="0" fontId="11" fillId="9" borderId="42" xfId="0" applyNumberFormat="1" applyFont="1" applyFill="1" applyBorder="1" applyAlignment="1">
      <x:alignment vertical="top" wrapText="1"/>
    </x:xf>
    <x:xf numFmtId="0" fontId="11" fillId="9" borderId="33" xfId="0" applyNumberFormat="1" applyFont="1" applyFill="1" applyBorder="1" applyAlignment="1">
      <x:alignment horizontal="center" vertical="top" wrapText="1"/>
    </x:xf>
    <x:xf numFmtId="0" fontId="11" fillId="9" borderId="41" xfId="0" applyNumberFormat="1" applyFont="1" applyFill="1" applyBorder="1" applyAlignment="1">
      <x:alignment horizontal="center" vertical="top" wrapText="1"/>
    </x:xf>
    <x:xf numFmtId="0" fontId="11" fillId="0" borderId="33" xfId="0" applyNumberFormat="1" applyFont="1" applyFill="1" applyBorder="1" applyAlignment="1">
      <x:alignment horizontal="center" vertical="top" wrapText="1"/>
    </x:xf>
    <x:xf numFmtId="0" fontId="11" fillId="0" borderId="41" xfId="0" applyNumberFormat="1" applyFont="1" applyFill="1" applyBorder="1" applyAlignment="1">
      <x:alignment horizontal="center" vertical="top" wrapText="1"/>
    </x:xf>
    <x:xf numFmtId="0" fontId="11" fillId="0" borderId="0" xfId="0" applyNumberFormat="1" applyFont="1" applyFill="1" applyBorder="1" applyAlignment="1">
      <x:alignment horizontal="left" vertical="top" wrapText="1"/>
    </x:xf>
    <x:xf numFmtId="0" fontId="11" fillId="0" borderId="34" xfId="0" applyNumberFormat="1" applyFont="1" applyFill="1" applyBorder="1" applyAlignment="1">
      <x:alignment horizontal="left" vertical="top" wrapText="1"/>
    </x:xf>
    <x:xf numFmtId="0" fontId="12" fillId="8" borderId="3" xfId="0" applyNumberFormat="1" applyFont="1" applyFill="1" applyBorder="1" applyAlignment="1">
      <x:alignment horizontal="left" vertical="center" wrapText="1"/>
    </x:xf>
    <x:xf numFmtId="0" fontId="12" fillId="8" borderId="4" xfId="0" applyNumberFormat="1" applyFont="1" applyFill="1" applyBorder="1" applyAlignment="1">
      <x:alignment horizontal="left" vertical="center" wrapText="1"/>
    </x:xf>
    <x:xf numFmtId="0" fontId="11" fillId="9" borderId="0" xfId="0" applyNumberFormat="1" applyFont="1" applyFill="1" applyBorder="1" applyAlignment="1">
      <x:alignment horizontal="left" vertical="top" wrapText="1"/>
    </x:xf>
    <x:xf numFmtId="0" fontId="11" fillId="9" borderId="34" xfId="0" applyNumberFormat="1" applyFont="1" applyFill="1" applyBorder="1" applyAlignment="1">
      <x:alignment horizontal="left" vertical="top" wrapText="1"/>
    </x:xf>
  </x:cellXfs>
  <x:cellStyles count="1">
    <x:cellStyle name="Normal" xfId="0"/>
  </x:cellStyles>
  <x:dxfs count="8">
    <x:dxf>
      <x:font>
        <x:b/>
        <x:color rgb="FF1B5E20"/>
      </x:font>
      <x:fill>
        <x:patternFill patternType="solid">
          <x:bgColor rgb="FFE2F0D9"/>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5700"/>
      </x:font>
      <x:fill>
        <x:patternFill patternType="solid">
          <x:bgColor rgb="FFFCE4D6"/>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1F4E78"/>
      </x:font>
      <x:fill>
        <x:patternFill patternType="solid">
          <x:bgColor rgb="FFEAF3F8"/>
        </x:patternFill>
      </x:fill>
    </x:dxf>
    <x:dxf>
      <x:font>
        <x:b/>
        <x:color rgb="FF404040"/>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58354766b7433d" /><Relationship Type="http://schemas.openxmlformats.org/officeDocument/2006/relationships/theme" Target="/xl/theme/theme1.xml" Id="R8128db78d60d4b1c" /><Relationship Type="http://schemas.openxmlformats.org/officeDocument/2006/relationships/sharedStrings" Target="/xl/sharedStrings.xml" Id="R24dca0ece81a4ce7" /><Relationship Type="http://schemas.openxmlformats.org/officeDocument/2006/relationships/worksheet" Target="/xl/worksheets/sheet1.xml" Id="R65fc5fe2b495472a" /><Relationship Type="http://schemas.openxmlformats.org/officeDocument/2006/relationships/worksheet" Target="/xl/worksheets/sheet2.xml" Id="Ra8e6e9668eb24c70" /></Relationships>
</file>

<file path=xl/tables/table1.xml><?xml version="1.0" encoding="utf-8"?>
<x:table xmlns:x="http://schemas.openxmlformats.org/spreadsheetml/2006/main" id="1" name="GPTTestTable" displayName="GPTTestTable" ref="A1:U75" headerRowCount="1" totalsRowCount="0" totalsRowShown="0">
  <x:tableColumns count="21">
    <x:tableColumn id="1" name="Passage_ID"/>
    <x:tableColumn id="2" name="Original_Number"/>
    <x:tableColumn id="3" name="Reference"/>
    <x:tableColumn id="4" name="Text_Content"/>
    <x:tableColumn id="5" name="Document"/>
    <x:tableColumn id="6" name="Source_File"/>
    <x:tableColumn id="7" name="Gold_Unlearning"/>
    <x:tableColumn id="8" name="Gold_Binary"/>
    <x:tableColumn id="9" name="Original_Labeler"/>
    <x:tableColumn id="10" name="Selected_Codes"/>
    <x:tableColumn id="11" name="Adjudication_Rationale"/>
    <x:tableColumn id="12" name="Latest_Label_Source"/>
    <x:tableColumn id="13" name="Rationale_Source"/>
    <x:tableColumn id="14" name="Review_Flag"/>
    <x:tableColumn id="15" name="Review_Issue"/>
    <x:tableColumn id="16" name="Duplicate_Type"/>
    <x:tableColumn id="17" name="Dedup_Action"/>
    <x:tableColumn id="18" name="Text_Cleaning_Notes"/>
    <x:tableColumn id="19" name="Label_History"/>
    <x:tableColumn id="20" name="Source_Records"/>
    <x:tableColumn id="21" name="Leakage_Check"/>
  </x:tableColumns>
  <x:tableStyleInfo name="TableStyleMedium2" showFirstColumn="0" showLastColumn="0" showRowStripes="1" showColumnStripes="0"/>
</x:table>
</file>

<file path=xl/tables/table2.xml><?xml version="1.0" encoding="utf-8"?>
<x:table xmlns:x="http://schemas.openxmlformats.org/spreadsheetml/2006/main" id="2" name="ExclusionAuditTable" displayName="ExclusionAuditTable" ref="W14:AG39" headerRowCount="1" totalsRowCount="0" totalsRowShown="0">
  <x:tableColumns count="11">
    <x:tableColumn id="1" name="Excluded_Group_ID"/>
    <x:tableColumn id="2" name="Document"/>
    <x:tableColumn id="3" name="Original_Number(s)"/>
    <x:tableColumn id="4" name="Reference(s)"/>
    <x:tableColumn id="5" name="Excluded_Text"/>
    <x:tableColumn id="6" name="Exclusion_Category"/>
    <x:tableColumn id="7" name="Exclusion_Reason"/>
    <x:tableColumn id="8" name="Kept_Passage_ID"/>
    <x:tableColumn id="9" name="Historical_Labels"/>
    <x:tableColumn id="10" name="Historical_Labelers"/>
    <x:tableColumn id="11" name="Source_Recor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9f37d662f446e0" /><Relationship Type="http://schemas.openxmlformats.org/officeDocument/2006/relationships/table" Target="/xl/tables/table2.xml" Id="R84348c54b3834100" /></Relationships>
</file>

<file path=xl/worksheets/sheet1.xml><?xml version="1.0" encoding="utf-8"?>
<x:worksheet xmlns:x="http://schemas.openxmlformats.org/spreadsheetml/2006/main">
  <x:sheetFormatPr defaultRowHeight="15"/>
  <x:cols>
    <x:col min="1" max="1" width="13" hidden="0" customWidth="1"/>
    <x:col min="2" max="2" width="13" hidden="0" customWidth="1"/>
    <x:col min="3" max="3" width="11" hidden="0" customWidth="1"/>
    <x:col min="4" max="4" width="60" hidden="0" customWidth="1"/>
    <x:col min="5" max="5" width="18" hidden="0" customWidth="1"/>
    <x:col min="6" max="6" width="38" hidden="0" customWidth="1"/>
    <x:col min="7" max="7" width="15" hidden="0" customWidth="1"/>
    <x:col min="8" max="8" width="11" hidden="0" customWidth="1"/>
    <x:col min="9" max="9" width="14" hidden="0" customWidth="1"/>
    <x:col min="10" max="10" width="42" hidden="0" customWidth="1"/>
    <x:col min="11" max="11" width="48" hidden="0" customWidth="1"/>
    <x:col min="12" max="12" width="34" hidden="0" customWidth="1"/>
    <x:col min="13" max="13" width="32" hidden="0" customWidth="1"/>
    <x:col min="14" max="14" width="12" hidden="0" customWidth="1"/>
    <x:col min="15" max="15" width="52" hidden="0" customWidth="1"/>
    <x:col min="16" max="16" width="22" hidden="0" customWidth="1"/>
    <x:col min="17" max="17" width="48" hidden="0" customWidth="1"/>
    <x:col min="18" max="18" width="30" hidden="0" customWidth="1"/>
    <x:col min="19" max="19" width="56" hidden="0" customWidth="1"/>
    <x:col min="20" max="20" width="44" hidden="0" customWidth="1"/>
    <x:col min="21" max="21" width="34" hidden="0" customWidth="1"/>
    <x:col min="23" max="23" width="16" hidden="0" customWidth="1"/>
    <x:col min="24" max="24" width="18" hidden="0" customWidth="1"/>
    <x:col min="25" max="25" width="17" hidden="0" customWidth="1"/>
    <x:col min="26" max="26" width="13" hidden="0" customWidth="1"/>
    <x:col min="27" max="27" width="55" hidden="0" customWidth="1"/>
    <x:col min="29" max="29" width="52" hidden="0" customWidth="1"/>
    <x:col min="30" max="30" width="15" hidden="0" customWidth="1"/>
    <x:col min="31" max="31" width="14" hidden="0" customWidth="1"/>
    <x:col min="32" max="32" width="22" hidden="0" customWidth="1"/>
    <x:col min="33" max="33" width="36" hidden="0" customWidth="1"/>
    <x:col min="28" max="28" width="23" hidden="0" customWidth="1"/>
  </x:cols>
  <x:sheetData>
    <x:row r="1" ht="26" customHeight="1">
      <x:c r="A1" s="16" t="str">
        <x:v>Passage_ID</x:v>
      </x:c>
      <x:c r="B1" s="17" t="str">
        <x:v>Original_Number</x:v>
      </x:c>
      <x:c r="C1" s="17" t="str">
        <x:v>Reference</x:v>
      </x:c>
      <x:c r="D1" s="17" t="str">
        <x:v>Text_Content</x:v>
      </x:c>
      <x:c r="E1" s="17" t="str">
        <x:v>Document</x:v>
      </x:c>
      <x:c r="F1" s="17" t="str">
        <x:v>Source_File</x:v>
      </x:c>
      <x:c r="G1" s="17" t="str">
        <x:v>Gold_Unlearning</x:v>
      </x:c>
      <x:c r="H1" s="17" t="str">
        <x:v>Gold_Binary</x:v>
      </x:c>
      <x:c r="I1" s="17" t="str">
        <x:v>Original_Labeler</x:v>
      </x:c>
      <x:c r="J1" s="17" t="str">
        <x:v>Selected_Codes</x:v>
      </x:c>
      <x:c r="K1" s="17" t="str">
        <x:v>Adjudication_Rationale</x:v>
      </x:c>
      <x:c r="L1" s="17" t="str">
        <x:v>Latest_Label_Source</x:v>
      </x:c>
      <x:c r="M1" s="17" t="str">
        <x:v>Rationale_Source</x:v>
      </x:c>
      <x:c r="N1" s="17" t="str">
        <x:v>Review_Flag</x:v>
      </x:c>
      <x:c r="O1" s="17" t="str">
        <x:v>Review_Issue</x:v>
      </x:c>
      <x:c r="P1" s="17" t="str">
        <x:v>Duplicate_Type</x:v>
      </x:c>
      <x:c r="Q1" s="17" t="str">
        <x:v>Dedup_Action</x:v>
      </x:c>
      <x:c r="R1" s="17" t="str">
        <x:v>Text_Cleaning_Notes</x:v>
      </x:c>
      <x:c r="S1" s="17" t="str">
        <x:v>Label_History</x:v>
      </x:c>
      <x:c r="T1" s="17" t="str">
        <x:v>Source_Records</x:v>
      </x:c>
      <x:c r="U1" s="18" t="str">
        <x:v>Leakage_Check</x:v>
      </x:c>
      <x:c r="W1" s="72" t="str">
        <x:v>Curation Summary</x:v>
      </x:c>
      <x:c r="X1" s="73"/>
      <x:c r="Y1" s="73"/>
      <x:c r="Z1" s="73"/>
      <x:c r="AA1" s="74"/>
      <x:c r="AC1" s="72" t="str">
        <x:v>Included Passages by Document</x:v>
      </x:c>
      <x:c r="AD1" s="73"/>
      <x:c r="AE1" s="73"/>
      <x:c r="AF1" s="73"/>
      <x:c r="AG1" s="74"/>
    </x:row>
    <x:row r="2" ht="68" customHeight="1">
      <x:c r="A2" s="46" t="str">
        <x:v>ERP-001</x:v>
      </x:c>
      <x:c r="B2" s="52" t="str">
        <x:v>2:1</x:v>
      </x:c>
      <x:c r="C2" s="52" t="str">
        <x:v>p 6</x:v>
      </x:c>
      <x:c r="D2" s="31" t="str">
        <x:v>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x:v>
      </x:c>
      <x:c r="E2" s="52" t="str">
        <x:v>ERP Report</x:v>
      </x:c>
      <x:c r="F2" s="31" t="str">
        <x:v>erpreport.pdf</x:v>
      </x:c>
      <x:c r="G2" s="52" t="str">
        <x:v>Yes</x:v>
      </x:c>
      <x:c r="H2" s="58" t="n">
        <x:v>1</x:v>
      </x:c>
      <x:c r="I2" s="52" t="str">
        <x:v>anmol</x:v>
      </x:c>
      <x:c r="J2" s="31" t="str">
        <x:v>Nature: Technical Nature, Pillar: Realignment (Technical), Unlearning</x:v>
      </x:c>
      <x:c r="K2" s="31" t="str">
        <x:v>It identifies an engineering problem and implicitly calls for armouring and a change in construction practice.</x:v>
      </x:c>
      <x:c r="L2" s="31" t="str">
        <x:v>AnmolRationale_August12!row 26 (Latest Anmol August 12 re-evaluation)</x:v>
      </x:c>
      <x:c r="M2" s="31" t="str">
        <x:v>AnmolRationale_August12!row 26</x:v>
      </x:c>
      <x:c r="N2" s="52" t="str">
        <x:v>Yes</x:v>
      </x:c>
      <x:c r="O2" s="31" t="str">
        <x:v>Multiple labelers (anmol, kyle); exact-duplicate priority yields anmol.</x:v>
      </x:c>
      <x:c r="P2" s="52" t="str">
        <x:v>Exact annotation duplicate</x:v>
      </x:c>
      <x:c r="Q2" s="31" t="str">
        <x:v>Consolidated exact duplicate annotations from multiple sheets into one passage row.</x:v>
      </x:c>
      <x:c r="R2" s="31" t="str"/>
      <x:c r="S2" s="31" t="str">
        <x:v>AnmolRationale_August12!r26 (G044; anmol): Yes [SELECTED] | ICAResults_25April2026!r55 (G044; kyle): Yes | RationaleSheet_April20_v1!r30 (G044; kyle): Yes</x:v>
      </x:c>
      <x:c r="T2" s="31" t="str">
        <x:v>AnmolRationale_August12!r26[G044]; ICAResults_25April2026!r55[G044]; RationaleSheet_April20_v1!r30[G044]</x:v>
      </x:c>
      <x:c r="U2" s="32" t="str">
        <x:v>Clear — no codebook example passage retained</x:v>
      </x:c>
      <x:c r="W2" s="146" t="str">
        <x:v>Included passages</x:v>
      </x:c>
      <x:c r="X2" s="164" t="n">
        <x:f>COUNTA(A2:A75)</x:f>
        <x:v>74</x:v>
      </x:c>
      <x:c r="Y2" s="106" t="str">
        <x:v>Unique, included test rows after duplicate/leakage curation</x:v>
      </x:c>
      <x:c r="AC2" s="254" t="str">
        <x:v>Document</x:v>
      </x:c>
      <x:c r="AD2" s="255" t="str">
        <x:v>Included</x:v>
      </x:c>
      <x:c r="AE2" s="255" t="str">
        <x:v>Yes</x:v>
      </x:c>
      <x:c r="AF2" s="255" t="str">
        <x:v>No</x:v>
      </x:c>
      <x:c r="AG2" s="256" t="str">
        <x:v>Review Flags</x:v>
      </x:c>
    </x:row>
    <x:row r="3" ht="68" customHeight="1">
      <x:c r="A3" s="47" t="str">
        <x:v>ERP-002</x:v>
      </x:c>
      <x:c r="B3" s="53" t="str">
        <x:v>2:2</x:v>
      </x:c>
      <x:c r="C3" s="53" t="str">
        <x:v>p 6</x:v>
      </x:c>
      <x:c r="D3" s="4" t="str">
        <x:v>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x:v>
      </x:c>
      <x:c r="E3" s="53" t="str">
        <x:v>ERP Report</x:v>
      </x:c>
      <x:c r="F3" s="4" t="str">
        <x:v>erpreport.pdf</x:v>
      </x:c>
      <x:c r="G3" s="53" t="str">
        <x:v>Yes</x:v>
      </x:c>
      <x:c r="H3" s="59" t="n">
        <x:v>1</x:v>
      </x:c>
      <x:c r="I3" s="53" t="str">
        <x:v>anmol</x:v>
      </x:c>
      <x:c r="J3" s="4" t="str">
        <x:v>Depth: High depth, Nature: Technical Nature, Pillar: Realignment (Technical), Unlearning</x:v>
      </x:c>
      <x:c r="K3" s="4" t="str">
        <x:v>It identifies an engineering problem and calls for an inter-connected system.</x:v>
      </x:c>
      <x:c r="L3" s="4" t="str">
        <x:v>AnmolRationale_August12!row 27 (Latest Anmol August 12 re-evaluation)</x:v>
      </x:c>
      <x:c r="M3" s="4" t="str">
        <x:v>AnmolRationale_August12!row 27</x:v>
      </x:c>
      <x:c r="N3" s="53" t="str">
        <x:v>Yes</x:v>
      </x:c>
      <x:c r="O3" s="4" t="str">
        <x:v>Multiple labelers (anmol, kyle); exact-duplicate priority yields anmol.</x:v>
      </x:c>
      <x:c r="P3" s="53" t="str">
        <x:v>Exact annotation duplicate</x:v>
      </x:c>
      <x:c r="Q3" s="4" t="str">
        <x:v>Consolidated exact duplicate annotations from multiple sheets into one passage row.</x:v>
      </x:c>
      <x:c r="R3" s="4" t="str"/>
      <x:c r="S3" s="4" t="str">
        <x:v>AnmolRationale_August12!r27 (G045; anmol): Yes [SELECTED] | ICAResults_25April2026!r56 (G045; kyle): Yes | RationaleSheet_April20_v1!r31 (G045; kyle): Yes</x:v>
      </x:c>
      <x:c r="T3" s="4" t="str">
        <x:v>AnmolRationale_August12!r27[G045]; ICAResults_25April2026!r56[G045]; RationaleSheet_April20_v1!r31[G045]</x:v>
      </x:c>
      <x:c r="U3" s="34" t="str">
        <x:v>Clear — no codebook example passage retained</x:v>
      </x:c>
      <x:c r="W3" s="147" t="str">
        <x:v>Gold Yes</x:v>
      </x:c>
      <x:c r="X3" s="165" t="n">
        <x:f>COUNTIF(G2:G75,"Yes")</x:f>
        <x:v>54</x:v>
      </x:c>
      <x:c r="Y3" s="109" t="str">
        <x:v>Final Unlearning = Yes</x:v>
      </x:c>
      <x:c r="AC3" s="286" t="str">
        <x:v>ERP Report</x:v>
      </x:c>
      <x:c r="AD3" s="287" t="n">
        <x:f>COUNTIF($E$2:$E$75,AC3)</x:f>
        <x:v>28</x:v>
      </x:c>
      <x:c r="AE3" s="287" t="n">
        <x:f>COUNTIFS($E$2:$E$75,AC3,$G$2:$G$75,"Yes")</x:f>
        <x:v>22</x:v>
      </x:c>
      <x:c r="AF3" s="287" t="n">
        <x:f>COUNTIFS($E$2:$E$75,AC3,$G$2:$G$75,"No")</x:f>
        <x:v>6</x:v>
      </x:c>
      <x:c r="AG3" s="288" t="n">
        <x:f>COUNTIFS($E$2:$E$75,AC3,$N$2:$N$75,"Yes")</x:f>
        <x:v>28</x:v>
      </x:c>
    </x:row>
    <x:row r="4" ht="68" customHeight="1">
      <x:c r="A4" s="47" t="str">
        <x:v>ERP-003</x:v>
      </x:c>
      <x:c r="B4" s="53" t="str">
        <x:v>2:3</x:v>
      </x:c>
      <x:c r="C4" s="53" t="str">
        <x:v>p 7</x:v>
      </x:c>
      <x:c r="D4" s="4" t="str">
        <x:v>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E4" s="53" t="str">
        <x:v>ERP Report</x:v>
      </x:c>
      <x:c r="F4" s="4" t="str">
        <x:v>erpreport.pdf</x:v>
      </x:c>
      <x:c r="G4" s="53" t="str">
        <x:v>Yes</x:v>
      </x:c>
      <x:c r="H4" s="59" t="n">
        <x:v>1</x:v>
      </x:c>
      <x:c r="I4" s="53" t="str">
        <x:v>anmol</x:v>
      </x:c>
      <x:c r="J4" s="4" t="str">
        <x:v>Depth: Moderate depth, Nature: Normative Nature, Pillar: Discarding (Normative), Unlearning</x:v>
      </x:c>
      <x:c r="K4" s="4" t="str">
        <x:v>it identifies inter-agency coordination as a problem and implicitly calls for change.</x:v>
      </x:c>
      <x:c r="L4" s="4" t="str">
        <x:v>AnmolRationale_August12!row 28 (Latest Anmol August 12 re-evaluation)</x:v>
      </x:c>
      <x:c r="M4" s="4" t="str">
        <x:v>AnmolRationale_August12!row 28</x:v>
      </x:c>
      <x:c r="N4" s="53" t="str">
        <x:v>Yes</x:v>
      </x:c>
      <x:c r="O4" s="4" t="str">
        <x:v>Multiple labelers (anmol, kyle); exact-duplicate priority yields anmol.</x:v>
      </x:c>
      <x:c r="P4" s="53" t="str">
        <x:v>Exact annotation duplicate</x:v>
      </x:c>
      <x:c r="Q4" s="4" t="str">
        <x:v>Consolidated exact duplicate annotations from multiple sheets into one passage row.</x:v>
      </x:c>
      <x:c r="R4" s="4" t="str"/>
      <x:c r="S4" s="4" t="str">
        <x:v>AnmolRationale_August12!r28 (G048; anmol): Yes [SELECTED] | ICAResults_25April2026!r57 (G048; kyle): Yes | RationaleSheet_April20_v1!r32 (G048; kyle): Yes</x:v>
      </x:c>
      <x:c r="T4" s="4" t="str">
        <x:v>AnmolRationale_August12!r28[G048]; ICAResults_25April2026!r57[G048]; RationaleSheet_April20_v1!r32[G048]</x:v>
      </x:c>
      <x:c r="U4" s="34" t="str">
        <x:v>Clear — no codebook example passage retained</x:v>
      </x:c>
      <x:c r="W4" s="147" t="str">
        <x:v>Gold No</x:v>
      </x:c>
      <x:c r="X4" s="165" t="n">
        <x:f>COUNTIF(G2:G75,"No")</x:f>
        <x:v>20</x:v>
      </x:c>
      <x:c r="Y4" s="109" t="str">
        <x:v>Final Unlearning = No</x:v>
      </x:c>
      <x:c r="AC4" s="289" t="str">
        <x:v>GAO</x:v>
      </x:c>
      <x:c r="AD4" s="290" t="n">
        <x:f>COUNTIF($E$2:$E$75,AC4)</x:f>
        <x:v>7</x:v>
      </x:c>
      <x:c r="AE4" s="290" t="n">
        <x:f>COUNTIFS($E$2:$E$75,AC4,$G$2:$G$75,"Yes")</x:f>
        <x:v>6</x:v>
      </x:c>
      <x:c r="AF4" s="290" t="n">
        <x:f>COUNTIFS($E$2:$E$75,AC4,$G$2:$G$75,"No")</x:f>
        <x:v>1</x:v>
      </x:c>
      <x:c r="AG4" s="291" t="n">
        <x:f>COUNTIFS($E$2:$E$75,AC4,$N$2:$N$75,"Yes")</x:f>
        <x:v>6</x:v>
      </x:c>
    </x:row>
    <x:row r="5" ht="68" customHeight="1">
      <x:c r="A5" s="47" t="str">
        <x:v>ERP-004</x:v>
      </x:c>
      <x:c r="B5" s="53" t="str">
        <x:v>2:4</x:v>
      </x:c>
      <x:c r="C5" s="53" t="str">
        <x:v>p 7</x:v>
      </x:c>
      <x:c r="D5" s="4" t="str">
        <x:v>The hurricane protection system was funded on a project-by-project basis over many years. As a result, the system was constructed in a piecemeal fashion. In addition, there were pressures for tradeoffs and low-cost solutions that compromised quality, safety, and reliability.</x:v>
      </x:c>
      <x:c r="E5" s="53" t="str">
        <x:v>ERP Report</x:v>
      </x:c>
      <x:c r="F5" s="4" t="str">
        <x:v>erpreport.pdf</x:v>
      </x:c>
      <x:c r="G5" s="53" t="str">
        <x:v>Yes</x:v>
      </x:c>
      <x:c r="H5" s="59" t="n">
        <x:v>1</x:v>
      </x:c>
      <x:c r="I5" s="53" t="str">
        <x:v>anmol</x:v>
      </x:c>
      <x:c r="J5" s="4" t="str">
        <x:v>Depth: Moderate depth, Pillar: Reconsidering (Epistemic), Unlearning</x:v>
      </x:c>
      <x:c r="K5" s="4" t="str">
        <x:v>It identifies clear problems in project development and cost-cutting and implicitly calls for a fundamental change in the approach.</x:v>
      </x:c>
      <x:c r="L5" s="4" t="str">
        <x:v>AnmolRationale_August12!row 29 (Latest Anmol August 12 re-evaluation)</x:v>
      </x:c>
      <x:c r="M5" s="4" t="str">
        <x:v>AnmolRationale_August12!row 29</x:v>
      </x:c>
      <x:c r="N5" s="53" t="str">
        <x:v>Yes</x:v>
      </x:c>
      <x:c r="O5" s="4" t="str">
        <x:v>Multiple labelers (anmol, kyle); exact-duplicate priority yields anmol.</x:v>
      </x:c>
      <x:c r="P5" s="53" t="str">
        <x:v>Near/exact text variant</x:v>
      </x:c>
      <x:c r="Q5" s="4" t="str">
        <x:v>Consolidated equivalent text groups G038, G052; retained cleaner representative G038. Also consolidated repeated annotations across source sheets.</x:v>
      </x:c>
      <x:c r="R5" s="4" t="str"/>
      <x:c r="S5" s="4" t="str">
        <x:v>AnmolRationale_August12!r29 (G038; anmol): Yes [SELECTED] | ICAResults_25April2026!r58 (G052; kyle): Yes | RationaleSheet_April20_v1!r33 (G052; kyle): Yes</x:v>
      </x:c>
      <x:c r="T5" s="4" t="str">
        <x:v>AnmolRationale_August12!r29[G038]; ICAResults_25April2026!r58[G052]; RationaleSheet_April20_v1!r33[G052]</x:v>
      </x:c>
      <x:c r="U5" s="34" t="str">
        <x:v>Clear — no codebook example passage retained</x:v>
      </x:c>
      <x:c r="W5" s="147" t="str">
        <x:v>Manual-review flags</x:v>
      </x:c>
      <x:c r="X5" s="165" t="n">
        <x:f>COUNTIF(N2:N75,"Yes")</x:f>
        <x:v>67</x:v>
      </x:c>
      <x:c r="Y5" s="109" t="str">
        <x:v>Rows with label, labeler, numbering, leakage, or text-quality issues</x:v>
      </x:c>
      <x:c r="AC5" s="289" t="str">
        <x:v>EPA</x:v>
      </x:c>
      <x:c r="AD5" s="290" t="n">
        <x:f>COUNTIF($E$2:$E$75,AC5)</x:f>
        <x:v>20</x:v>
      </x:c>
      <x:c r="AE5" s="290" t="n">
        <x:f>COUNTIFS($E$2:$E$75,AC5,$G$2:$G$75,"Yes")</x:f>
        <x:v>13</x:v>
      </x:c>
      <x:c r="AF5" s="290" t="n">
        <x:f>COUNTIFS($E$2:$E$75,AC5,$G$2:$G$75,"No")</x:f>
        <x:v>7</x:v>
      </x:c>
      <x:c r="AG5" s="291" t="n">
        <x:f>COUNTIFS($E$2:$E$75,AC5,$N$2:$N$75,"Yes")</x:f>
        <x:v>18</x:v>
      </x:c>
    </x:row>
    <x:row r="6" ht="68" customHeight="1">
      <x:c r="A6" s="47" t="str">
        <x:v>ERP-005</x:v>
      </x:c>
      <x:c r="B6" s="53" t="str">
        <x:v>2:5</x:v>
      </x:c>
      <x:c r="C6" s="53" t="str">
        <x:v>p 7</x:v>
      </x:c>
      <x:c r="D6" s="4" t="str">
        <x:v>The design of the New Orleans hurricane protection system was not subject to the rigorous external review by senior experts that is often conducted for similar life-safety structures and systems.</x:v>
      </x:c>
      <x:c r="E6" s="53" t="str">
        <x:v>ERP Report</x:v>
      </x:c>
      <x:c r="F6" s="4" t="str">
        <x:v>erpreport.pdf</x:v>
      </x:c>
      <x:c r="G6" s="53" t="str">
        <x:v>Yes</x:v>
      </x:c>
      <x:c r="H6" s="59" t="n">
        <x:v>1</x:v>
      </x:c>
      <x:c r="I6" s="53" t="str">
        <x:v>anmol</x:v>
      </x:c>
      <x:c r="J6" s="4" t="str">
        <x:v>Depth: High depth, Nature: Normative Nature, Pillar: Reconsidering (Epistemic), Unlearning</x:v>
      </x:c>
      <x:c r="K6" s="4" t="str">
        <x:v>It identifies review mechanism as problemtaic and implicitly calls for external review system</x:v>
      </x:c>
      <x:c r="L6" s="4" t="str">
        <x:v>AnmolRationale_August12!row 30 (Latest Anmol August 12 re-evaluation)</x:v>
      </x:c>
      <x:c r="M6" s="4" t="str">
        <x:v>AnmolRationale_August12!row 30</x:v>
      </x:c>
      <x:c r="N6" s="53" t="str">
        <x:v>Yes</x:v>
      </x:c>
      <x:c r="O6" s="4" t="str">
        <x:v>Multiple labelers (anmol, kyle); exact-duplicate priority yields anmol.</x:v>
      </x:c>
      <x:c r="P6" s="53" t="str">
        <x:v>Exact annotation duplicate</x:v>
      </x:c>
      <x:c r="Q6" s="4" t="str">
        <x:v>Consolidated exact duplicate annotations from multiple sheets into one passage row.</x:v>
      </x:c>
      <x:c r="R6" s="4" t="str"/>
      <x:c r="S6" s="4" t="str">
        <x:v>AnmolRationale_August12!r30 (G049; anmol): Yes [SELECTED] | ICAResults_25April2026!r59 (G049; kyle): Yes | RationaleSheet_April20_v1!r34 (G049; kyle): Yes</x:v>
      </x:c>
      <x:c r="T6" s="4" t="str">
        <x:v>AnmolRationale_August12!r30[G049]; ICAResults_25April2026!r59[G049]; RationaleSheet_April20_v1!r34[G049]</x:v>
      </x:c>
      <x:c r="U6" s="34" t="str">
        <x:v>Clear — no codebook example passage retained</x:v>
      </x:c>
      <x:c r="W6" s="147" t="str">
        <x:v>Excluded passage groups</x:v>
      </x:c>
      <x:c r="X6" s="165" t="n">
        <x:f>COUNTA(W15:W39)</x:f>
        <x:v>25</x:v>
      </x:c>
      <x:c r="Y6" s="109" t="str">
        <x:v>Duplicate/child, codebook leakage, or non-paragraph exclusions</x:v>
      </x:c>
      <x:c r="AC6" s="289" t="str">
        <x:v>Hurricane Katrina</x:v>
      </x:c>
      <x:c r="AD6" s="290" t="n">
        <x:f>COUNTIF($E$2:$E$75,AC6)</x:f>
        <x:v>11</x:v>
      </x:c>
      <x:c r="AE6" s="290" t="n">
        <x:f>COUNTIFS($E$2:$E$75,AC6,$G$2:$G$75,"Yes")</x:f>
        <x:v>5</x:v>
      </x:c>
      <x:c r="AF6" s="290" t="n">
        <x:f>COUNTIFS($E$2:$E$75,AC6,$G$2:$G$75,"No")</x:f>
        <x:v>6</x:v>
      </x:c>
      <x:c r="AG6" s="291" t="n">
        <x:f>COUNTIFS($E$2:$E$75,AC6,$N$2:$N$75,"Yes")</x:f>
        <x:v>11</x:v>
      </x:c>
    </x:row>
    <x:row r="7" ht="68" customHeight="1">
      <x:c r="A7" s="47" t="str">
        <x:v>ERP-006</x:v>
      </x:c>
      <x:c r="B7" s="53" t="str">
        <x:v>2:7</x:v>
      </x:c>
      <x:c r="C7" s="53" t="str">
        <x:v>p 7</x:v>
      </x:c>
      <x:c r="D7" s="4" t="str">
        <x:v>Quantify and periodically update the assessment of risk. This approach should be extended to all areas in the United States that are vulnerable to major losses from hurricanes and flooding.</x:v>
      </x:c>
      <x:c r="E7" s="53" t="str">
        <x:v>ERP Report</x:v>
      </x:c>
      <x:c r="F7" s="4" t="str">
        <x:v>erpreport.pdf</x:v>
      </x:c>
      <x:c r="G7" s="53" t="str">
        <x:v>No</x:v>
      </x:c>
      <x:c r="H7" s="59" t="n">
        <x:v>0</x:v>
      </x:c>
      <x:c r="I7" s="53" t="str">
        <x:v>anmol</x:v>
      </x:c>
      <x:c r="J7" s="4" t="str">
        <x:v>Depth: Low depth, Nature: Technical Nature, Pillar: Realignment (Technical), Unlearning</x:v>
      </x:c>
      <x:c r="K7" s="4" t="str">
        <x:v>not unlearning. Its not about fundamental rethingk or abandongin,b ut more of updating and extending.</x:v>
      </x:c>
      <x:c r="L7" s="4" t="str">
        <x:v>AnmolRationale_August12!row 32 (Latest Anmol August 12 re-evaluation)</x:v>
      </x:c>
      <x:c r="M7" s="4" t="str">
        <x:v>AnmolRationale_August12!row 32</x:v>
      </x:c>
      <x:c r="N7" s="53" t="str">
        <x:v>Yes</x:v>
      </x:c>
      <x:c r="O7" s="4" t="str">
        <x:v>Conflicting historical binary labels (No/Yes); final label follows AnmolRationale_August12!row 32. Multiple labelers (anmol, kyle); exact-duplicate priority yields anmol. Latest rationale overrides stale code field (Yes in Codes vs No final).</x:v>
      </x:c>
      <x:c r="P7" s="53" t="str">
        <x:v>Exact annotation duplicate</x:v>
      </x:c>
      <x:c r="Q7" s="4" t="str">
        <x:v>Consolidated exact duplicate annotations from multiple sheets into one passage row.</x:v>
      </x:c>
      <x:c r="R7" s="4" t="str"/>
      <x:c r="S7" s="4" t="str">
        <x:v>AnmolRationale_August12!r32 (G051; anmol): No [SELECTED] | ICAResults_25April2026!r61 (G051; kyle): Yes | RationaleSheet_April20_v1!r36 (G051; kyle): Yes</x:v>
      </x:c>
      <x:c r="T7" s="4" t="str">
        <x:v>AnmolRationale_August12!r32[G051]; ICAResults_25April2026!r61[G051]; RationaleSheet_April20_v1!r36[G051]</x:v>
      </x:c>
      <x:c r="U7" s="34" t="str">
        <x:v>Clear — no codebook example passage retained</x:v>
      </x:c>
      <x:c r="W7" s="148" t="str">
        <x:v>Missing original labeler</x:v>
      </x:c>
      <x:c r="X7" s="166" t="n">
        <x:f>COUNTBLANK(I2:I75)</x:f>
        <x:v>2</x:v>
      </x:c>
      <x:c r="Y7" s="112" t="str">
        <x:v>Retained Findings-only passages; no labeler was invented</x:v>
      </x:c>
      <x:c r="AC7" s="292" t="str">
        <x:v>PAR</x:v>
      </x:c>
      <x:c r="AD7" s="293" t="n">
        <x:f>COUNTIF($E$2:$E$75,AC7)</x:f>
        <x:v>8</x:v>
      </x:c>
      <x:c r="AE7" s="293" t="n">
        <x:f>COUNTIFS($E$2:$E$75,AC7,$G$2:$G$75,"Yes")</x:f>
        <x:v>8</x:v>
      </x:c>
      <x:c r="AF7" s="293" t="n">
        <x:f>COUNTIFS($E$2:$E$75,AC7,$G$2:$G$75,"No")</x:f>
        <x:v>0</x:v>
      </x:c>
      <x:c r="AG7" s="294" t="n">
        <x:f>COUNTIFS($E$2:$E$75,AC7,$N$2:$N$75,"Yes")</x:f>
        <x:v>4</x:v>
      </x:c>
    </x:row>
    <x:row r="8" ht="68" customHeight="1">
      <x:c r="A8" s="47" t="str">
        <x:v>ERP-007</x:v>
      </x:c>
      <x:c r="B8" s="53" t="str">
        <x:v>2:8</x:v>
      </x:c>
      <x:c r="C8" s="53" t="str">
        <x:v>pp 7-8</x:v>
      </x:c>
      <x:c r="D8" s="4" t="str">
        <x:v>Determine the level of acceptable risk in the community through quality interactive public risk communication programs in New
Orleans and other areas threatened by hurricanes and flooding.
Once determined, manage the risks accordingly.</x:v>
      </x:c>
      <x:c r="E8" s="53" t="str">
        <x:v>ERP Report</x:v>
      </x:c>
      <x:c r="F8" s="4" t="str">
        <x:v>erpreport.pdf</x:v>
      </x:c>
      <x:c r="G8" s="53" t="str">
        <x:v>No</x:v>
      </x:c>
      <x:c r="H8" s="59" t="n">
        <x:v>0</x:v>
      </x:c>
      <x:c r="I8" s="53" t="str">
        <x:v>anmol</x:v>
      </x:c>
      <x:c r="J8" s="4" t="str">
        <x:v>Depth: Moderate depth, Nature: Normative Nature, Pillar: Merging (Integrative), Unlearning</x:v>
      </x:c>
      <x:c r="K8" s="4" t="str">
        <x:v>Not unlearnign. This is a generic statement and doesnt identify what was broken and needs to be rethought.</x:v>
      </x:c>
      <x:c r="L8" s="4" t="str">
        <x:v>AnmolRationale_August12!row 33 (Latest Anmol August 12 re-evaluation)</x:v>
      </x:c>
      <x:c r="M8" s="4" t="str">
        <x:v>AnmolRationale_August12!row 33</x:v>
      </x:c>
      <x:c r="N8" s="53" t="str">
        <x:v>Yes</x:v>
      </x:c>
      <x:c r="O8" s="4" t="str">
        <x:v>Conflicting historical binary labels (No/Yes); final label follows AnmolRationale_August12!row 33. Multiple labelers (anmol, kyle); exact-duplicate priority yields anmol. Latest rationale overrides stale code field (Yes in Codes vs No final).</x:v>
      </x:c>
      <x:c r="P8" s="53" t="str">
        <x:v>Near/exact text variant</x:v>
      </x:c>
      <x:c r="Q8" s="4" t="str">
        <x:v>Consolidated equivalent text groups G039, G042; retained cleaner representative G039. Also consolidated repeated annotations across source sheets.</x:v>
      </x:c>
      <x:c r="R8" s="4" t="str"/>
      <x:c r="S8" s="4" t="str">
        <x:v>AnmolRationale_August12!r33 (G039; anmol): No [SELECTED] | ICAResults_25April2026!r62 (G042; kyle): Yes | RationaleSheet_April20_v1!r37 (G042; kyle): Yes</x:v>
      </x:c>
      <x:c r="T8" s="4" t="str">
        <x:v>AnmolRationale_August12!r33[G039]; ICAResults_25April2026!r62[G042]; RationaleSheet_April20_v1!r37[G042]</x:v>
      </x:c>
      <x:c r="U8" s="34" t="str">
        <x:v>Clear — no codebook example passage retained</x:v>
      </x:c>
    </x:row>
    <x:row r="9" ht="40" customHeight="1">
      <x:c r="A9" s="47" t="str">
        <x:v>ERP-008</x:v>
      </x:c>
      <x:c r="B9" s="53" t="str">
        <x:v>2:9</x:v>
      </x:c>
      <x:c r="C9" s="53" t="str">
        <x:v>p 8</x:v>
      </x:c>
      <x:c r="D9" s="4" t="str">
        <x:v>Correct the system’s deficiencies by establishing mechanisms to incorporate changing information, making the levees survivable if overtopped, strengthening the I-walls and levees, and upgrading the pumping stations</x:v>
      </x:c>
      <x:c r="E9" s="53" t="str">
        <x:v>ERP Report</x:v>
      </x:c>
      <x:c r="F9" s="4" t="str">
        <x:v>erpreport.pdf</x:v>
      </x:c>
      <x:c r="G9" s="53" t="str">
        <x:v>No</x:v>
      </x:c>
      <x:c r="H9" s="59" t="n">
        <x:v>0</x:v>
      </x:c>
      <x:c r="I9" s="53" t="str">
        <x:v>anmol</x:v>
      </x:c>
      <x:c r="J9" s="4" t="str">
        <x:v>Depth: Moderate depth, Nature: Technical Nature, Pillar: Realignment (Technical), Unlearning</x:v>
      </x:c>
      <x:c r="K9" s="4" t="str">
        <x:v>This is not unlearning. It speaks to upgrades and coorective measures, not fundamental rethink.</x:v>
      </x:c>
      <x:c r="L9" s="4" t="str">
        <x:v>AnmolRationale_August12!row 34 (Latest Anmol August 12 re-evaluation)</x:v>
      </x:c>
      <x:c r="M9" s="4" t="str">
        <x:v>AnmolRationale_August12!row 34</x:v>
      </x:c>
      <x:c r="N9" s="53" t="str">
        <x:v>Yes</x:v>
      </x:c>
      <x:c r="O9" s="4" t="str">
        <x:v>Conflicting historical binary labels (No/Yes); final label follows AnmolRationale_August12!row 34. Multiple labelers (anmol, kyle); exact-duplicate priority yields anmol. Latest rationale overrides stale code field (Yes in Codes vs No final).</x:v>
      </x:c>
      <x:c r="P9" s="53" t="str">
        <x:v>Exact annotation duplicate</x:v>
      </x:c>
      <x:c r="Q9" s="4" t="str">
        <x:v>Consolidated exact duplicate annotations from multiple sheets into one passage row.</x:v>
      </x:c>
      <x:c r="R9" s="4" t="str"/>
      <x:c r="S9" s="4" t="str">
        <x:v>AnmolRationale_August12!r34 (G059; anmol): No [SELECTED] | ICAResults_25April2026!r63 (G059; kyle): Yes | RationaleSheet_April20_v1!r38 (G059; kyle): Yes</x:v>
      </x:c>
      <x:c r="T9" s="4" t="str">
        <x:v>AnmolRationale_August12!r34[G059]; ICAResults_25April2026!r63[G059]; RationaleSheet_April20_v1!r38[G059]</x:v>
      </x:c>
      <x:c r="U9" s="34" t="str">
        <x:v>Clear — no codebook example passage retained</x:v>
      </x:c>
      <x:c r="W9" s="181" t="str">
        <x:v>Scope</x:v>
      </x:c>
      <x:c r="X9" s="210" t="str">
        <x:v>This sheet contains every eligible passage record found across the five requested source documents in the attached workbook. It does not yet add unlabeled paragraphs extracted directly from the PDFs; that will be done in the notebook stage after this curation is approved.</x:v>
      </x:c>
      <x:c r="Y9" s="211"/>
      <x:c r="Z9" s="211"/>
      <x:c r="AA9" s="212"/>
    </x:row>
    <x:row r="10" ht="40" customHeight="1">
      <x:c r="A10" s="47" t="str">
        <x:v>ERP-009</x:v>
      </x:c>
      <x:c r="B10" s="53" t="str">
        <x:v>2:10</x:v>
      </x:c>
      <x:c r="C10" s="53" t="str">
        <x:v>p 8</x:v>
      </x:c>
      <x:c r="D10" s="4" t="str">
        <x:v>Assign to a single entity or individual (a licensed engineer) the responsibility of managing critical hurricane and flood protection systems such as the one in New Orleans.</x:v>
      </x:c>
      <x:c r="E10" s="53" t="str">
        <x:v>ERP Report</x:v>
      </x:c>
      <x:c r="F10" s="4" t="str">
        <x:v>erpreport.pdf</x:v>
      </x:c>
      <x:c r="G10" s="53" t="str">
        <x:v>Yes</x:v>
      </x:c>
      <x:c r="H10" s="59" t="n">
        <x:v>1</x:v>
      </x:c>
      <x:c r="I10" s="53" t="str">
        <x:v>anmol</x:v>
      </x:c>
      <x:c r="J10" s="4" t="str">
        <x:v>Depth: Moderate depth, Nature: Normative Nature, Pillar: Realignment (Technical), Unlearning</x:v>
      </x:c>
      <x:c r="K10" s="4" t="str">
        <x:v>This is unlearning. It doesnt identify a clear problem, but calls for fundamental rethink by assigning a single entity responsible managing criticl huyrricane.</x:v>
      </x:c>
      <x:c r="L10" s="4" t="str">
        <x:v>AnmolRationale_August12!row 35 (Latest Anmol August 12 re-evaluation)</x:v>
      </x:c>
      <x:c r="M10" s="4" t="str">
        <x:v>AnmolRationale_August12!row 35</x:v>
      </x:c>
      <x:c r="N10" s="53" t="str">
        <x:v>Yes</x:v>
      </x:c>
      <x:c r="O10" s="4" t="str">
        <x:v>Multiple labelers (anmol, kyle); exact-duplicate priority yields anmol.</x:v>
      </x:c>
      <x:c r="P10" s="53" t="str">
        <x:v>Exact annotation duplicate</x:v>
      </x:c>
      <x:c r="Q10" s="4" t="str">
        <x:v>Consolidated exact duplicate annotations from multiple sheets into one passage row.</x:v>
      </x:c>
      <x:c r="R10" s="4" t="str"/>
      <x:c r="S10" s="4" t="str">
        <x:v>AnmolRationale_August12!r35 (G060; anmol): Yes [SELECTED] | ICAResults_25April2026!r64 (G060; kyle): Yes | RationaleSheet_April20_v1!r39 (G060; kyle): Yes</x:v>
      </x:c>
      <x:c r="T10" s="4" t="str">
        <x:v>AnmolRationale_August12!r35[G060]; ICAResults_25April2026!r64[G060]; RationaleSheet_April20_v1!r39[G060]</x:v>
      </x:c>
      <x:c r="U10" s="34" t="str">
        <x:v>Clear — no codebook example passage retained</x:v>
      </x:c>
      <x:c r="W10" s="182"/>
      <x:c r="X10" s="213"/>
      <x:c r="Y10" s="214"/>
      <x:c r="Z10" s="214"/>
      <x:c r="AA10" s="215"/>
    </x:row>
    <x:row r="11" ht="40" customHeight="1">
      <x:c r="A11" s="47" t="str">
        <x:v>ERP-010</x:v>
      </x:c>
      <x:c r="B11" s="53" t="str">
        <x:v>2:11</x:v>
      </x:c>
      <x:c r="C11" s="53" t="str">
        <x:v>p 8</x:v>
      </x:c>
      <x:c r="D11" s="4" t="str">
        <x:v>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x:v>
      </x:c>
      <x:c r="E11" s="53" t="str">
        <x:v>ERP Report</x:v>
      </x:c>
      <x:c r="F11" s="4" t="str">
        <x:v>erpreport.pdf</x:v>
      </x:c>
      <x:c r="G11" s="53" t="str">
        <x:v>No</x:v>
      </x:c>
      <x:c r="H11" s="59" t="n">
        <x:v>0</x:v>
      </x:c>
      <x:c r="I11" s="53" t="str">
        <x:v>anmol</x:v>
      </x:c>
      <x:c r="J11" s="4" t="str">
        <x:v>Depth: Low depth, Nature: Technical Nature, Pillar: Merging (Integrative), Unlearning</x:v>
      </x:c>
      <x:c r="K11" s="4" t="str">
        <x:v>This is not unlearnign. It doesnt exolicitly identify a clear problem and asks for more additive changes related to upgrading.</x:v>
      </x:c>
      <x:c r="L11" s="4" t="str">
        <x:v>AnmolRationale_August12!row 36 (Latest Anmol August 12 re-evaluation)</x:v>
      </x:c>
      <x:c r="M11" s="4" t="str">
        <x:v>AnmolRationale_August12!row 36</x:v>
      </x:c>
      <x:c r="N11" s="53" t="str">
        <x:v>Yes</x:v>
      </x:c>
      <x:c r="O11" s="4" t="str">
        <x:v>Conflicting historical binary labels (No/Yes); final label follows AnmolRationale_August12!row 36. Multiple labelers (anmol, kyle); exact-duplicate priority yields anmol. Latest rationale overrides stale code field (Yes in Codes vs No final).</x:v>
      </x:c>
      <x:c r="P11" s="53" t="str">
        <x:v>Exact annotation duplicate</x:v>
      </x:c>
      <x:c r="Q11" s="4" t="str">
        <x:v>Consolidated exact duplicate annotations from multiple sheets into one passage row.</x:v>
      </x:c>
      <x:c r="R11" s="4" t="str"/>
      <x:c r="S11" s="4" t="str">
        <x:v>AnmolRationale_August12!r36 (G061; anmol): No [SELECTED] | ICAResults_25April2026!r65 (G061; kyle): Yes | RationaleSheet_April20_v1!r40 (G061; kyle): Yes</x:v>
      </x:c>
      <x:c r="T11" s="4" t="str">
        <x:v>AnmolRationale_August12!r36[G061]; ICAResults_25April2026!r65[G061]; RationaleSheet_April20_v1!r40[G061]</x:v>
      </x:c>
      <x:c r="U11" s="34" t="str">
        <x:v>Clear — no codebook example passage retained</x:v>
      </x:c>
      <x:c r="W11" s="182" t="str">
        <x:v>Decision rules</x:v>
      </x:c>
      <x:c r="X11" s="213" t="str">
        <x:v>Latest AnmolRationale_August12 labels override older labels. For parent-child duplicates, the parent passage and parent labeler are retained. For exact duplicates, labeler priority is anmol &gt; prerana &gt; kyle. 'University of Delaware' is ignored as a duplicate/system labeler.</x:v>
      </x:c>
      <x:c r="Y11" s="214"/>
      <x:c r="Z11" s="214"/>
      <x:c r="AA11" s="215"/>
    </x:row>
    <x:row r="12" ht="40" customHeight="1">
      <x:c r="A12" s="47" t="str">
        <x:v>ERP-011</x:v>
      </x:c>
      <x:c r="B12" s="53" t="str">
        <x:v>2:12</x:v>
      </x:c>
      <x:c r="C12" s="53" t="str">
        <x:v>p 8</x:v>
      </x:c>
      <x:c r="D12" s="4" t="str">
        <x:v>Engage independent experts in high-level reviews of all critical life
safety structures, including hurricane and flood-protection systems.</x:v>
      </x:c>
      <x:c r="E12" s="53" t="str">
        <x:v>ERP Report</x:v>
      </x:c>
      <x:c r="F12" s="4" t="str">
        <x:v>erpreport.pdf</x:v>
      </x:c>
      <x:c r="G12" s="53" t="str">
        <x:v>Yes</x:v>
      </x:c>
      <x:c r="H12" s="59" t="n">
        <x:v>1</x:v>
      </x:c>
      <x:c r="I12" s="53" t="str">
        <x:v>anmol</x:v>
      </x:c>
      <x:c r="J12" s="4" t="str">
        <x:v>Depth: High depth, Nature: Normative Nature, Pillar: Reconsidering (Epistemic), Unlearning</x:v>
      </x:c>
      <x:c r="K12" s="4" t="str">
        <x:v>This is unlearning. It doesn't identify the clear problem explicitly, but I can surmise that independent experts weren't part of the review, and it calls for a new approach where they are engaged.</x:v>
      </x:c>
      <x:c r="L12" s="4" t="str">
        <x:v>AnmolRationale_August12!row 37 (Latest Anmol August 12 re-evaluation)</x:v>
      </x:c>
      <x:c r="M12" s="4" t="str">
        <x:v>AnmolRationale_August12!row 37</x:v>
      </x:c>
      <x:c r="N12" s="53" t="str">
        <x:v>Yes</x:v>
      </x:c>
      <x:c r="O12" s="4" t="str">
        <x:v>Multiple labelers (anmol, kyle); exact-duplicate priority yields anmol.</x:v>
      </x:c>
      <x:c r="P12" s="53" t="str">
        <x:v>Exact annotation duplicate</x:v>
      </x:c>
      <x:c r="Q12" s="4" t="str">
        <x:v>Consolidated exact duplicate annotations from multiple sheets into one passage row.</x:v>
      </x:c>
      <x:c r="R12" s="4" t="str"/>
      <x:c r="S12" s="4" t="str">
        <x:v>AnmolRationale_August12!r37 (G062; anmol): Yes [SELECTED] | ICAResults_25April2026!r66 (G062; kyle): Yes | RationaleSheet_April20_v1!r41 (G062; kyle): Yes</x:v>
      </x:c>
      <x:c r="T12" s="4" t="str">
        <x:v>AnmolRationale_August12!r37[G062]; ICAResults_25April2026!r66[G062]; RationaleSheet_April20_v1!r41[G062]</x:v>
      </x:c>
      <x:c r="U12" s="34" t="str">
        <x:v>Clear — no codebook example passage retained</x:v>
      </x:c>
      <x:c r="W12" s="183"/>
      <x:c r="X12" s="216"/>
      <x:c r="Y12" s="217"/>
      <x:c r="Z12" s="217"/>
      <x:c r="AA12" s="218"/>
    </x:row>
    <x:row r="13" ht="28" customHeight="1">
      <x:c r="A13" s="47" t="str">
        <x:v>ERP-012</x:v>
      </x:c>
      <x:c r="B13" s="53" t="str">
        <x:v>2:19</x:v>
      </x:c>
      <x:c r="C13" s="53" t="str">
        <x:v>p 56</x:v>
      </x:c>
      <x:c r="D13" s="4" t="str">
        <x:v>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x:v>
      </x:c>
      <x:c r="E13" s="53" t="str">
        <x:v>ERP Report</x:v>
      </x:c>
      <x:c r="F13" s="4" t="str">
        <x:v>erpreport.pdf</x:v>
      </x:c>
      <x:c r="G13" s="53" t="str">
        <x:v>Yes</x:v>
      </x:c>
      <x:c r="H13" s="59" t="n">
        <x:v>1</x:v>
      </x:c>
      <x:c r="I13" s="53" t="str">
        <x:v>anmol</x:v>
      </x:c>
      <x:c r="J13" s="4" t="str">
        <x:v>Depth: Moderate depth, Nature: Technical Nature, Pillar: Realignment (Technical), Stakeholder: USACE, Unlearning</x:v>
      </x:c>
      <x:c r="K13" s="4" t="str">
        <x:v>This identifies a engineering flaw in soil strength estimation and calls for adopting more conservative estimates.</x:v>
      </x:c>
      <x:c r="L13" s="4" t="str">
        <x:v>AnmolRationale_August12!row 44 (Latest Anmol August 12 re-evaluation)</x:v>
      </x:c>
      <x:c r="M13" s="4" t="str">
        <x:v>AnmolRationale_August12!row 44</x:v>
      </x:c>
      <x:c r="N13" s="53" t="str">
        <x:v>Yes</x:v>
      </x:c>
      <x:c r="O13" s="4" t="str">
        <x:v>Multiple labelers (anmol, kyle); exact-duplicate priority yields anmol. Source span contains two paragraphs; verify paragraph boundary.</x:v>
      </x:c>
      <x:c r="P13" s="53" t="str">
        <x:v>Exact annotation duplicate</x:v>
      </x:c>
      <x:c r="Q13" s="4" t="str">
        <x:v>Consolidated exact duplicate annotations from multiple sheets into one passage row.</x:v>
      </x:c>
      <x:c r="R13" s="4" t="str"/>
      <x:c r="S13" s="4" t="str">
        <x:v>AnmolRationale_August12!r44 (G043; anmol): Yes [SELECTED] | ICAResults_25April2026!r73 (G043; kyle): Yes | RationaleSheet_April20_v1!r48 (G043; kyle): Yes</x:v>
      </x:c>
      <x:c r="T13" s="4" t="str">
        <x:v>AnmolRationale_August12!r44[G043]; ICAResults_25April2026!r73[G043]; RationaleSheet_April20_v1!r48[G043]</x:v>
      </x:c>
      <x:c r="U13" s="34" t="str">
        <x:v>Clear — no codebook example passage retained</x:v>
      </x:c>
      <x:c r="W13" s="328" t="str">
        <x:v>Exclusion Audit — removed passages remain visible here for manual verification</x:v>
      </x:c>
      <x:c r="X13" s="329"/>
      <x:c r="Y13" s="329"/>
      <x:c r="Z13" s="329"/>
      <x:c r="AA13" s="329"/>
      <x:c r="AB13" s="329"/>
      <x:c r="AC13" s="329"/>
      <x:c r="AD13" s="329"/>
      <x:c r="AE13" s="329"/>
      <x:c r="AF13" s="329"/>
      <x:c r="AG13" s="330"/>
    </x:row>
    <x:row r="14" ht="32" customHeight="1">
      <x:c r="A14" s="47" t="str">
        <x:v>ERP-013</x:v>
      </x:c>
      <x:c r="B14" s="53" t="str">
        <x:v>2:20</x:v>
      </x:c>
      <x:c r="C14" s="53" t="str">
        <x:v>p 67</x:v>
      </x:c>
      <x:c r="D14" s="4" t="str">
        <x:v>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E14" s="53" t="str">
        <x:v>ERP Report</x:v>
      </x:c>
      <x:c r="F14" s="4" t="str">
        <x:v>erpreport.pdf</x:v>
      </x:c>
      <x:c r="G14" s="53" t="str">
        <x:v>Yes</x:v>
      </x:c>
      <x:c r="H14" s="59" t="n">
        <x:v>1</x:v>
      </x:c>
      <x:c r="I14" s="53" t="str">
        <x:v>anmol</x:v>
      </x:c>
      <x:c r="J14" s="4" t="str">
        <x:v>Depth: Moderate depth, Nature: Technical Nature, Pillar: Realignment (Technical), Stakeholder: Miscelleanous, Stakeholder: USACE, Unlearning</x:v>
      </x:c>
      <x:c r="K14" s="4" t="str">
        <x:v>It identifies the design, location and role of pump stations as a findamental problem and implicitly calls for them to be redesigned to play a larger role lowering floodwater.</x:v>
      </x:c>
      <x:c r="L14" s="4" t="str">
        <x:v>AnmolRationale_August12!row 45 (Latest Anmol August 12 re-evaluation)</x:v>
      </x:c>
      <x:c r="M14" s="4" t="str">
        <x:v>AnmolRationale_August12!row 45</x:v>
      </x:c>
      <x:c r="N14" s="53" t="str">
        <x:v>Yes</x:v>
      </x:c>
      <x:c r="O14" s="4" t="str">
        <x:v>Multiple labelers (anmol, kyle); exact-duplicate priority yields anmol. Source span contains two paragraphs; verify paragraph boundary.</x:v>
      </x:c>
      <x:c r="P14" s="53" t="str">
        <x:v>Exact annotation duplicate</x:v>
      </x:c>
      <x:c r="Q14" s="4" t="str">
        <x:v>Consolidated exact duplicate annotations from multiple sheets into one passage row.</x:v>
      </x:c>
      <x:c r="R14" s="4" t="str"/>
      <x:c r="S14" s="4" t="str">
        <x:v>AnmolRationale_August12!r45 (G046; anmol): Yes [SELECTED] | ICAResults_25April2026!r74 (G046; kyle): Yes | RationaleSheet_April20_v1!r49 (G046; kyle): Yes</x:v>
      </x:c>
      <x:c r="T14" s="4" t="str">
        <x:v>AnmolRationale_August12!r45[G046]; ICAResults_25April2026!r74[G046]; RationaleSheet_April20_v1!r49[G046]</x:v>
      </x:c>
      <x:c r="U14" s="34" t="str">
        <x:v>Clear — no codebook example passage retained</x:v>
      </x:c>
      <x:c r="W14" s="352" t="str">
        <x:v>Excluded_Group_ID</x:v>
      </x:c>
      <x:c r="X14" s="353" t="str">
        <x:v>Document</x:v>
      </x:c>
      <x:c r="Y14" s="353" t="str">
        <x:v>Original_Number(s)</x:v>
      </x:c>
      <x:c r="Z14" s="353" t="str">
        <x:v>Reference(s)</x:v>
      </x:c>
      <x:c r="AA14" s="353" t="str">
        <x:v>Excluded_Text</x:v>
      </x:c>
      <x:c r="AB14" s="353" t="str">
        <x:v>Exclusion_Category</x:v>
      </x:c>
      <x:c r="AC14" s="353" t="str">
        <x:v>Exclusion_Reason</x:v>
      </x:c>
      <x:c r="AD14" s="353" t="str">
        <x:v>Kept_Passage_ID</x:v>
      </x:c>
      <x:c r="AE14" s="353" t="str">
        <x:v>Historical_Labels</x:v>
      </x:c>
      <x:c r="AF14" s="353" t="str">
        <x:v>Historical_Labelers</x:v>
      </x:c>
      <x:c r="AG14" s="354" t="str">
        <x:v>Source_Records</x:v>
      </x:c>
    </x:row>
    <x:row r="15" ht="58" customHeight="1">
      <x:c r="A15" s="47" t="str">
        <x:v>ERP-014</x:v>
      </x:c>
      <x:c r="B15" s="53" t="str">
        <x:v>2:21</x:v>
      </x:c>
      <x:c r="C15" s="53" t="str">
        <x:v>p 68</x:v>
      </x:c>
      <x:c r="D15" s="4"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E15" s="53" t="str">
        <x:v>ERP Report</x:v>
      </x:c>
      <x:c r="F15" s="4" t="str">
        <x:v>erpreport.pdf</x:v>
      </x:c>
      <x:c r="G15" s="53" t="str">
        <x:v>Yes</x:v>
      </x:c>
      <x:c r="H15" s="59" t="n">
        <x:v>1</x:v>
      </x:c>
      <x:c r="I15" s="53" t="str">
        <x:v>anmol</x:v>
      </x:c>
      <x:c r="J15" s="4" t="str">
        <x:v>Depth: Moderate depth, Nature: Technical Nature, Pillar: Realignment (Technical), Stakeholder: Miscelleanous, Unlearning</x:v>
      </x:c>
      <x:c r="K15" s="4" t="str">
        <x:v>This idenfiies a clear flaw in the design of pump stations wherein there is no reverse flow mechanism and calls for redesign.</x:v>
      </x:c>
      <x:c r="L15" s="4" t="str">
        <x:v>AnmolRationale_August12!row 46 (Latest Anmol August 12 re-evaluation)</x:v>
      </x:c>
      <x:c r="M15" s="4" t="str">
        <x:v>AnmolRationale_August12!row 46</x:v>
      </x:c>
      <x:c r="N15" s="53" t="str">
        <x:v>Yes</x:v>
      </x:c>
      <x:c r="O15" s="4" t="str">
        <x:v>Multiple labelers (anmol, kyle); exact-duplicate priority yields anmol.</x:v>
      </x:c>
      <x:c r="P15" s="53" t="str">
        <x:v>Exact annotation duplicate</x:v>
      </x:c>
      <x:c r="Q15" s="4" t="str">
        <x:v>Consolidated exact duplicate annotations from multiple sheets into one passage row.</x:v>
      </x:c>
      <x:c r="R15" s="4" t="str"/>
      <x:c r="S15" s="4" t="str">
        <x:v>AnmolRationale_August12!r46 (G047; anmol): Yes [SELECTED] | ICAResults_25April2026!r75 (G047; kyle): Yes | RationaleSheet_April20_v1!r50 (G047; kyle): Yes</x:v>
      </x:c>
      <x:c r="T15" s="4" t="str">
        <x:v>AnmolRationale_August12!r46[G047]; ICAResults_25April2026!r75[G047]; RationaleSheet_April20_v1!r50[G047]</x:v>
      </x:c>
      <x:c r="U15" s="34" t="str">
        <x:v>Clear — no codebook example passage retained</x:v>
      </x:c>
      <x:c r="W15" s="423" t="str">
        <x:v>G005</x:v>
      </x:c>
      <x:c r="X15" s="429" t="str">
        <x:v>EPA</x:v>
      </x:c>
      <x:c r="Y15" s="429" t="str">
        <x:v>1:12</x:v>
      </x:c>
      <x:c r="Z15" s="429" t="str">
        <x:v>p 10</x:v>
      </x:c>
      <x:c r="AA15" s="38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AB15" s="429" t="str">
        <x:v>Parent-child duplicate</x:v>
      </x:c>
      <x:c r="AC15" s="388" t="str">
        <x:v>Child passage removed; parent passage retained as EPA-003. Parent labeler and parent-level label control. University of Delaware duplicate/system annotation(s) were ignored.</x:v>
      </x:c>
      <x:c r="AD15" s="429" t="str">
        <x:v>EPA-003</x:v>
      </x:c>
      <x:c r="AE15" s="429" t="str">
        <x:v>Yes</x:v>
      </x:c>
      <x:c r="AF15" s="429" t="str">
        <x:v>prerana</x:v>
      </x:c>
      <x:c r="AG15" s="389" t="str">
        <x:v>ICAResults_25April2026!r13</x:v>
      </x:c>
    </x:row>
    <x:row r="16" ht="58" customHeight="1">
      <x:c r="A16" s="47" t="str">
        <x:v>ERP-015</x:v>
      </x:c>
      <x:c r="B16" s="53" t="str">
        <x:v>2:22</x:v>
      </x:c>
      <x:c r="C16" s="53" t="str">
        <x:v>p 70</x:v>
      </x:c>
      <x:c r="D16" s="4" t="str">
        <x:v>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x:v>
      </x:c>
      <x:c r="E16" s="53" t="str">
        <x:v>ERP Report</x:v>
      </x:c>
      <x:c r="F16" s="4" t="str">
        <x:v>erpreport.pdf</x:v>
      </x:c>
      <x:c r="G16" s="53" t="str">
        <x:v>Yes</x:v>
      </x:c>
      <x:c r="H16" s="59" t="n">
        <x:v>1</x:v>
      </x:c>
      <x:c r="I16" s="53" t="str">
        <x:v>anmol</x:v>
      </x:c>
      <x:c r="J16" s="4" t="str">
        <x:v>Depth: High depth, Pillar: Merging (Integrative), Pillar: Realignment (Technical), Stakeholder: Miscelleanous, Unlearning</x:v>
      </x:c>
      <x:c r="K16" s="4" t="str">
        <x:v>This identifies a clear flaw in reisk estimation related to loss of life and asks for a rethink in estimates.</x:v>
      </x:c>
      <x:c r="L16" s="4" t="str">
        <x:v>AnmolRationale_August12!row 47 (Latest Anmol August 12 re-evaluation)</x:v>
      </x:c>
      <x:c r="M16" s="4" t="str">
        <x:v>AnmolRationale_August12!row 47</x:v>
      </x:c>
      <x:c r="N16" s="53" t="str">
        <x:v>Yes</x:v>
      </x:c>
      <x:c r="O16" s="4" t="str">
        <x:v>Multiple labelers (anmol, kyle); exact-duplicate priority yields anmol.</x:v>
      </x:c>
      <x:c r="P16" s="53" t="str">
        <x:v>Exact annotation duplicate</x:v>
      </x:c>
      <x:c r="Q16" s="4" t="str">
        <x:v>Consolidated exact duplicate annotations from multiple sheets into one passage row.</x:v>
      </x:c>
      <x:c r="R16" s="4" t="str"/>
      <x:c r="S16" s="4" t="str">
        <x:v>AnmolRationale_August12!r47 (G053; anmol): Yes [SELECTED] | ICAResults_25April2026!r76 (G053; kyle): Yes | RationaleSheet_April20_v1!r51 (G053; kyle): Yes</x:v>
      </x:c>
      <x:c r="T16" s="4" t="str">
        <x:v>AnmolRationale_August12!r47[G053]; ICAResults_25April2026!r76[G053]; RationaleSheet_April20_v1!r51[G053]</x:v>
      </x:c>
      <x:c r="U16" s="34" t="str">
        <x:v>Clear — no codebook example passage retained</x:v>
      </x:c>
      <x:c r="W16" s="424" t="str">
        <x:v>G008</x:v>
      </x:c>
      <x:c r="X16" s="430" t="str">
        <x:v>EPA</x:v>
      </x:c>
      <x:c r="Y16" s="430" t="str">
        <x:v>1:25, 1:28</x:v>
      </x:c>
      <x:c r="Z16" s="430" t="str">
        <x:v>p 10</x:v>
      </x:c>
      <x:c r="AA16" s="391"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AB16" s="430" t="str">
        <x:v>Parent-child duplicate</x:v>
      </x:c>
      <x:c r="AC16" s="391" t="str">
        <x:v>Child passage removed; parent passage retained as EPA-003. Parent labeler and parent-level label control.</x:v>
      </x:c>
      <x:c r="AD16" s="430" t="str">
        <x:v>EPA-003</x:v>
      </x:c>
      <x:c r="AE16" s="430" t="str">
        <x:v>Yes</x:v>
      </x:c>
      <x:c r="AF16" s="430" t="str">
        <x:v>kyle</x:v>
      </x:c>
      <x:c r="AG16" s="392" t="str">
        <x:v>ICAResults_25April2026!r26; RationaleSheet_April20_v1!r29</x:v>
      </x:c>
    </x:row>
    <x:row r="17" ht="58" customHeight="1">
      <x:c r="A17" s="47" t="str">
        <x:v>ERP-016</x:v>
      </x:c>
      <x:c r="B17" s="53" t="str">
        <x:v>2:23</x:v>
      </x:c>
      <x:c r="C17" s="53" t="str">
        <x:v>p 71</x:v>
      </x:c>
      <x:c r="D17" s="4"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E17" s="53" t="str">
        <x:v>ERP Report</x:v>
      </x:c>
      <x:c r="F17" s="4" t="str">
        <x:v>erpreport.pdf</x:v>
      </x:c>
      <x:c r="G17" s="53" t="str">
        <x:v>No</x:v>
      </x:c>
      <x:c r="H17" s="59" t="n">
        <x:v>0</x:v>
      </x:c>
      <x:c r="I17" s="53" t="str">
        <x:v>anmol</x:v>
      </x:c>
      <x:c r="J17" s="4" t="str">
        <x:v>Depth: High depth, Nature: Technical Nature, Pillar: Realignment (Technical), Stakeholder: Miscelleanous, Unlearning</x:v>
      </x:c>
      <x:c r="K17" s="4" t="str">
        <x:v>Not unlearning. There is no clear policy failure and fundamental change being suggested.</x:v>
      </x:c>
      <x:c r="L17" s="4" t="str">
        <x:v>AnmolRationale_August12!row 48 (Latest Anmol August 12 re-evaluation)</x:v>
      </x:c>
      <x:c r="M17" s="4" t="str">
        <x:v>AnmolRationale_August12!row 48</x:v>
      </x:c>
      <x:c r="N17" s="53" t="str">
        <x:v>Yes</x:v>
      </x:c>
      <x:c r="O17" s="4" t="str">
        <x:v>Conflicting historical binary labels (No/Yes); final label follows AnmolRationale_August12!row 48. Multiple labelers (anmol, kyle); exact-duplicate priority yields anmol. Latest rationale overrides stale code field (Yes in Codes vs No final).</x:v>
      </x:c>
      <x:c r="P17" s="53" t="str">
        <x:v>Exact annotation duplicate</x:v>
      </x:c>
      <x:c r="Q17" s="4" t="str">
        <x:v>Consolidated exact duplicate annotations from multiple sheets into one passage row.</x:v>
      </x:c>
      <x:c r="R17" s="4" t="str"/>
      <x:c r="S17" s="4" t="str">
        <x:v>AnmolRationale_August12!r48 (G054; anmol): No [SELECTED] | ICAResults_25April2026!r77 (G054; kyle): Yes | RationaleSheet_April20_v1!r52 (G054; kyle): Yes</x:v>
      </x:c>
      <x:c r="T17" s="4" t="str">
        <x:v>AnmolRationale_August12!r48[G054]; ICAResults_25April2026!r77[G054]; RationaleSheet_April20_v1!r52[G054]</x:v>
      </x:c>
      <x:c r="U17" s="34" t="str">
        <x:v>Clear — no codebook example passage retained</x:v>
      </x:c>
      <x:c r="W17" s="424" t="str">
        <x:v>G013</x:v>
      </x:c>
      <x:c r="X17" s="430" t="str">
        <x:v>EPA</x:v>
      </x:c>
      <x:c r="Y17" s="430" t="str">
        <x:v>1:24</x:v>
      </x:c>
      <x:c r="Z17" s="430" t="str">
        <x:v>p 11</x:v>
      </x:c>
      <x:c r="AA17" s="391" t="str">
        <x:v>With respect to both coordination issues discussed, Region 6 informed us that, to the extent there was any duplication of effort, it was only a result of an attempt to ensure that all wastewater facilities were reached, evaluated, and assisted as quickly as possible.</x:v>
      </x:c>
      <x:c r="AB17" s="430" t="str">
        <x:v>Parent-child duplicate</x:v>
      </x:c>
      <x:c r="AC17" s="391" t="str">
        <x:v>Child passage removed; parent passage retained as EPA-012. Parent labeler and parent-level label control.</x:v>
      </x:c>
      <x:c r="AD17" s="430" t="str">
        <x:v>EPA-012</x:v>
      </x:c>
      <x:c r="AE17" s="430" t="str">
        <x:v>Yes</x:v>
      </x:c>
      <x:c r="AF17" s="430" t="str">
        <x:v>kyle</x:v>
      </x:c>
      <x:c r="AG17" s="392" t="str">
        <x:v>ICAResults_25April2026!r25; RationaleSheet_April20_v1!r25</x:v>
      </x:c>
    </x:row>
    <x:row r="18" ht="58" customHeight="1">
      <x:c r="A18" s="47" t="str">
        <x:v>ERP-017</x:v>
      </x:c>
      <x:c r="B18" s="53" t="str">
        <x:v>2:24</x:v>
      </x:c>
      <x:c r="C18" s="53" t="str">
        <x:v>pp 73-74</x:v>
      </x:c>
      <x:c r="D18" s="4"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E18" s="53" t="str">
        <x:v>ERP Report</x:v>
      </x:c>
      <x:c r="F18" s="4" t="str">
        <x:v>erpreport.pdf</x:v>
      </x:c>
      <x:c r="G18" s="53" t="str">
        <x:v>Yes</x:v>
      </x:c>
      <x:c r="H18" s="59" t="n">
        <x:v>1</x:v>
      </x:c>
      <x:c r="I18" s="53" t="str">
        <x:v>anmol</x:v>
      </x:c>
      <x:c r="J18" s="4" t="str">
        <x:v>Depth: High depth, Nature: Technical Nature, Pillar: Realignment (Technical), Stakeholder: USACE, Unlearning</x:v>
      </x:c>
      <x:c r="K18" s="4" t="str">
        <x:v>It identifies an engineering problem in hurricane estimation and ask for evluation for PMH storms.</x:v>
      </x:c>
      <x:c r="L18" s="4" t="str">
        <x:v>AnmolRationale_August12!row 49 (Latest Anmol August 12 re-evaluation)</x:v>
      </x:c>
      <x:c r="M18" s="4" t="str">
        <x:v>AnmolRationale_August12!row 49</x:v>
      </x:c>
      <x:c r="N18" s="53" t="str">
        <x:v>Yes</x:v>
      </x:c>
      <x:c r="O18" s="4" t="str">
        <x:v>Multiple labelers (anmol, kyle); exact-duplicate priority yields anmol. Source span contains a definition plus a bullet list; verify paragraph-level unit.</x:v>
      </x:c>
      <x:c r="P18" s="53" t="str">
        <x:v>Near/exact text variant</x:v>
      </x:c>
      <x:c r="Q18" s="4" t="str">
        <x:v>Consolidated equivalent text groups G040, G041; retained cleaner representative G040. Also consolidated repeated annotations across source sheets.</x:v>
      </x:c>
      <x:c r="R18" s="4" t="str"/>
      <x:c r="S18" s="4" t="str">
        <x:v>AnmolRationale_August12!r49 (G040; anmol): Yes [SELECTED] | ICAResults_25April2026!r78 (G041; kyle): Yes | RationaleSheet_April20_v1!r53 (G041; kyle): Yes</x:v>
      </x:c>
      <x:c r="T18" s="4" t="str">
        <x:v>AnmolRationale_August12!r49[G040]; ICAResults_25April2026!r78[G041]; RationaleSheet_April20_v1!r53[G041]</x:v>
      </x:c>
      <x:c r="U18" s="34" t="str">
        <x:v>Clear — no codebook example passage retained</x:v>
      </x:c>
      <x:c r="W18" s="424" t="str">
        <x:v>G017</x:v>
      </x:c>
      <x:c r="X18" s="430" t="str">
        <x:v>EPA</x:v>
      </x:c>
      <x:c r="Y18" s="430" t="str">
        <x:v>1:21</x:v>
      </x:c>
      <x:c r="Z18" s="430" t="str">
        <x:v>p 13</x:v>
      </x:c>
      <x:c r="AA18" s="391"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AB18" s="430" t="str">
        <x:v>Parent-child duplicate</x:v>
      </x:c>
      <x:c r="AC18" s="391" t="str">
        <x:v>Child passage removed; parent passage retained as EPA-017. Parent labeler and parent-level label control.</x:v>
      </x:c>
      <x:c r="AD18" s="430" t="str">
        <x:v>EPA-017</x:v>
      </x:c>
      <x:c r="AE18" s="430" t="str">
        <x:v>Yes</x:v>
      </x:c>
      <x:c r="AF18" s="430" t="str">
        <x:v>kyle</x:v>
      </x:c>
      <x:c r="AG18" s="392" t="str">
        <x:v>ICAResults_25April2026!r22; RationaleSheet_April20_v1!r22</x:v>
      </x:c>
    </x:row>
    <x:row r="19" ht="58" customHeight="1">
      <x:c r="A19" s="47" t="str">
        <x:v>ERP-018</x:v>
      </x:c>
      <x:c r="B19" s="53" t="str">
        <x:v>2:25</x:v>
      </x:c>
      <x:c r="C19" s="53" t="str">
        <x:v>p 74</x:v>
      </x:c>
      <x:c r="D19" s="4" t="str">
        <x:v>The USACE’s apparent non-conservative selection of the design hurricane is inconsistent with that needed to protect public safety when an extreme natural force such as Hurricane Katrina strikes.</x:v>
      </x:c>
      <x:c r="E19" s="53" t="str">
        <x:v>ERP Report</x:v>
      </x:c>
      <x:c r="F19" s="4" t="str">
        <x:v>erpreport.pdf</x:v>
      </x:c>
      <x:c r="G19" s="53" t="str">
        <x:v>Yes</x:v>
      </x:c>
      <x:c r="H19" s="59" t="n">
        <x:v>1</x:v>
      </x:c>
      <x:c r="I19" s="53" t="str">
        <x:v>anmol</x:v>
      </x:c>
      <x:c r="J19" s="4" t="str">
        <x:v>Depth: High depth, Nature: Technical Nature, Pillar: Realignment (Technical), Stakeholder: USACE, Unlearning</x:v>
      </x:c>
      <x:c r="K19" s="4" t="str">
        <x:v>It identifies selection of non-conservation estimates and asks for its replacement.</x:v>
      </x:c>
      <x:c r="L19" s="4" t="str">
        <x:v>AnmolRationale_August12!row 50 (Latest Anmol August 12 re-evaluation)</x:v>
      </x:c>
      <x:c r="M19" s="4" t="str">
        <x:v>AnmolRationale_August12!row 50</x:v>
      </x:c>
      <x:c r="N19" s="53" t="str">
        <x:v>Yes</x:v>
      </x:c>
      <x:c r="O19" s="4" t="str">
        <x:v>Multiple labelers (anmol, kyle); exact-duplicate priority yields anmol.</x:v>
      </x:c>
      <x:c r="P19" s="53" t="str">
        <x:v>Exact annotation duplicate</x:v>
      </x:c>
      <x:c r="Q19" s="4" t="str">
        <x:v>Consolidated exact duplicate annotations from multiple sheets into one passage row.</x:v>
      </x:c>
      <x:c r="R19" s="4" t="str"/>
      <x:c r="S19" s="4" t="str">
        <x:v>AnmolRationale_August12!r50 (G055; anmol): Yes [SELECTED] | ICAResults_25April2026!r79 (G055; kyle): Yes | RationaleSheet_April20_v1!r54 (G055; kyle): Yes</x:v>
      </x:c>
      <x:c r="T19" s="4" t="str">
        <x:v>AnmolRationale_August12!r50[G055]; ICAResults_25April2026!r79[G055]; RationaleSheet_April20_v1!r54[G055]</x:v>
      </x:c>
      <x:c r="U19" s="34" t="str">
        <x:v>Clear — no codebook example passage retained</x:v>
      </x:c>
      <x:c r="W19" s="424" t="str">
        <x:v>G021</x:v>
      </x:c>
      <x:c r="X19" s="430" t="str">
        <x:v>EPA</x:v>
      </x:c>
      <x:c r="Y19" s="430" t="str">
        <x:v>1:26, 1:27</x:v>
      </x:c>
      <x:c r="Z19" s="430" t="str">
        <x:v>p 27</x:v>
      </x:c>
      <x:c r="AA19" s="391" t="str">
        <x:v>EPA will meet with USACE and other ESF #3 support agencies in August to discuss ESF-3 agency roles and capabilities and will continue to work with USACE to ensure that current ESF #3 SOPs can be appropriately updated and revised</x:v>
      </x:c>
      <x:c r="AB19" s="430" t="str">
        <x:v>Parent-child duplicate</x:v>
      </x:c>
      <x:c r="AC19" s="391" t="str">
        <x:v>Child passage removed; parent passage retained as EPA-020. Parent labeler and parent-level label control.</x:v>
      </x:c>
      <x:c r="AD19" s="430" t="str">
        <x:v>EPA-020</x:v>
      </x:c>
      <x:c r="AE19" s="430" t="str">
        <x:v>Yes</x:v>
      </x:c>
      <x:c r="AF19" s="430" t="str">
        <x:v>kyle</x:v>
      </x:c>
      <x:c r="AG19" s="392" t="str">
        <x:v>ICAResults_25April2026!r28; RationaleSheet_April20_v1!r27</x:v>
      </x:c>
    </x:row>
    <x:row r="20" ht="58" customHeight="1">
      <x:c r="A20" s="47" t="str">
        <x:v>ERP-019</x:v>
      </x:c>
      <x:c r="B20" s="53" t="str">
        <x:v>2:26</x:v>
      </x:c>
      <x:c r="C20" s="53" t="str">
        <x:v>p 76</x:v>
      </x:c>
      <x:c r="D20" s="4"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E20" s="53" t="str">
        <x:v>ERP Report</x:v>
      </x:c>
      <x:c r="F20" s="4" t="str">
        <x:v>erpreport.pdf</x:v>
      </x:c>
      <x:c r="G20" s="53" t="str">
        <x:v>Yes</x:v>
      </x:c>
      <x:c r="H20" s="59" t="n">
        <x:v>1</x:v>
      </x:c>
      <x:c r="I20" s="53" t="str">
        <x:v>anmol</x:v>
      </x:c>
      <x:c r="J20" s="4" t="str">
        <x:v>Depth: High depth, Nature: Normative Nature, Pillar: Merging (Integrative), Stakeholder: Miscelleanous, Unlearning</x:v>
      </x:c>
      <x:c r="K20" s="4" t="str">
        <x:v>It identifies agency mandates, roles adn responsbilities as a clear area requiring rethink.</x:v>
      </x:c>
      <x:c r="L20" s="4" t="str">
        <x:v>AnmolRationale_August12!row 51 (Latest Anmol August 12 re-evaluation)</x:v>
      </x:c>
      <x:c r="M20" s="4" t="str">
        <x:v>AnmolRationale_August12!row 51</x:v>
      </x:c>
      <x:c r="N20" s="53" t="str">
        <x:v>Yes</x:v>
      </x:c>
      <x:c r="O20" s="4" t="str">
        <x:v>Multiple labelers (anmol, kyle); exact-duplicate priority yields anmol.</x:v>
      </x:c>
      <x:c r="P20" s="53" t="str">
        <x:v>Exact annotation duplicate</x:v>
      </x:c>
      <x:c r="Q20" s="4" t="str">
        <x:v>Consolidated exact duplicate annotations from multiple sheets into one passage row.</x:v>
      </x:c>
      <x:c r="R20" s="4" t="str"/>
      <x:c r="S20" s="4" t="str">
        <x:v>AnmolRationale_August12!r51 (G056; anmol): Yes [SELECTED] | ICAResults_25April2026!r80 (G056; kyle): Yes | RationaleSheet_April20_v1!r55 (G056; kyle): Yes</x:v>
      </x:c>
      <x:c r="T20" s="4" t="str">
        <x:v>AnmolRationale_August12!r51[G056]; ICAResults_25April2026!r80[G056]; RationaleSheet_April20_v1!r55[G056]</x:v>
      </x:c>
      <x:c r="U20" s="34" t="str">
        <x:v>Clear — no codebook example passage retained</x:v>
      </x:c>
      <x:c r="W20" s="424" t="str">
        <x:v>G029</x:v>
      </x:c>
      <x:c r="X20" s="430" t="str">
        <x:v>PAR</x:v>
      </x:c>
      <x:c r="Y20" s="430" t="str"/>
      <x:c r="Z20" s="430" t="str"/>
      <x:c r="AA20" s="391" t="str">
        <x:v>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AB20" s="430" t="str">
        <x:v>Parent-child duplicate</x:v>
      </x:c>
      <x:c r="AC20" s="391" t="str">
        <x:v>Child passage removed; parent passage retained as PAR-002. Parent labeler and parent-level label control.</x:v>
      </x:c>
      <x:c r="AD20" s="430" t="str">
        <x:v>PAR-002</x:v>
      </x:c>
      <x:c r="AE20" s="430" t="str">
        <x:v>Yes</x:v>
      </x:c>
      <x:c r="AF20" s="430" t="str">
        <x:v>prerana</x:v>
      </x:c>
      <x:c r="AG20" s="392" t="str">
        <x:v>PAR_Prerana_July17!r1</x:v>
      </x:c>
    </x:row>
    <x:row r="21" ht="58" customHeight="1">
      <x:c r="A21" s="47" t="str">
        <x:v>ERP-020</x:v>
      </x:c>
      <x:c r="B21" s="53" t="str">
        <x:v>2:27</x:v>
      </x:c>
      <x:c r="C21" s="53" t="str">
        <x:v>p 79</x:v>
      </x:c>
      <x:c r="D21" s="4" t="str">
        <x:v>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E21" s="53" t="str">
        <x:v>ERP Report</x:v>
      </x:c>
      <x:c r="F21" s="4" t="str">
        <x:v>erpreport.pdf</x:v>
      </x:c>
      <x:c r="G21" s="53" t="str">
        <x:v>Yes</x:v>
      </x:c>
      <x:c r="H21" s="59" t="n">
        <x:v>1</x:v>
      </x:c>
      <x:c r="I21" s="53" t="str">
        <x:v>anmol</x:v>
      </x:c>
      <x:c r="J21" s="4" t="str">
        <x:v>Nature: Normative Nature, Pillar: Discarding (Normative), Stakeholder: Miscelleanous, Unlearning</x:v>
      </x:c>
      <x:c r="K21" s="4" t="str">
        <x:v>It identifies culture, agency mandates, roles and responsibilities as a clear area requiring rethinking.</x:v>
      </x:c>
      <x:c r="L21" s="4" t="str">
        <x:v>AnmolRationale_August12!row 52 (Latest Anmol August 12 re-evaluation)</x:v>
      </x:c>
      <x:c r="M21" s="4" t="str">
        <x:v>AnmolRationale_August12!row 52</x:v>
      </x:c>
      <x:c r="N21" s="53" t="str">
        <x:v>Yes</x:v>
      </x:c>
      <x:c r="O21" s="4" t="str">
        <x:v>Multiple labelers (anmol, kyle); exact-duplicate priority yields anmol. Source span contains multiple paragraphs; verify paragraph boundary.</x:v>
      </x:c>
      <x:c r="P21" s="53" t="str">
        <x:v>Exact annotation duplicate</x:v>
      </x:c>
      <x:c r="Q21" s="4" t="str">
        <x:v>Consolidated exact duplicate annotations from multiple sheets into one passage row.</x:v>
      </x:c>
      <x:c r="R21" s="4" t="str"/>
      <x:c r="S21" s="4" t="str">
        <x:v>AnmolRationale_August12!r52 (G057; anmol): Yes [SELECTED] | ICAResults_25April2026!r81 (G057; kyle): Yes | RationaleSheet_April20_v1!r56 (G057; kyle): Yes</x:v>
      </x:c>
      <x:c r="T21" s="4" t="str">
        <x:v>AnmolRationale_August12!r52[G057]; ICAResults_25April2026!r81[G057]; RationaleSheet_April20_v1!r56[G057]</x:v>
      </x:c>
      <x:c r="U21" s="34" t="str">
        <x:v>Clear — no codebook example passage retained</x:v>
      </x:c>
      <x:c r="W21" s="424" t="str">
        <x:v>G004</x:v>
      </x:c>
      <x:c r="X21" s="430" t="str">
        <x:v>EPA</x:v>
      </x:c>
      <x:c r="Y21" s="430" t="str">
        <x:v>1:2</x:v>
      </x:c>
      <x:c r="Z21" s="430" t="str">
        <x:v>pp 9-10</x:v>
      </x:c>
      <x:c r="AA21" s="391"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AB21" s="430" t="str">
        <x:v>Near/exact duplicate variant</x:v>
      </x:c>
      <x:c r="AC21" s="391" t="str">
        <x:v>Equivalent text variant merged into EPA-003; cleaner representative retained.</x:v>
      </x:c>
      <x:c r="AD21" s="430" t="str">
        <x:v>EPA-003</x:v>
      </x:c>
      <x:c r="AE21" s="430" t="str">
        <x:v>No/Yes</x:v>
      </x:c>
      <x:c r="AF21" s="430" t="str">
        <x:v>anmol</x:v>
      </x:c>
      <x:c r="AG21" s="392" t="str">
        <x:v>RationaleSheet_April20_v1!r3; AnmolRationale_August12!r3</x:v>
      </x:c>
    </x:row>
    <x:row r="22" ht="58" customHeight="1">
      <x:c r="A22" s="47" t="str">
        <x:v>ERP-021</x:v>
      </x:c>
      <x:c r="B22" s="53" t="str">
        <x:v>2:28</x:v>
      </x:c>
      <x:c r="C22" s="53" t="str">
        <x:v>p 79</x:v>
      </x:c>
      <x:c r="D22" s="4"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E22" s="53" t="str">
        <x:v>ERP Report</x:v>
      </x:c>
      <x:c r="F22" s="4" t="str">
        <x:v>erpreport.pdf</x:v>
      </x:c>
      <x:c r="G22" s="53" t="str">
        <x:v>Yes</x:v>
      </x:c>
      <x:c r="H22" s="59" t="n">
        <x:v>1</x:v>
      </x:c>
      <x:c r="I22" s="53" t="str">
        <x:v>anmol</x:v>
      </x:c>
      <x:c r="J22" s="4" t="str">
        <x:v>Depth: High depth, Nature: Normative Nature, Nature: Technical Nature, Pillar: Discarding (Normative), Stakeholder: USACE, Unlearning</x:v>
      </x:c>
      <x:c r="K22" s="4" t="str">
        <x:v>It identifies clear deficiency in engineering chouices and asks for rethik of margins of safety, orgnizational culture and expternal peer review systems.</x:v>
      </x:c>
      <x:c r="L22" s="4" t="str">
        <x:v>AnmolRationale_August12!row 53 (Latest Anmol August 12 re-evaluation)</x:v>
      </x:c>
      <x:c r="M22" s="4" t="str">
        <x:v>AnmolRationale_August12!row 53</x:v>
      </x:c>
      <x:c r="N22" s="53" t="str">
        <x:v>Yes</x:v>
      </x:c>
      <x:c r="O22" s="4" t="str">
        <x:v>Multiple labelers (anmol, kyle); exact-duplicate priority yields anmol.</x:v>
      </x:c>
      <x:c r="P22" s="53" t="str">
        <x:v>Exact annotation duplicate</x:v>
      </x:c>
      <x:c r="Q22" s="4" t="str">
        <x:v>Consolidated exact duplicate annotations from multiple sheets into one passage row.</x:v>
      </x:c>
      <x:c r="R22" s="4" t="str"/>
      <x:c r="S22" s="4" t="str">
        <x:v>AnmolRationale_August12!r53 (G058; anmol): Yes [SELECTED] | ICAResults_25April2026!r82 (G058; kyle): Yes | RationaleSheet_April20_v1!r57 (G058; kyle): Yes</x:v>
      </x:c>
      <x:c r="T22" s="4" t="str">
        <x:v>AnmolRationale_August12!r53[G058]; ICAResults_25April2026!r82[G058]; RationaleSheet_April20_v1!r57[G058]</x:v>
      </x:c>
      <x:c r="U22" s="34" t="str">
        <x:v>Clear — no codebook example passage retained</x:v>
      </x:c>
      <x:c r="W22" s="424" t="str">
        <x:v>G024</x:v>
      </x:c>
      <x:c r="X22" s="430" t="str">
        <x:v>EPA</x:v>
      </x:c>
      <x:c r="Y22" s="430" t="str">
        <x:v>1:7</x:v>
      </x:c>
      <x:c r="Z22" s="430" t="str">
        <x:v>p 9</x:v>
      </x:c>
      <x:c r="AA22" s="391" t="str">
        <x:v>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AB22" s="430" t="str">
        <x:v>Near/exact duplicate variant</x:v>
      </x:c>
      <x:c r="AC22" s="391" t="str">
        <x:v>Equivalent text variant merged into EPA-004; cleaner representative retained. University of Delaware duplicate/system annotation(s) were ignored.</x:v>
      </x:c>
      <x:c r="AD22" s="430" t="str">
        <x:v>EPA-004</x:v>
      </x:c>
      <x:c r="AE22" s="430" t="str">
        <x:v>Yes</x:v>
      </x:c>
      <x:c r="AF22" s="430" t="str">
        <x:v>prerana</x:v>
      </x:c>
      <x:c r="AG22" s="392" t="str">
        <x:v>ICAResults_25April2026!r8</x:v>
      </x:c>
    </x:row>
    <x:row r="23" ht="58" customHeight="1">
      <x:c r="A23" s="47" t="str">
        <x:v>ERP-022</x:v>
      </x:c>
      <x:c r="B23" s="53" t="str">
        <x:v>2:29</x:v>
      </x:c>
      <x:c r="C23" s="53" t="str">
        <x:v>p 80</x:v>
      </x:c>
      <x:c r="D23" s="4"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E23" s="53" t="str">
        <x:v>ERP Report</x:v>
      </x:c>
      <x:c r="F23" s="4" t="str">
        <x:v>erpreport.pdf</x:v>
      </x:c>
      <x:c r="G23" s="53" t="str">
        <x:v>Yes</x:v>
      </x:c>
      <x:c r="H23" s="59" t="n">
        <x:v>1</x:v>
      </x:c>
      <x:c r="I23" s="53" t="str">
        <x:v>anmol</x:v>
      </x:c>
      <x:c r="J23" s="4" t="str">
        <x:v>Depth: High depth, Nature: Normative Nature, Pillar: Discarding (Normative), Stakeholder: Congress, Stakeholder: USACE, Unlearning</x:v>
      </x:c>
      <x:c r="K23" s="4" t="str">
        <x:v>This identifies the funding mechanism and oversigh as an issue and calls for a fundamental rethink.</x:v>
      </x:c>
      <x:c r="L23" s="4" t="str">
        <x:v>AnmolRationale_August12!row 54 (Latest Anmol August 12 re-evaluation)</x:v>
      </x:c>
      <x:c r="M23" s="4" t="str">
        <x:v>AnmolRationale_August12!row 54</x:v>
      </x:c>
      <x:c r="N23" s="53" t="str">
        <x:v>Yes</x:v>
      </x:c>
      <x:c r="O23" s="4" t="str">
        <x:v>Multiple labelers (anmol, kyle); exact-duplicate priority yields anmol. Very long multi-paragraph source span; verify paragraph-level unit before modeling.</x:v>
      </x:c>
      <x:c r="P23" s="53" t="str">
        <x:v>Exact annotation duplicate</x:v>
      </x:c>
      <x:c r="Q23" s="4" t="str">
        <x:v>Consolidated exact duplicate annotations from multiple sheets into one passage row.</x:v>
      </x:c>
      <x:c r="R23" s="4" t="str"/>
      <x:c r="S23" s="4" t="str">
        <x:v>AnmolRationale_August12!r54 (G063; anmol): Yes [SELECTED] | ICAResults_25April2026!r83 (G063; kyle): Yes | RationaleSheet_April20_v1!r58 (G063; kyle): Yes</x:v>
      </x:c>
      <x:c r="T23" s="4" t="str">
        <x:v>AnmolRationale_August12!r54[G063]; ICAResults_25April2026!r83[G063]; RationaleSheet_April20_v1!r58[G063]</x:v>
      </x:c>
      <x:c r="U23" s="34" t="str">
        <x:v>Clear — no codebook example passage retained</x:v>
      </x:c>
      <x:c r="W23" s="424" t="str">
        <x:v>G002</x:v>
      </x:c>
      <x:c r="X23" s="430" t="str">
        <x:v>EPA</x:v>
      </x:c>
      <x:c r="Y23" s="430" t="str">
        <x:v>1:5</x:v>
      </x:c>
      <x:c r="Z23" s="430" t="str">
        <x:v>pp 13-14</x:v>
      </x:c>
      <x:c r="AA23" s="391" t="str">
        <x:v>EPA regional officials concurred that tremendous communication issues existed following Hurricane Katrina. Both Regions 4 and 6 indicated they have taken a number of steps to 7
improve communication during future disasters, including upgrading the current telecommunications equipment, planning to deploy additional staff during the next disaster, and reevaluating current communication standard operating procedures.</x:v>
      </x:c>
      <x:c r="AB23" s="430" t="str">
        <x:v>Near/exact duplicate variant</x:v>
      </x:c>
      <x:c r="AC23" s="391" t="str">
        <x:v>Equivalent text variant merged into EPA-016; cleaner representative retained.</x:v>
      </x:c>
      <x:c r="AD23" s="430" t="str">
        <x:v>EPA-016</x:v>
      </x:c>
      <x:c r="AE23" s="430" t="str">
        <x:v>Yes</x:v>
      </x:c>
      <x:c r="AF23" s="430" t="str">
        <x:v>anmol</x:v>
      </x:c>
      <x:c r="AG23" s="392" t="str">
        <x:v>RationaleSheet_April20_v1!r6; AnmolRationale_August12!r6</x:v>
      </x:c>
    </x:row>
    <x:row r="24" ht="58" customHeight="1">
      <x:c r="A24" s="47" t="str">
        <x:v>ERP-023</x:v>
      </x:c>
      <x:c r="B24" s="53" t="str">
        <x:v>2:14</x:v>
      </x:c>
      <x:c r="C24" s="53" t="str">
        <x:v>p 82</x:v>
      </x:c>
      <x:c r="D24" s="4"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x:v>
      </x:c>
      <x:c r="E24" s="53" t="str">
        <x:v>ERP Report</x:v>
      </x:c>
      <x:c r="F24" s="4" t="str">
        <x:v>erpreport.pdf</x:v>
      </x:c>
      <x:c r="G24" s="53" t="str">
        <x:v>Yes</x:v>
      </x:c>
      <x:c r="H24" s="59" t="n">
        <x:v>1</x:v>
      </x:c>
      <x:c r="I24" s="53" t="str">
        <x:v>anmol</x:v>
      </x:c>
      <x:c r="J24" s="4" t="str">
        <x:v>Depth: High depth, Nature: Technical Nature, Pillar: Realignment (Technical), Stakeholder: Congress, Unlearning</x:v>
      </x:c>
      <x:c r="K24" s="4" t="str">
        <x:v>This is unlearning. They identify a lack of consistency as a problem and identify establishing a fund for leveee safety as a new way of solving this problem.</x:v>
      </x:c>
      <x:c r="L24" s="4" t="str">
        <x:v>AnmolRationale_August12!row 39 (Latest Anmol August 12 re-evaluation)</x:v>
      </x:c>
      <x:c r="M24" s="4" t="str">
        <x:v>AnmolRationale_August12!row 39</x:v>
      </x:c>
      <x:c r="N24" s="53" t="str">
        <x:v>Yes</x:v>
      </x:c>
      <x:c r="O24" s="4" t="str">
        <x:v>Multiple labelers (anmol, kyle); exact-duplicate priority yields anmol. Retained: conceptually related to the levee-safety example, but it is not the same or a contained passage. Manual leakage review recommended.</x:v>
      </x:c>
      <x:c r="P24" s="53" t="str">
        <x:v>Exact annotation duplicate</x:v>
      </x:c>
      <x:c r="Q24" s="4" t="str">
        <x:v>Consolidated exact duplicate annotations from multiple sheets into one passage row.</x:v>
      </x:c>
      <x:c r="R24" s="4" t="str"/>
      <x:c r="S24" s="4" t="str">
        <x:v>AnmolRationale_August12!r39 (G065; anmol): Yes [SELECTED] | ICAResults_25April2026!r68 (G065; kyle): Yes | RationaleSheet_April20_v1!r43 (G065; kyle): Yes</x:v>
      </x:c>
      <x:c r="T24" s="4" t="str">
        <x:v>AnmolRationale_August12!r39[G065]; ICAResults_25April2026!r68[G065]; RationaleSheet_April20_v1!r43[G065]</x:v>
      </x:c>
      <x:c r="U24" s="34" t="str">
        <x:v>Retained: conceptually related to the levee-safety example, but it is not the same or a contained passage. Manual leakage review recommended.</x:v>
      </x:c>
      <x:c r="W24" s="424" t="str">
        <x:v>G052</x:v>
      </x:c>
      <x:c r="X24" s="430" t="str">
        <x:v>ERP Report</x:v>
      </x:c>
      <x:c r="Y24" s="430" t="str">
        <x:v>2:4</x:v>
      </x:c>
      <x:c r="Z24" s="430" t="str">
        <x:v>p 7</x:v>
      </x:c>
      <x:c r="AA24" s="391" t="str">
        <x:v>The hurricane protection system was funded on a project-byproject basis over many years. As a result, the system was constructed in a piecemeal fashion. In addition, there were pressures for tradeoffs and low-cost solutions that compromised quality, safety, and reliability.</x:v>
      </x:c>
      <x:c r="AB24" s="430" t="str">
        <x:v>Near/exact duplicate variant</x:v>
      </x:c>
      <x:c r="AC24" s="391" t="str">
        <x:v>Equivalent text variant merged into ERP-004; cleaner representative retained.</x:v>
      </x:c>
      <x:c r="AD24" s="430" t="str">
        <x:v>ERP-004</x:v>
      </x:c>
      <x:c r="AE24" s="430" t="str">
        <x:v>Yes</x:v>
      </x:c>
      <x:c r="AF24" s="430" t="str">
        <x:v>kyle</x:v>
      </x:c>
      <x:c r="AG24" s="392" t="str">
        <x:v>ICAResults_25April2026!r58; RationaleSheet_April20_v1!r33</x:v>
      </x:c>
    </x:row>
    <x:row r="25" ht="58" customHeight="1">
      <x:c r="A25" s="47" t="str">
        <x:v>ERP-024</x:v>
      </x:c>
      <x:c r="B25" s="53" t="str">
        <x:v>2:15</x:v>
      </x:c>
      <x:c r="C25" s="53" t="str">
        <x:v>p 84</x:v>
      </x:c>
      <x:c r="D25" s="4"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E25" s="53" t="str">
        <x:v>ERP Report</x:v>
      </x:c>
      <x:c r="F25" s="4" t="str">
        <x:v>erpreport.pdf</x:v>
      </x:c>
      <x:c r="G25" s="53" t="str">
        <x:v>Yes</x:v>
      </x:c>
      <x:c r="H25" s="59" t="n">
        <x:v>1</x:v>
      </x:c>
      <x:c r="I25" s="53" t="str">
        <x:v>anmol</x:v>
      </x:c>
      <x:c r="J25" s="4" t="str">
        <x:v>Depth: High depth, Nature: Technical Nature, Pillar: Realignment (Technical), Stakeholder: USACE, Unlearning</x:v>
      </x:c>
      <x:c r="K25" s="4" t="str">
        <x:v>They identify a clear set of engineering and design problems. And calls for a more systmeic approach.</x:v>
      </x:c>
      <x:c r="L25" s="4" t="str">
        <x:v>AnmolRationale_August12!row 40 (Latest Anmol August 12 re-evaluation)</x:v>
      </x:c>
      <x:c r="M25" s="4" t="str">
        <x:v>AnmolRationale_August12!row 40</x:v>
      </x:c>
      <x:c r="N25" s="53" t="str">
        <x:v>Yes</x:v>
      </x:c>
      <x:c r="O25" s="4" t="str">
        <x:v>Multiple labelers (anmol, kyle); exact-duplicate priority yields anmol.</x:v>
      </x:c>
      <x:c r="P25" s="53" t="str">
        <x:v>Exact annotation duplicate</x:v>
      </x:c>
      <x:c r="Q25" s="4" t="str">
        <x:v>Consolidated exact duplicate annotations from multiple sheets into one passage row.</x:v>
      </x:c>
      <x:c r="R25" s="4" t="str"/>
      <x:c r="S25" s="4" t="str">
        <x:v>AnmolRationale_August12!r40 (G066; anmol): Yes [SELECTED] | ICAResults_25April2026!r69 (G066; kyle): Yes | RationaleSheet_April20_v1!r44 (G066; kyle): Yes</x:v>
      </x:c>
      <x:c r="T25" s="4" t="str">
        <x:v>AnmolRationale_August12!r40[G066]; ICAResults_25April2026!r69[G066]; RationaleSheet_April20_v1!r44[G066]</x:v>
      </x:c>
      <x:c r="U25" s="34" t="str">
        <x:v>Clear — no codebook example passage retained</x:v>
      </x:c>
      <x:c r="W25" s="424" t="str">
        <x:v>G042</x:v>
      </x:c>
      <x:c r="X25" s="430" t="str">
        <x:v>ERP Report</x:v>
      </x:c>
      <x:c r="Y25" s="430" t="str">
        <x:v>2:8</x:v>
      </x:c>
      <x:c r="Z25" s="430" t="str">
        <x:v>pp 7-8</x:v>
      </x:c>
      <x:c r="AA25" s="391" t="str">
        <x:v>Determine the level of acceptable risk in the community through quality interactive public risk communication programs in New Orleans and other areas threatened by hurricanes and flooding.
Once determined, manage the risks accordingly.</x:v>
      </x:c>
      <x:c r="AB25" s="430" t="str">
        <x:v>Near/exact duplicate variant</x:v>
      </x:c>
      <x:c r="AC25" s="391" t="str">
        <x:v>Equivalent text variant merged into ERP-007; cleaner representative retained.</x:v>
      </x:c>
      <x:c r="AD25" s="430" t="str">
        <x:v>ERP-007</x:v>
      </x:c>
      <x:c r="AE25" s="430" t="str">
        <x:v>Yes</x:v>
      </x:c>
      <x:c r="AF25" s="430" t="str">
        <x:v>kyle</x:v>
      </x:c>
      <x:c r="AG25" s="392" t="str">
        <x:v>ICAResults_25April2026!r62; RationaleSheet_April20_v1!r37</x:v>
      </x:c>
    </x:row>
    <x:row r="26" ht="58" customHeight="1">
      <x:c r="A26" s="47" t="str">
        <x:v>ERP-025</x:v>
      </x:c>
      <x:c r="B26" s="53" t="str">
        <x:v>2:16</x:v>
      </x:c>
      <x:c r="C26" s="53" t="str">
        <x:v>p 85</x:v>
      </x:c>
      <x:c r="D26" s="4"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E26" s="53" t="str">
        <x:v>ERP Report</x:v>
      </x:c>
      <x:c r="F26" s="4" t="str">
        <x:v>erpreport.pdf</x:v>
      </x:c>
      <x:c r="G26" s="53" t="str">
        <x:v>Yes</x:v>
      </x:c>
      <x:c r="H26" s="59" t="n">
        <x:v>1</x:v>
      </x:c>
      <x:c r="I26" s="53" t="str">
        <x:v>anmol</x:v>
      </x:c>
      <x:c r="J26" s="4" t="str">
        <x:v>Depth: High depth, Nature: Normative Nature, Nature: Technical Nature, Pillar: Realignment (Technical), Unlearning</x:v>
      </x:c>
      <x:c r="K26" s="4" t="str">
        <x:v>This calls for fundamental reforms that take into account land use decisions adn various other reforms that discard old thinking and practices.</x:v>
      </x:c>
      <x:c r="L26" s="4" t="str">
        <x:v>AnmolRationale_August12!row 41 (Latest Anmol August 12 re-evaluation)</x:v>
      </x:c>
      <x:c r="M26" s="4" t="str">
        <x:v>AnmolRationale_August12!row 41</x:v>
      </x:c>
      <x:c r="N26" s="53" t="str">
        <x:v>Yes</x:v>
      </x:c>
      <x:c r="O26" s="4" t="str">
        <x:v>Multiple labelers (anmol, kyle); exact-duplicate priority yields anmol.</x:v>
      </x:c>
      <x:c r="P26" s="53" t="str">
        <x:v>Exact annotation duplicate</x:v>
      </x:c>
      <x:c r="Q26" s="4" t="str">
        <x:v>Consolidated exact duplicate annotations from multiple sheets into one passage row.</x:v>
      </x:c>
      <x:c r="R26" s="4" t="str"/>
      <x:c r="S26" s="4" t="str">
        <x:v>AnmolRationale_August12!r41 (G067; anmol): Yes [SELECTED] | ICAResults_25April2026!r70 (G067; kyle): Yes | RationaleSheet_April20_v1!r45 (G067; kyle): Yes</x:v>
      </x:c>
      <x:c r="T26" s="4" t="str">
        <x:v>AnmolRationale_August12!r41[G067]; ICAResults_25April2026!r70[G067]; RationaleSheet_April20_v1!r45[G067]</x:v>
      </x:c>
      <x:c r="U26" s="34" t="str">
        <x:v>Clear — no codebook example passage retained</x:v>
      </x:c>
      <x:c r="W26" s="424" t="str">
        <x:v>G041</x:v>
      </x:c>
      <x:c r="X26" s="430" t="str">
        <x:v>ERP Report</x:v>
      </x:c>
      <x:c r="Y26" s="430" t="str">
        <x:v>2:24</x:v>
      </x:c>
      <x:c r="Z26" s="430" t="str">
        <x:v>pp 73-74</x:v>
      </x:c>
      <x:c r="AA26" s="391"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AB26" s="430" t="str">
        <x:v>Near/exact duplicate variant</x:v>
      </x:c>
      <x:c r="AC26" s="391" t="str">
        <x:v>Equivalent text variant merged into ERP-017; cleaner representative retained.</x:v>
      </x:c>
      <x:c r="AD26" s="430" t="str">
        <x:v>ERP-017</x:v>
      </x:c>
      <x:c r="AE26" s="430" t="str">
        <x:v>Yes</x:v>
      </x:c>
      <x:c r="AF26" s="430" t="str">
        <x:v>kyle</x:v>
      </x:c>
      <x:c r="AG26" s="392" t="str">
        <x:v>ICAResults_25April2026!r78; RationaleSheet_April20_v1!r53</x:v>
      </x:c>
    </x:row>
    <x:row r="27" ht="58" customHeight="1">
      <x:c r="A27" s="47" t="str">
        <x:v>ERP-026</x:v>
      </x:c>
      <x:c r="B27" s="53" t="str">
        <x:v>2:30</x:v>
      </x:c>
      <x:c r="C27" s="53" t="str">
        <x:v>p 86</x:v>
      </x:c>
      <x:c r="D27" s="4" t="str">
        <x:v>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E27" s="53" t="str">
        <x:v>ERP Report</x:v>
      </x:c>
      <x:c r="F27" s="4" t="str">
        <x:v>erpreport.pdf</x:v>
      </x:c>
      <x:c r="G27" s="53" t="str">
        <x:v>No</x:v>
      </x:c>
      <x:c r="H27" s="59" t="n">
        <x:v>0</x:v>
      </x:c>
      <x:c r="I27" s="53" t="str">
        <x:v>anmol</x:v>
      </x:c>
      <x:c r="J27" s="4" t="str">
        <x:v>Depth: Moderate depth, Nature: Technical Nature, Pillar: Realignment (Technical), Stakeholder: Miscelleanous, Unlearning</x:v>
      </x:c>
      <x:c r="K27" s="4" t="str">
        <x:v>Not unlearning. It calls for upgrade and reinforcement, not a fundamental rethink of the system.</x:v>
      </x:c>
      <x:c r="L27" s="4" t="str">
        <x:v>AnmolRationale_August12!row 55 (Latest Anmol August 12 re-evaluation)</x:v>
      </x:c>
      <x:c r="M27" s="4" t="str">
        <x:v>AnmolRationale_August12!row 55</x:v>
      </x:c>
      <x:c r="N27" s="53" t="str">
        <x:v>Yes</x:v>
      </x:c>
      <x:c r="O27" s="4" t="str">
        <x:v>Conflicting historical binary labels (No/Yes); final label follows AnmolRationale_August12!row 55. Multiple labelers (anmol, kyle); exact-duplicate priority yields anmol. Latest rationale overrides stale code field (Yes in Codes vs No final).</x:v>
      </x:c>
      <x:c r="P27" s="53" t="str">
        <x:v>Exact annotation duplicate</x:v>
      </x:c>
      <x:c r="Q27" s="4" t="str">
        <x:v>Consolidated exact duplicate annotations from multiple sheets into one passage row.</x:v>
      </x:c>
      <x:c r="R27" s="4" t="str"/>
      <x:c r="S27" s="4" t="str">
        <x:v>AnmolRationale_August12!r55 (G068; anmol): No [SELECTED] | ICAResults_25April2026!r84 (G068; kyle): Yes | RationaleSheet_April20_v1!r59 (G068; kyle): Yes</x:v>
      </x:c>
      <x:c r="T27" s="4" t="str">
        <x:v>AnmolRationale_August12!r55[G068]; ICAResults_25April2026!r84[G068]; RationaleSheet_April20_v1!r59[G068]</x:v>
      </x:c>
      <x:c r="U27" s="34" t="str">
        <x:v>Clear — no codebook example passage retained</x:v>
      </x:c>
      <x:c r="W27" s="424" t="str">
        <x:v>G077</x:v>
      </x:c>
      <x:c r="X27" s="430" t="str">
        <x:v>GAO</x:v>
      </x:c>
      <x:c r="Y27" s="430" t="str">
        <x:v>12:8, 12:9</x:v>
      </x:c>
      <x:c r="Z27" s="430" t="str">
        <x:v>p 5</x:v>
      </x:c>
      <x:c r="AA27" s="391" t="str">
        <x:v>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x:v>
      </x:c>
      <x:c r="AB27" s="430" t="str">
        <x:v>Near/exact duplicate variant</x:v>
      </x:c>
      <x:c r="AC27" s="391" t="str">
        <x:v>Equivalent text variant merged into GAO-003; cleaner representative retained.</x:v>
      </x:c>
      <x:c r="AD27" s="430" t="str">
        <x:v>GAO-003</x:v>
      </x:c>
      <x:c r="AE27" s="430" t="str">
        <x:v>Yes</x:v>
      </x:c>
      <x:c r="AF27" s="430" t="str">
        <x:v>kyle</x:v>
      </x:c>
      <x:c r="AG27" s="392" t="str">
        <x:v>ICAResults_25April2026!r37; RationaleSheet_April20_v1!r67</x:v>
      </x:c>
    </x:row>
    <x:row r="28" ht="58" customHeight="1">
      <x:c r="A28" s="47" t="str">
        <x:v>ERP-027</x:v>
      </x:c>
      <x:c r="B28" s="53" t="str">
        <x:v>2:17</x:v>
      </x:c>
      <x:c r="C28" s="53" t="str">
        <x:v>p 87</x:v>
      </x:c>
      <x:c r="D28" s="4"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x:v>
      </x:c>
      <x:c r="E28" s="53" t="str">
        <x:v>ERP Report</x:v>
      </x:c>
      <x:c r="F28" s="4" t="str">
        <x:v>erpreport.pdf</x:v>
      </x:c>
      <x:c r="G28" s="53" t="str">
        <x:v>Yes</x:v>
      </x:c>
      <x:c r="H28" s="59" t="n">
        <x:v>1</x:v>
      </x:c>
      <x:c r="I28" s="53" t="str">
        <x:v>anmol</x:v>
      </x:c>
      <x:c r="J28" s="4" t="str">
        <x:v>Depth: Moderate depth, Nature: Technical Nature, Pillar: Discarding (Normative), Pillar: Realignment (Technical), Stakeholder: USACE, Unlearning</x:v>
      </x:c>
      <x:c r="K28" s="4" t="str">
        <x:v>It identifies a problem and calls for change in governing structure where one agency or person takes charge over spread out responsbility.</x:v>
      </x:c>
      <x:c r="L28" s="4" t="str">
        <x:v>AnmolRationale_August12!row 42 (Latest Anmol August 12 re-evaluation)</x:v>
      </x:c>
      <x:c r="M28" s="4" t="str">
        <x:v>AnmolRationale_August12!row 42</x:v>
      </x:c>
      <x:c r="N28" s="53" t="str">
        <x:v>Yes</x:v>
      </x:c>
      <x:c r="O28" s="4" t="str">
        <x:v>Multiple labelers (anmol, kyle); exact-duplicate priority yields anmol.</x:v>
      </x:c>
      <x:c r="P28" s="53" t="str">
        <x:v>Exact annotation duplicate</x:v>
      </x:c>
      <x:c r="Q28" s="4" t="str">
        <x:v>Consolidated exact duplicate annotations from multiple sheets into one passage row.</x:v>
      </x:c>
      <x:c r="R28" s="4" t="str"/>
      <x:c r="S28" s="4" t="str">
        <x:v>AnmolRationale_August12!r42 (G069; anmol): Yes [SELECTED] | ICAResults_25April2026!r71 (G069; kyle): Yes | RationaleSheet_April20_v1!r46 (G069; kyle): Yes</x:v>
      </x:c>
      <x:c r="T28" s="4" t="str">
        <x:v>AnmolRationale_August12!r42[G069]; ICAResults_25April2026!r71[G069]; RationaleSheet_April20_v1!r46[G069]</x:v>
      </x:c>
      <x:c r="U28" s="34" t="str">
        <x:v>Clear — no codebook example passage retained</x:v>
      </x:c>
      <x:c r="W28" s="424" t="str">
        <x:v>G085</x:v>
      </x:c>
      <x:c r="X28" s="430" t="str">
        <x:v>Hurricane Katrina</x:v>
      </x:c>
      <x:c r="Y28" s="430" t="str">
        <x:v>14:10</x:v>
      </x:c>
      <x:c r="Z28" s="430" t="str">
        <x:v>pp 19-20</x:v>
      </x:c>
      <x:c r="AA28" s="391"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AB28" s="430" t="str">
        <x:v>Near/exact duplicate variant</x:v>
      </x:c>
      <x:c r="AC28" s="391" t="str">
        <x:v>Equivalent text variant merged into HK-006; cleaner representative retained.</x:v>
      </x:c>
      <x:c r="AD28" s="430" t="str">
        <x:v>HK-006</x:v>
      </x:c>
      <x:c r="AE28" s="430" t="str">
        <x:v>No</x:v>
      </x:c>
      <x:c r="AF28" s="430" t="str">
        <x:v>kyle</x:v>
      </x:c>
      <x:c r="AG28" s="392" t="str">
        <x:v>ICAResults_25April2026!r47; RationaleSheet_April20_v1!r78</x:v>
      </x:c>
    </x:row>
    <x:row r="29" ht="58" customHeight="1">
      <x:c r="A29" s="47" t="str">
        <x:v>ERP-028</x:v>
      </x:c>
      <x:c r="B29" s="53" t="str">
        <x:v>2:18</x:v>
      </x:c>
      <x:c r="C29" s="53" t="str">
        <x:v>p 89</x:v>
      </x:c>
      <x:c r="D29" s="4"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v>
      </x:c>
      <x:c r="E29" s="53" t="str">
        <x:v>ERP Report</x:v>
      </x:c>
      <x:c r="F29" s="4" t="str">
        <x:v>erpreport.pdf</x:v>
      </x:c>
      <x:c r="G29" s="53" t="str">
        <x:v>Yes</x:v>
      </x:c>
      <x:c r="H29" s="59" t="n">
        <x:v>1</x:v>
      </x:c>
      <x:c r="I29" s="53" t="str">
        <x:v>anmol</x:v>
      </x:c>
      <x:c r="J29" s="4" t="str">
        <x:v>Depth: High depth, Nature: Technical Nature, Pillar: Realignment (Technical), Stakeholder: USACE, Unlearning</x:v>
      </x:c>
      <x:c r="K29" s="4" t="str">
        <x:v>This identifies a clear problem in not engaging independent experts and asks for independent high-level engineering review.</x:v>
      </x:c>
      <x:c r="L29" s="4" t="str">
        <x:v>AnmolRationale_August12!row 43 (Latest Anmol August 12 re-evaluation)</x:v>
      </x:c>
      <x:c r="M29" s="4" t="str">
        <x:v>AnmolRationale_August12!row 43</x:v>
      </x:c>
      <x:c r="N29" s="53" t="str">
        <x:v>Yes</x:v>
      </x:c>
      <x:c r="O29" s="4" t="str">
        <x:v>Multiple labelers (anmol, kyle); exact-duplicate priority yields anmol.</x:v>
      </x:c>
      <x:c r="P29" s="53" t="str">
        <x:v>Exact annotation duplicate</x:v>
      </x:c>
      <x:c r="Q29" s="4" t="str">
        <x:v>Consolidated exact duplicate annotations from multiple sheets into one passage row.</x:v>
      </x:c>
      <x:c r="R29" s="4" t="str"/>
      <x:c r="S29" s="4" t="str">
        <x:v>AnmolRationale_August12!r43 (G070; anmol): Yes [SELECTED] | ICAResults_25April2026!r72 (G070; kyle): Yes | RationaleSheet_April20_v1!r47 (G070; kyle): Yes</x:v>
      </x:c>
      <x:c r="T29" s="4" t="str">
        <x:v>AnmolRationale_August12!r43[G070]; ICAResults_25April2026!r72[G070]; RationaleSheet_April20_v1!r47[G070]</x:v>
      </x:c>
      <x:c r="U29" s="34" t="str">
        <x:v>Clear — no codebook example passage retained</x:v>
      </x:c>
      <x:c r="W29" s="424" t="str">
        <x:v>G050</x:v>
      </x:c>
      <x:c r="X29" s="430" t="str">
        <x:v>ERP Report</x:v>
      </x:c>
      <x:c r="Y29" s="430" t="str">
        <x:v>2:6</x:v>
      </x:c>
      <x:c r="Z29" s="430" t="str">
        <x:v>p 7</x:v>
      </x:c>
      <x:c r="AA29" s="391" t="str">
        <x:v>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x:v>
      </x:c>
      <x:c r="AB29" s="430" t="str">
        <x:v>Codebook-example leakage</x:v>
      </x:c>
      <x:c r="AC29" s="391" t="str">
        <x:v>Removed for direct test leakage: exact match to the revised codebook's binary Unlearning example.</x:v>
      </x:c>
      <x:c r="AD29" s="430" t="str"/>
      <x:c r="AE29" s="430" t="str">
        <x:v>Yes</x:v>
      </x:c>
      <x:c r="AF29" s="430" t="str">
        <x:v>anmol, kyle</x:v>
      </x:c>
      <x:c r="AG29" s="392" t="str">
        <x:v>ICAResults_25April2026!r60; RationaleSheet_April20_v1!r35; AnmolRationale_August12!r31</x:v>
      </x:c>
    </x:row>
    <x:row r="30" ht="58" customHeight="1">
      <x:c r="A30" s="47" t="str">
        <x:v>GAO-001</x:v>
      </x:c>
      <x:c r="B30" s="53" t="str">
        <x:v>12:2</x:v>
      </x:c>
      <x:c r="C30" s="53" t="str">
        <x:v>p 4</x:v>
      </x:c>
      <x:c r="D30" s="4" t="str">
        <x:v>At the same time, some federal responders such the Coast Guard and DOD did “lean forward” in proactive efforts anticipating a major disaster.</x:v>
      </x:c>
      <x:c r="E30" s="53" t="str">
        <x:v>GAO</x:v>
      </x:c>
      <x:c r="F30" s="4" t="str">
        <x:v>gao-06-365r.pdf</x:v>
      </x:c>
      <x:c r="G30" s="53" t="str">
        <x:v>Yes</x:v>
      </x:c>
      <x:c r="H30" s="59" t="n">
        <x:v>1</x:v>
      </x:c>
      <x:c r="I30" s="53" t="str">
        <x:v>kyle</x:v>
      </x:c>
      <x:c r="J30" s="4" t="str">
        <x:v>Depth: Moderate depth, Nature: Normative Nature, Pillar: Merging (Integrative), Stakeholder: Dept of Defense, Unlearning</x:v>
      </x:c>
      <x:c r="K30" s="4" t="str"/>
      <x:c r="L30" s="4" t="str">
        <x:v>ICAResults_25April2026!row 30 (Latest available record by sheet chronology)</x:v>
      </x:c>
      <x:c r="M30" s="4" t="str"/>
      <x:c r="N30" s="53" t="str">
        <x:v>Yes</x:v>
      </x:c>
      <x:c r="O30" s="4" t="str">
        <x:v>Selected latest record has no rationale.</x:v>
      </x:c>
      <x:c r="P30" s="53" t="str">
        <x:v>Exact annotation duplicate</x:v>
      </x:c>
      <x:c r="Q30" s="4" t="str">
        <x:v>Consolidated exact duplicate annotations from multiple sheets into one passage row.</x:v>
      </x:c>
      <x:c r="R30" s="4" t="str"/>
      <x:c r="S30" s="4" t="str">
        <x:v>ICAResults_25April2026!r30 (G075; kyle): Yes [SELECTED] | RationaleSheet_April20_v1!r61 (G075; kyle): Yes</x:v>
      </x:c>
      <x:c r="T30" s="4" t="str">
        <x:v>ICAResults_25April2026!r30[G075]; RationaleSheet_April20_v1!r61[G075]</x:v>
      </x:c>
      <x:c r="U30" s="34" t="str">
        <x:v>Clear — no codebook example passage retained</x:v>
      </x:c>
      <x:c r="W30" s="424" t="str">
        <x:v>G064</x:v>
      </x:c>
      <x:c r="X30" s="430" t="str">
        <x:v>ERP Report</x:v>
      </x:c>
      <x:c r="Y30" s="430" t="str">
        <x:v>2:13</x:v>
      </x:c>
      <x:c r="Z30" s="430" t="str">
        <x:v>p 82</x:v>
      </x:c>
      <x:c r="AA30" s="391" t="str">
        <x:v>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x:v>
      </x:c>
      <x:c r="AB30" s="430" t="str">
        <x:v>Codebook-example leakage</x:v>
      </x:c>
      <x:c r="AC30" s="391" t="str">
        <x:v>Removed for test leakage: contains a 21-token verbatim segment from the revised codebook's binary Unlearning example.</x:v>
      </x:c>
      <x:c r="AD30" s="430" t="str"/>
      <x:c r="AE30" s="430" t="str">
        <x:v>Yes</x:v>
      </x:c>
      <x:c r="AF30" s="430" t="str">
        <x:v>anmol, kyle</x:v>
      </x:c>
      <x:c r="AG30" s="392" t="str">
        <x:v>ICAResults_25April2026!r67; RationaleSheet_April20_v1!r42; AnmolRationale_August12!r38</x:v>
      </x:c>
    </x:row>
    <x:row r="31" ht="58" customHeight="1">
      <x:c r="A31" s="47" t="str">
        <x:v>GAO-002</x:v>
      </x:c>
      <x:c r="B31" s="53" t="str">
        <x:v>12:8</x:v>
      </x:c>
      <x:c r="C31" s="53" t="str">
        <x:v>p 5</x:v>
      </x:c>
      <x:c r="D31" s="4" t="str">
        <x:v>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x:v>
      </x:c>
      <x:c r="E31" s="53" t="str">
        <x:v>GAO</x:v>
      </x:c>
      <x:c r="F31" s="4" t="str">
        <x:v>gao-06-365r.pdf</x:v>
      </x:c>
      <x:c r="G31" s="53" t="str">
        <x:v>Yes</x:v>
      </x:c>
      <x:c r="H31" s="59" t="n">
        <x:v>1</x:v>
      </x:c>
      <x:c r="I31" s="53" t="str">
        <x:v>anmol</x:v>
      </x:c>
      <x:c r="J31" s="4" t="str">
        <x:v>Unlearning</x:v>
      </x:c>
      <x:c r="K31" s="4" t="str">
        <x:v>Unlearning. It identifies the lack of plans as a problem and makes a case for detailed plans that delineate capabilities as well as training exercises/</x:v>
      </x:c>
      <x:c r="L31" s="4" t="str">
        <x:v>AnmolRationale_August12!row 11 (Latest Anmol August 12 re-evaluation)</x:v>
      </x:c>
      <x:c r="M31" s="4" t="str">
        <x:v>AnmolRationale_August12!row 11</x:v>
      </x:c>
      <x:c r="N31" s="53" t="str">
        <x:v>No</x:v>
      </x:c>
      <x:c r="O31" s="4" t="str"/>
      <x:c r="P31" s="53" t="str">
        <x:v>None</x:v>
      </x:c>
      <x:c r="Q31" s="4" t="str"/>
      <x:c r="R31" s="4" t="str"/>
      <x:c r="S31" s="4" t="str">
        <x:v>AnmolRationale_August12!r11 (G071; anmol): Yes [SELECTED]</x:v>
      </x:c>
      <x:c r="T31" s="4" t="str">
        <x:v>AnmolRationale_August12!r11[G071]</x:v>
      </x:c>
      <x:c r="U31" s="34" t="str">
        <x:v>Clear — no codebook example passage retained</x:v>
      </x:c>
      <x:c r="W31" s="424" t="str">
        <x:v>G072</x:v>
      </x:c>
      <x:c r="X31" s="430" t="str">
        <x:v>GAO</x:v>
      </x:c>
      <x:c r="Y31" s="430" t="str">
        <x:v>12:1</x:v>
      </x:c>
      <x:c r="Z31" s="430" t="str">
        <x:v>pp 3-4</x:v>
      </x:c>
      <x:c r="AA31" s="391" t="str">
        <x:v>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the current national response framework. More specifically with regard to the lessons to be learned from Hurricane Katrina:</x:v>
      </x:c>
      <x:c r="AB31" s="430" t="str">
        <x:v>Codebook-example leakage</x:v>
      </x:c>
      <x:c r="AC31" s="391" t="str">
        <x:v>Removed for direct test leakage: contains the complete revised codebook Leadership example.</x:v>
      </x:c>
      <x:c r="AD31" s="430" t="str"/>
      <x:c r="AE31" s="430" t="str">
        <x:v>Yes</x:v>
      </x:c>
      <x:c r="AF31" s="430" t="str">
        <x:v>anmol, kyle</x:v>
      </x:c>
      <x:c r="AG31" s="392" t="str">
        <x:v>ICAResults_25April2026!r29; RationaleSheet_April20_v1!r60; AnmolRationale_August12!r7</x:v>
      </x:c>
    </x:row>
    <x:row r="32" ht="58" customHeight="1">
      <x:c r="A32" s="47" t="str">
        <x:v>GAO-003</x:v>
      </x:c>
      <x:c r="B32" s="53" t="str">
        <x:v>12:9</x:v>
      </x:c>
      <x:c r="C32" s="53" t="str">
        <x:v>p 5</x:v>
      </x:c>
      <x:c r="D32" s="4" t="str">
        <x:v>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x:v>
      </x:c>
      <x:c r="E32" s="53" t="str">
        <x:v>GAO</x:v>
      </x:c>
      <x:c r="F32" s="4" t="str">
        <x:v>gao-06-365r.pdf</x:v>
      </x:c>
      <x:c r="G32" s="53" t="str">
        <x:v>No</x:v>
      </x:c>
      <x:c r="H32" s="59" t="n">
        <x:v>0</x:v>
      </x:c>
      <x:c r="I32" s="53" t="str">
        <x:v>kyle</x:v>
      </x:c>
      <x:c r="J32" s="4" t="str">
        <x:v>205</x:v>
      </x:c>
      <x:c r="K32" s="4" t="str"/>
      <x:c r="L32" s="4" t="str">
        <x:v>RationaleSheet_April20_v1!row 68 (Manual recency/adjudication rule)</x:v>
      </x:c>
      <x:c r="M32" s="4" t="str"/>
      <x:c r="N32" s="53" t="str">
        <x:v>Yes</x:v>
      </x:c>
      <x:c r="O32" s="4" t="str">
        <x:v>Conflicting historical binary labels (No/Yes); final label follows RationaleSheet_April20_v1!row 68. Same/equivalent passage has conflicting annotation numbers (12:8, 12:9); selected 12:9. Selected latest record has no rationale. Manual latest-label rule applied: Manual recency/adjudication rule.</x:v>
      </x:c>
      <x:c r="P32" s="53" t="str">
        <x:v>Near/exact text variant</x:v>
      </x:c>
      <x:c r="Q32" s="4" t="str">
        <x:v>Consolidated equivalent text groups G076, G077; retained cleaner representative G076. Also consolidated repeated annotations across source sheets.</x:v>
      </x:c>
      <x:c r="R32" s="4" t="str"/>
      <x:c r="S32" s="4" t="str">
        <x:v>ICAResults_25April2026!r37 (G077; kyle): Yes | ICAResults_25April2026!r36 (G076; kyle): No | RationaleSheet_April20_v1!r68 (G076; kyle): No [SELECTED] | RationaleSheet_April20_v1!r67 (G077; kyle): Yes</x:v>
      </x:c>
      <x:c r="T32" s="4" t="str">
        <x:v>ICAResults_25April2026!r36[G076]; ICAResults_25April2026!r37[G077]; RationaleSheet_April20_v1!r67[G077]; RationaleSheet_April20_v1!r68[G076]</x:v>
      </x:c>
      <x:c r="U32" s="34" t="str">
        <x:v>Clear — no codebook example passage retained</x:v>
      </x:c>
      <x:c r="W32" s="424" t="str">
        <x:v>G080</x:v>
      </x:c>
      <x:c r="X32" s="430" t="str">
        <x:v>GAO</x:v>
      </x:c>
      <x:c r="Y32" s="430" t="str">
        <x:v>12:7</x:v>
      </x:c>
      <x:c r="Z32" s="430" t="str">
        <x:v>p 8</x:v>
      </x:c>
      <x:c r="AA32" s="391" t="str">
        <x:v>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x:v>
      </x:c>
      <x:c r="AB32" s="430" t="str">
        <x:v>Codebook-example leakage</x:v>
      </x:c>
      <x:c r="AC32" s="391" t="str">
        <x:v>Removed for direct test leakage: contains the complete revised codebook Funds/resource-allocation example.</x:v>
      </x:c>
      <x:c r="AD32" s="430" t="str"/>
      <x:c r="AE32" s="430" t="str">
        <x:v>Yes</x:v>
      </x:c>
      <x:c r="AF32" s="430" t="str">
        <x:v>anmol, kyle</x:v>
      </x:c>
      <x:c r="AG32" s="392" t="str">
        <x:v>ICAResults_25April2026!r35; RationaleSheet_April20_v1!r66; AnmolRationale_August12!r10</x:v>
      </x:c>
    </x:row>
    <x:row r="33" ht="58" customHeight="1">
      <x:c r="A33" s="47" t="str">
        <x:v>GAO-004</x:v>
      </x:c>
      <x:c r="B33" s="53" t="str">
        <x:v>12:3</x:v>
      </x:c>
      <x:c r="C33" s="53" t="str">
        <x:v>pp 5-6</x:v>
      </x:c>
      <x:c r="D33" s="4" t="str">
        <x:v>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Guard would be integrated. It would also avoid the type of confusion that occurred in Louisiana regarding the types of military support needed and requested, and the respective contributions of active duty and National Guard forces.</x:v>
      </x:c>
      <x:c r="E33" s="53" t="str">
        <x:v>GAO</x:v>
      </x:c>
      <x:c r="F33" s="4" t="str">
        <x:v>gao-06-365r.pdf</x:v>
      </x:c>
      <x:c r="G33" s="53" t="str">
        <x:v>Yes</x:v>
      </x:c>
      <x:c r="H33" s="59" t="n">
        <x:v>1</x:v>
      </x:c>
      <x:c r="I33" s="53" t="str">
        <x:v>kyle</x:v>
      </x:c>
      <x:c r="J33" s="4" t="str">
        <x:v>Depth: High depth, Nature: Normative Nature, Pillar: Merging (Integrative), Pillar: Reconsidering (Epistemic), Stakeholder: Dept of Defense, Unlearning</x:v>
      </x:c>
      <x:c r="K33" s="4" t="str"/>
      <x:c r="L33" s="4" t="str">
        <x:v>ICAResults_25April2026!row 31 (Latest available record by sheet chronology)</x:v>
      </x:c>
      <x:c r="M33" s="4" t="str"/>
      <x:c r="N33" s="53" t="str">
        <x:v>Yes</x:v>
      </x:c>
      <x:c r="O33" s="4" t="str">
        <x:v>Selected latest record has no rationale.</x:v>
      </x:c>
      <x:c r="P33" s="53" t="str">
        <x:v>Exact annotation duplicate</x:v>
      </x:c>
      <x:c r="Q33" s="4" t="str">
        <x:v>Consolidated exact duplicate annotations from multiple sheets into one passage row.</x:v>
      </x:c>
      <x:c r="R33" s="4" t="str">
        <x:v>Removed embedded PDF page header/footer</x:v>
      </x:c>
      <x:c r="S33" s="4" t="str">
        <x:v>ICAResults_25April2026!r31 (G073; kyle): Yes [SELECTED] | RationaleSheet_April20_v1!r62 (G073; kyle): Yes</x:v>
      </x:c>
      <x:c r="T33" s="4" t="str">
        <x:v>ICAResults_25April2026!r31[G073]; RationaleSheet_April20_v1!r62[G073]</x:v>
      </x:c>
      <x:c r="U33" s="34" t="str">
        <x:v>Clear — no codebook example passage retained</x:v>
      </x:c>
      <x:c r="W33" s="424" t="str">
        <x:v>G086</x:v>
      </x:c>
      <x:c r="X33" s="430" t="str">
        <x:v>Hurricane Katrina</x:v>
      </x:c>
      <x:c r="Y33" s="430" t="str">
        <x:v>14:12</x:v>
      </x:c>
      <x:c r="Z33" s="430" t="str">
        <x:v>pp 29-30</x:v>
      </x:c>
      <x:c r="AA33" s="391"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AB33" s="430" t="str">
        <x:v>Codebook-example leakage</x:v>
      </x:c>
      <x:c r="AC33" s="391" t="str">
        <x:v>Removed for direct test leakage: contains the revised codebook Agency example within a longer passage.</x:v>
      </x:c>
      <x:c r="AD33" s="430" t="str"/>
      <x:c r="AE33" s="430" t="str">
        <x:v>No/Yes</x:v>
      </x:c>
      <x:c r="AF33" s="430" t="str">
        <x:v>anmol, kyle</x:v>
      </x:c>
      <x:c r="AG33" s="392" t="str">
        <x:v>ICAResults_25April2026!r49; RationaleSheet_April20_v1!r80; AnmolRationale_August12!r23; GPT Test!r10</x:v>
      </x:c>
    </x:row>
    <x:row r="34" ht="58" customHeight="1">
      <x:c r="A34" s="47" t="str">
        <x:v>GAO-005</x:v>
      </x:c>
      <x:c r="B34" s="53" t="str">
        <x:v>12:4</x:v>
      </x:c>
      <x:c r="C34" s="53" t="str">
        <x:v>p 6</x:v>
      </x:c>
      <x:c r="D34" s="4" t="str">
        <x:v>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v>
      </x:c>
      <x:c r="E34" s="53" t="str">
        <x:v>GAO</x:v>
      </x:c>
      <x:c r="F34" s="4" t="str">
        <x:v>gao-06-365r.pdf</x:v>
      </x:c>
      <x:c r="G34" s="53" t="str">
        <x:v>Yes</x:v>
      </x:c>
      <x:c r="H34" s="59" t="n">
        <x:v>1</x:v>
      </x:c>
      <x:c r="I34" s="53" t="str">
        <x:v>anmol</x:v>
      </x:c>
      <x:c r="J34" s="4" t="str">
        <x:v>Depth: High depth, Nature: Normative Nature, Pillar: Reconsidering (Epistemic), Unlearning</x:v>
      </x:c>
      <x:c r="K34" s="4" t="str">
        <x:v>Unlearning, as it makes a case for removing the business-as-usual approach for catastrophic events inlcuding emergency communications, continuity adn logistics and distributions.</x:v>
      </x:c>
      <x:c r="L34" s="4" t="str">
        <x:v>AnmolRationale_August12!row 8 (Latest Anmol August 12 re-evaluation)</x:v>
      </x:c>
      <x:c r="M34" s="4" t="str">
        <x:v>AnmolRationale_August12!row 8</x:v>
      </x:c>
      <x:c r="N34" s="53" t="str">
        <x:v>Yes</x:v>
      </x:c>
      <x:c r="O34" s="4" t="str">
        <x:v>Multiple labelers (anmol, kyle); exact-duplicate priority yields anmol.</x:v>
      </x:c>
      <x:c r="P34" s="53" t="str">
        <x:v>Exact annotation duplicate</x:v>
      </x:c>
      <x:c r="Q34" s="4" t="str">
        <x:v>Consolidated exact duplicate annotations from multiple sheets into one passage row.</x:v>
      </x:c>
      <x:c r="R34" s="4" t="str"/>
      <x:c r="S34" s="4" t="str">
        <x:v>AnmolRationale_August12!r8 (G078; anmol): Yes [SELECTED] | ICAResults_25April2026!r32 (G078; kyle): Yes | RationaleSheet_April20_v1!r63 (G078; kyle): Yes</x:v>
      </x:c>
      <x:c r="T34" s="4" t="str">
        <x:v>AnmolRationale_August12!r8[G078]; ICAResults_25April2026!r32[G078]; RationaleSheet_April20_v1!r63[G078]</x:v>
      </x:c>
      <x:c r="U34" s="34" t="str">
        <x:v>Clear — no codebook example passage retained</x:v>
      </x:c>
      <x:c r="W34" s="424" t="str">
        <x:v>G092</x:v>
      </x:c>
      <x:c r="X34" s="430" t="str">
        <x:v>Hurricane Katrina</x:v>
      </x:c>
      <x:c r="Y34" s="430" t="str">
        <x:v>14:1, 14:15, 14:16, 14:2</x:v>
      </x:c>
      <x:c r="Z34" s="430" t="str">
        <x:v>p 2</x:v>
      </x:c>
      <x:c r="AA34" s="391"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AB34" s="430" t="str">
        <x:v>Codebook-example leakage</x:v>
      </x:c>
      <x:c r="AC34" s="391" t="str">
        <x:v>Removed for direct test leakage: near-verbatim/full-content match to the revised codebook Agency example. University of Delaware duplicate/system annotation(s) were ignored.</x:v>
      </x:c>
      <x:c r="AD34" s="430" t="str"/>
      <x:c r="AE34" s="430" t="str">
        <x:v>Yes</x:v>
      </x:c>
      <x:c r="AF34" s="430" t="str">
        <x:v>anmol, kyle</x:v>
      </x:c>
      <x:c r="AG34" s="392" t="str">
        <x:v>ICAResults_25April2026!r53; RationaleSheet_April20_v1!r70; AnmolRationale_August12!r13; GPT Test!r2; Findings!r8</x:v>
      </x:c>
    </x:row>
    <x:row r="35" ht="58" customHeight="1">
      <x:c r="A35" s="47" t="str">
        <x:v>GAO-006</x:v>
      </x:c>
      <x:c r="B35" s="53" t="str">
        <x:v>12:5</x:v>
      </x:c>
      <x:c r="C35" s="53" t="str">
        <x:v>p 7</x:v>
      </x:c>
      <x:c r="D35" s="4" t="str">
        <x:v>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x:v>
      </x:c>
      <x:c r="E35" s="53" t="str">
        <x:v>GAO</x:v>
      </x:c>
      <x:c r="F35" s="4" t="str">
        <x:v>gao-06-365r.pdf</x:v>
      </x:c>
      <x:c r="G35" s="53" t="str">
        <x:v>Yes</x:v>
      </x:c>
      <x:c r="H35" s="59" t="n">
        <x:v>1</x:v>
      </x:c>
      <x:c r="I35" s="53" t="str">
        <x:v>kyle</x:v>
      </x:c>
      <x:c r="J35" s="4" t="str">
        <x:v>Depth: High depth, Nature: Normative Nature, Pillar: Merging (Integrative), Pillar: Reconsidering (Epistemic), Stakeholder: Dept of Defense, Unlearning</x:v>
      </x:c>
      <x:c r="K35" s="4" t="str"/>
      <x:c r="L35" s="4" t="str">
        <x:v>ICAResults_25April2026!row 33 (Latest available record by sheet chronology)</x:v>
      </x:c>
      <x:c r="M35" s="4" t="str"/>
      <x:c r="N35" s="53" t="str">
        <x:v>Yes</x:v>
      </x:c>
      <x:c r="O35" s="4" t="str">
        <x:v>Selected latest record has no rationale.</x:v>
      </x:c>
      <x:c r="P35" s="53" t="str">
        <x:v>Exact annotation duplicate</x:v>
      </x:c>
      <x:c r="Q35" s="4" t="str">
        <x:v>Consolidated exact duplicate annotations from multiple sheets into one passage row.</x:v>
      </x:c>
      <x:c r="R35" s="4" t="str"/>
      <x:c r="S35" s="4" t="str">
        <x:v>ICAResults_25April2026!r33 (G079; kyle): Yes [SELECTED] | RationaleSheet_April20_v1!r64 (G079; kyle): Yes</x:v>
      </x:c>
      <x:c r="T35" s="4" t="str">
        <x:v>ICAResults_25April2026!r33[G079]; RationaleSheet_April20_v1!r64[G079]</x:v>
      </x:c>
      <x:c r="U35" s="34" t="str">
        <x:v>Clear — no codebook example passage retained</x:v>
      </x:c>
      <x:c r="W35" s="424" t="str">
        <x:v>G096</x:v>
      </x:c>
      <x:c r="X35" s="430" t="str">
        <x:v>Hurricane Katrina</x:v>
      </x:c>
      <x:c r="Y35" s="430" t="str">
        <x:v>14:3</x:v>
      </x:c>
      <x:c r="Z35" s="430" t="str">
        <x:v>p 5</x:v>
      </x:c>
      <x:c r="AA35" s="391"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AB35" s="430" t="str">
        <x:v>Codebook-example leakage</x:v>
      </x:c>
      <x:c r="AC35" s="391" t="str">
        <x:v>Removed for direct test leakage: contains Leadership and Laws/plans/policies example language from the revised codebook.</x:v>
      </x:c>
      <x:c r="AD35" s="430" t="str"/>
      <x:c r="AE35" s="430" t="str">
        <x:v>Yes</x:v>
      </x:c>
      <x:c r="AF35" s="430" t="str">
        <x:v>anmol, kyle</x:v>
      </x:c>
      <x:c r="AG35" s="392" t="str">
        <x:v>ICAResults_25April2026!r40; RationaleSheet_April20_v1!r71; AnmolRationale_August12!r14; GPT Test!r3</x:v>
      </x:c>
    </x:row>
    <x:row r="36" ht="58" customHeight="1">
      <x:c r="A36" s="47" t="str">
        <x:v>GAO-007</x:v>
      </x:c>
      <x:c r="B36" s="53" t="str">
        <x:v>12:6</x:v>
      </x:c>
      <x:c r="C36" s="53" t="str">
        <x:v>pp 7-8</x:v>
      </x:c>
      <x:c r="D36" s="4" t="str">
        <x:v>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x:v>
      </x:c>
      <x:c r="E36" s="53" t="str">
        <x:v>GAO</x:v>
      </x:c>
      <x:c r="F36" s="4" t="str">
        <x:v>gao-06-365r.pdf</x:v>
      </x:c>
      <x:c r="G36" s="53" t="str">
        <x:v>Yes</x:v>
      </x:c>
      <x:c r="H36" s="59" t="n">
        <x:v>1</x:v>
      </x:c>
      <x:c r="I36" s="53" t="str">
        <x:v>anmol</x:v>
      </x:c>
      <x:c r="J36" s="4" t="str">
        <x:v>Depth: Moderate depth, Nature: Normative Nature, Pillar: Discarding (Normative), Unlearning</x:v>
      </x:c>
      <x:c r="K36" s="4" t="str">
        <x:v>Unlearning as it identifies departure from past practices of disaster response wherein evucation capabilities include special needs population.</x:v>
      </x:c>
      <x:c r="L36" s="4" t="str">
        <x:v>AnmolRationale_August12!row 9 (Latest Anmol August 12 re-evaluation)</x:v>
      </x:c>
      <x:c r="M36" s="4" t="str">
        <x:v>AnmolRationale_August12!row 9</x:v>
      </x:c>
      <x:c r="N36" s="53" t="str">
        <x:v>Yes</x:v>
      </x:c>
      <x:c r="O36" s="4" t="str">
        <x:v>Multiple labelers (anmol, kyle); exact-duplicate priority yields anmol.</x:v>
      </x:c>
      <x:c r="P36" s="53" t="str">
        <x:v>Exact annotation duplicate</x:v>
      </x:c>
      <x:c r="Q36" s="4" t="str">
        <x:v>Consolidated exact duplicate annotations from multiple sheets into one passage row.</x:v>
      </x:c>
      <x:c r="R36" s="4" t="str">
        <x:v>Removed embedded PDF page header/footer</x:v>
      </x:c>
      <x:c r="S36" s="4" t="str">
        <x:v>AnmolRationale_August12!r9 (G074; anmol): Yes [SELECTED] | ICAResults_25April2026!r34 (G074; kyle): Yes | RationaleSheet_April20_v1!r65 (G074; kyle): Yes</x:v>
      </x:c>
      <x:c r="T36" s="4" t="str">
        <x:v>AnmolRationale_August12!r9[G074]; ICAResults_25April2026!r34[G074]; RationaleSheet_April20_v1!r65[G074]</x:v>
      </x:c>
      <x:c r="U36" s="34" t="str">
        <x:v>Clear — no codebook example passage retained</x:v>
      </x:c>
      <x:c r="W36" s="424" t="str">
        <x:v>G097</x:v>
      </x:c>
      <x:c r="X36" s="430" t="str">
        <x:v>Hurricane Katrina</x:v>
      </x:c>
      <x:c r="Y36" s="430" t="str">
        <x:v>14:1, 14:15</x:v>
      </x:c>
      <x:c r="Z36" s="430" t="str">
        <x:v>p 5</x:v>
      </x:c>
      <x:c r="AA36" s="391" t="str">
        <x:v>2) removing statutory restrictions on DOD’s authority to activate Reserve units for catastrophic disaster relief.</x:v>
      </x:c>
      <x:c r="AB36" s="430" t="str">
        <x:v>Codebook-example leakage</x:v>
      </x:c>
      <x:c r="AC36" s="391" t="str">
        <x:v>Removed for direct test leakage: near-verbatim match to the revised codebook Laws/plans/policies example; also a child of G096.</x:v>
      </x:c>
      <x:c r="AD36" s="430" t="str"/>
      <x:c r="AE36" s="430" t="str">
        <x:v>No/Yes</x:v>
      </x:c>
      <x:c r="AF36" s="430" t="str">
        <x:v>anmol, kyle</x:v>
      </x:c>
      <x:c r="AG36" s="392" t="str">
        <x:v>ICAResults_25April2026!r52; RationaleSheet_April20_v1!r69; AnmolRationale_August12!r12</x:v>
      </x:c>
    </x:row>
    <x:row r="37" ht="58" customHeight="1">
      <x:c r="A37" s="47" t="str">
        <x:v>EPA-001</x:v>
      </x:c>
      <x:c r="B37" s="53" t="str">
        <x:v>1:1</x:v>
      </x:c>
      <x:c r="C37" s="53" t="str">
        <x:v>p 3</x:v>
      </x:c>
      <x:c r="D37" s="4"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E37" s="53" t="str">
        <x:v>EPA</x:v>
      </x:c>
      <x:c r="F37" s="4" t="str">
        <x:v>EPA</x:v>
      </x:c>
      <x:c r="G37" s="53" t="str">
        <x:v>No</x:v>
      </x:c>
      <x:c r="H37" s="59" t="n">
        <x:v>0</x:v>
      </x:c>
      <x:c r="I37" s="53" t="str">
        <x:v>anmol</x:v>
      </x:c>
      <x:c r="J37" s="4" t="str">
        <x:v>Depth: Moderate depth, Nature: Technical Nature, Pillar: Merging (Integrative), Stakeholder: EPA, Unlearning</x:v>
      </x:c>
      <x:c r="K37" s="4" t="str">
        <x:v>I woudng classify this as unlearning. I identifies a problem but doesnt call for abandoning anything. It ask for additiv change or improved coordination.</x:v>
      </x:c>
      <x:c r="L37" s="4" t="str">
        <x:v>AnmolRationale_August12!row 2 (Latest Anmol August 12 re-evaluation)</x:v>
      </x:c>
      <x:c r="M37" s="4" t="str">
        <x:v>AnmolRationale_August12!row 2</x:v>
      </x:c>
      <x:c r="N37" s="53" t="str">
        <x:v>Yes</x:v>
      </x:c>
      <x:c r="O37" s="4" t="str">
        <x:v>Latest rationale overrides stale code field (Yes in Codes vs No final).</x:v>
      </x:c>
      <x:c r="P37" s="53" t="str">
        <x:v>Exact annotation duplicate</x:v>
      </x:c>
      <x:c r="Q37" s="4" t="str">
        <x:v>Consolidated exact duplicate annotations from multiple sheets into one passage row.</x:v>
      </x:c>
      <x:c r="R37" s="4" t="str"/>
      <x:c r="S37" s="4" t="str">
        <x:v>AnmolRationale_August12!r2 (G022; anmol): No [SELECTED] | ICAResults_25April2026!r2 (G022; anmol): No | RationaleSheet_April20_v1!r2 (G022; anmol): No</x:v>
      </x:c>
      <x:c r="T37" s="4" t="str">
        <x:v>AnmolRationale_August12!r2[G022]; ICAResults_25April2026!r2[G022]; RationaleSheet_April20_v1!r2[G022]</x:v>
      </x:c>
      <x:c r="U37" s="34" t="str">
        <x:v>Clear — no codebook example passage retained</x:v>
      </x:c>
      <x:c r="W37" s="424" t="str">
        <x:v>G098</x:v>
      </x:c>
      <x:c r="X37" s="430" t="str">
        <x:v>Hurricane Katrina</x:v>
      </x:c>
      <x:c r="Y37" s="430" t="str">
        <x:v>14:16, 14:2</x:v>
      </x:c>
      <x:c r="Z37" s="430" t="str">
        <x:v>p 5</x:v>
      </x:c>
      <x:c r="AA37" s="391" t="str">
        <x:v>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AB37" s="430" t="str">
        <x:v>Codebook-example leakage</x:v>
      </x:c>
      <x:c r="AC37" s="391" t="str">
        <x:v>Removed for direct test leakage: contains the revised codebook Laws/plans/policies example; also a child of G096. University of Delaware duplicate/system annotation(s) were ignored.</x:v>
      </x:c>
      <x:c r="AD37" s="430" t="str"/>
      <x:c r="AE37" s="430" t="str">
        <x:v>Yes</x:v>
      </x:c>
      <x:c r="AF37" s="430" t="str"/>
      <x:c r="AG37" s="392" t="str"/>
    </x:row>
    <x:row r="38" ht="58" customHeight="1">
      <x:c r="A38" s="47" t="str">
        <x:v>EPA-002</x:v>
      </x:c>
      <x:c r="B38" s="53" t="str">
        <x:v>1:6</x:v>
      </x:c>
      <x:c r="C38" s="53" t="str">
        <x:v>p 7</x:v>
      </x:c>
      <x:c r="D38" s="4" t="str">
        <x:v>ollowed its emergency response protocols, including those lessons learned from the World Trade Center collapse and its responsibilities as delineated in the National Response Plan (NRP), in responding to the Katrina disaster</x:v>
      </x:c>
      <x:c r="E38" s="53" t="str">
        <x:v>EPA</x:v>
      </x:c>
      <x:c r="F38" s="4" t="str">
        <x:v>EPA</x:v>
      </x:c>
      <x:c r="G38" s="53" t="str">
        <x:v>Yes</x:v>
      </x:c>
      <x:c r="H38" s="59" t="n">
        <x:v>1</x:v>
      </x:c>
      <x:c r="I38" s="53" t="str">
        <x:v>prerana</x:v>
      </x:c>
      <x:c r="J38" s="4" t="str">
        <x:v>Depth: Low depth, Nature: Technical Nature, Pillar: Realignment (Technical), Unlearning</x:v>
      </x:c>
      <x:c r="K38" s="4" t="str">
        <x:v>References WTC. From past.</x:v>
      </x:c>
      <x:c r="L38" s="4" t="str">
        <x:v>ICAResults_25April2026!row 7 (Latest available record by sheet chronology)</x:v>
      </x:c>
      <x:c r="M38" s="4" t="str">
        <x:v>ICAResults_25April2026!row 7</x:v>
      </x:c>
      <x:c r="N38" s="53" t="str">
        <x:v>Yes</x:v>
      </x:c>
      <x:c r="O38" s="4" t="str">
        <x:v>Source text begins mid-word ('ollowed...'); verify the beginning against the PDF.</x:v>
      </x:c>
      <x:c r="P38" s="53" t="str">
        <x:v>Exact annotation duplicate</x:v>
      </x:c>
      <x:c r="Q38" s="4" t="str">
        <x:v>Consolidated exact duplicate annotations from multiple sheets into one passage row. University of Delaware duplicate/system annotation(s) ignored.</x:v>
      </x:c>
      <x:c r="R38" s="4" t="str"/>
      <x:c r="S38" s="4" t="str">
        <x:v>ICAResults_25April2026!r7 (G023; prerana): Yes [SELECTED]</x:v>
      </x:c>
      <x:c r="T38" s="4" t="str">
        <x:v>ICAResults_25April2026!r7[G023]</x:v>
      </x:c>
      <x:c r="U38" s="34" t="str">
        <x:v>Clear — no codebook example passage retained</x:v>
      </x:c>
      <x:c r="W38" s="424" t="str">
        <x:v>G099</x:v>
      </x:c>
      <x:c r="X38" s="430" t="str">
        <x:v>Hurricane Katrina</x:v>
      </x:c>
      <x:c r="Y38" s="430" t="str">
        <x:v>14:4</x:v>
      </x:c>
      <x:c r="Z38" s="430" t="str">
        <x:v>p 6</x:v>
      </x:c>
      <x:c r="AA38" s="391"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x:v>
      </x:c>
      <x:c r="AB38" s="430" t="str">
        <x:v>Codebook-example leakage</x:v>
      </x:c>
      <x:c r="AC38" s="391" t="str">
        <x:v>Removed for direct test leakage: contains the revised codebook Agency example within a longer passage.</x:v>
      </x:c>
      <x:c r="AD38" s="430" t="str"/>
      <x:c r="AE38" s="430" t="str">
        <x:v>Yes</x:v>
      </x:c>
      <x:c r="AF38" s="430" t="str">
        <x:v>anmol, kyle</x:v>
      </x:c>
      <x:c r="AG38" s="392" t="str">
        <x:v>ICAResults_25April2026!r41; RationaleSheet_April20_v1!r72; AnmolRationale_August12!r15; GPT Test!r4</x:v>
      </x:c>
    </x:row>
    <x:row r="39" ht="58" customHeight="1">
      <x:c r="A39" s="47" t="str">
        <x:v>EPA-003</x:v>
      </x:c>
      <x:c r="B39" s="53" t="str">
        <x:v>1:2</x:v>
      </x:c>
      <x:c r="C39" s="53" t="str">
        <x:v>pp 9-10</x:v>
      </x:c>
      <x:c r="D39" s="4"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39" s="53" t="str">
        <x:v>EPA</x:v>
      </x:c>
      <x:c r="F39" s="4" t="str">
        <x:v>EPA</x:v>
      </x:c>
      <x:c r="G39" s="53" t="str">
        <x:v>No</x:v>
      </x:c>
      <x:c r="H39" s="59" t="n">
        <x:v>0</x:v>
      </x:c>
      <x:c r="I39" s="53" t="str">
        <x:v>anmol</x:v>
      </x:c>
      <x:c r="J39" s="4" t="str">
        <x:v>Nature: Technical Nature, Pillar: Merging (Integrative), Stakeholder: EPA, Stakeholder: Stakeholders, Unlearning</x:v>
      </x:c>
      <x:c r="K39" s="4" t="str">
        <x:v>It identifies specific areas that dont work namely driking water response and limited understanding of each others work and asks for better coodination. however, it doesnt mention a specific aspect that needs abandonging or rethink.</x:v>
      </x:c>
      <x:c r="L39" s="4" t="str">
        <x:v>AnmolRationale_August12!row 3 (Latest Anmol August 12 re-evaluation)</x:v>
      </x:c>
      <x:c r="M39" s="4" t="str">
        <x:v>AnmolRationale_August12!row 3</x:v>
      </x:c>
      <x:c r="N39" s="53" t="str">
        <x:v>Yes</x:v>
      </x:c>
      <x:c r="O39" s="4" t="str">
        <x:v>Conflicting historical binary labels (No/Yes); final label follows AnmolRationale_August12!row 3. Multiple labelers (anmol, prerana, kyle); parent-passage labeler rule yields anmol. Latest rationale overrides stale code field (Yes in Codes vs No final). Source span contains multiple paragraphs/section heading; kept the full parent span under the parent-child rule.</x:v>
      </x:c>
      <x:c r="P39" s="53" t="str">
        <x:v>Near/exact text variant; Parent-child</x:v>
      </x:c>
      <x:c r="Q39" s="4" t="str">
        <x:v>Consolidated equivalent text groups G003, G004; retained cleaner representative G003. Kept parent span G003; removed child group(s) G005, G008. Parent passage labeler retained. Also consolidated repeated annotations across source sheets. University of Delaware duplicate/system annotation(s) ignored.</x:v>
      </x:c>
      <x:c r="R39" s="4" t="str"/>
      <x:c r="S39" s="4" t="str">
        <x:v>AnmolRationale_August12!r3 (G004; anmol): No [SELECTED] | ICAResults_25April2026!r26 (G008; kyle): Yes | ICAResults_25April2026!r13 (G005; prerana): Yes | ICAResults_25April2026!r3 (G003; anmol): No | RationaleSheet_April20_v1!r29 (G008; kyle): Yes | RationaleSheet_April20_v1!r3 (G004; anmol): Yes</x:v>
      </x:c>
      <x:c r="T39" s="4" t="str">
        <x:v>AnmolRationale_August12!r3[G004]; ICAResults_25April2026!r3[G003]; ICAResults_25April2026!r13[G005]; ICAResults_25April2026!r26[G008]; RationaleSheet_April20_v1!r3[G004]; RationaleSheet_April20_v1!r29[G008]</x:v>
      </x:c>
      <x:c r="U39" s="34" t="str">
        <x:v>Clear — no codebook example passage retained</x:v>
      </x:c>
      <x:c r="W39" s="425" t="str">
        <x:v>G087</x:v>
      </x:c>
      <x:c r="X39" s="431" t="str">
        <x:v>Hurricane Katrina</x:v>
      </x:c>
      <x:c r="Y39" s="431" t="str">
        <x:v>14:17</x:v>
      </x:c>
      <x:c r="Z39" s="431" t="str">
        <x:v>p 1</x:v>
      </x:c>
      <x:c r="AA39" s="394" t="str">
        <x:v>March 8, 2006 HURRICANE KATRINA</x:v>
      </x:c>
      <x:c r="AB39" s="431" t="str">
        <x:v>Non-paragraph artifact</x:v>
      </x:c>
      <x:c r="AC39" s="394" t="str">
        <x:v>Removed because the record is a report title/date line, not a paragraph.</x:v>
      </x:c>
      <x:c r="AD39" s="431" t="str"/>
      <x:c r="AE39" s="431" t="str">
        <x:v>No</x:v>
      </x:c>
      <x:c r="AF39" s="431" t="str">
        <x:v>kyle</x:v>
      </x:c>
      <x:c r="AG39" s="395" t="str">
        <x:v>ICAResults_25April2026!r54; RationaleSheet_April20_v1!r85</x:v>
      </x:c>
    </x:row>
    <x:row r="40" ht="68" customHeight="1">
      <x:c r="A40" s="47" t="str">
        <x:v>EPA-004</x:v>
      </x:c>
      <x:c r="B40" s="53" t="str">
        <x:v>1:9</x:v>
      </x:c>
      <x:c r="C40" s="53" t="str">
        <x:v>p 9</x:v>
      </x:c>
      <x:c r="D40" s="4"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E40" s="53" t="str">
        <x:v>EPA</x:v>
      </x:c>
      <x:c r="F40" s="4" t="str">
        <x:v>EPA</x:v>
      </x:c>
      <x:c r="G40" s="53" t="str">
        <x:v>No</x:v>
      </x:c>
      <x:c r="H40" s="59" t="n">
        <x:v>0</x:v>
      </x:c>
      <x:c r="I40" s="53" t="str">
        <x:v>prerana</x:v>
      </x:c>
      <x:c r="J40" s="4" t="str">
        <x:v>Depth: Low depth, Nature: Normative Nature, Pillar: Realignment (Technical), Stakeholder: EPA, Unlearning</x:v>
      </x:c>
      <x:c r="K40" s="4" t="str">
        <x:v>not unlearning</x:v>
      </x:c>
      <x:c r="L40" s="4" t="str">
        <x:v>ICAResults_25April2026!row 10 (Manual recency/adjudication rule)</x:v>
      </x:c>
      <x:c r="M40" s="4" t="str">
        <x:v>ICAResults_25April2026!row 10</x:v>
      </x:c>
      <x:c r="N40" s="53" t="str">
        <x:v>Yes</x:v>
      </x:c>
      <x:c r="O40" s="4" t="str">
        <x:v>Conflicting historical binary labels (No/Yes); final label follows ICAResults_25April2026!row 10. Same/equivalent passage has conflicting annotation numbers (1:7, 1:8, 1:9); selected 1:9. Latest rationale overrides stale code field (Yes in Codes vs No final). Manual latest-label rule applied: Manual recency/adjudication rule.</x:v>
      </x:c>
      <x:c r="P40" s="53" t="str">
        <x:v>Near/exact text variant</x:v>
      </x:c>
      <x:c r="Q40" s="4" t="str">
        <x:v>Consolidated equivalent text groups G024, G025; retained cleaner representative G025. Also consolidated repeated annotations across source sheets. University of Delaware duplicate/system annotation(s) ignored.</x:v>
      </x:c>
      <x:c r="R40" s="4" t="str"/>
      <x:c r="S40" s="4" t="str">
        <x:v>ICAResults_25April2026!r10 (G025; prerana): No [SELECTED] | ICAResults_25April2026!r9 (G025; prerana): Yes | ICAResults_25April2026!r8 (G024; prerana): Yes</x:v>
      </x:c>
      <x:c r="T40" s="4" t="str">
        <x:v>ICAResults_25April2026!r8[G024]; ICAResults_25April2026!r9[G025]; ICAResults_25April2026!r10[G025]</x:v>
      </x:c>
      <x:c r="U40" s="34" t="str">
        <x:v>Clear — no codebook example passage retained</x:v>
      </x:c>
    </x:row>
    <x:row r="41" ht="68" customHeight="1">
      <x:c r="A41" s="47" t="str">
        <x:v>EPA-005</x:v>
      </x:c>
      <x:c r="B41" s="53" t="str">
        <x:v>1:10</x:v>
      </x:c>
      <x:c r="C41" s="53" t="str">
        <x:v>p 9</x:v>
      </x:c>
      <x:c r="D41" s="4" t="str">
        <x:v>Coordination within EPA, as well as EPA’s coordination with State and local officials and the USACE, could have been better. In some instances, coordination problems resulted in duplicative work being completed by EPA and Louisiana officials.</x:v>
      </x:c>
      <x:c r="E41" s="53" t="str">
        <x:v>EPA</x:v>
      </x:c>
      <x:c r="F41" s="4" t="str">
        <x:v>EPA</x:v>
      </x:c>
      <x:c r="G41" s="53" t="str">
        <x:v>Yes</x:v>
      </x:c>
      <x:c r="H41" s="59" t="n">
        <x:v>1</x:v>
      </x:c>
      <x:c r="I41" s="53" t="str">
        <x:v>prerana</x:v>
      </x:c>
      <x:c r="J41" s="4" t="str">
        <x:v>Depth: Moderate depth, Nature: Normative Nature, Stakeholder: EPA, Stakeholder: EPA region 6, Stakeholder: USACE, Unlearning</x:v>
      </x:c>
      <x:c r="K41" s="4" t="str">
        <x:v>Coordination needs to be better.</x:v>
      </x:c>
      <x:c r="L41" s="4" t="str">
        <x:v>ICAResults_25April2026!row 11 (Latest available record by sheet chronology)</x:v>
      </x:c>
      <x:c r="M41" s="4" t="str">
        <x:v>ICAResults_25April2026!row 11</x:v>
      </x:c>
      <x:c r="N41" s="53" t="str">
        <x:v>No</x:v>
      </x:c>
      <x:c r="O41" s="4" t="str"/>
      <x:c r="P41" s="53" t="str">
        <x:v>Exact annotation duplicate</x:v>
      </x:c>
      <x:c r="Q41" s="4" t="str">
        <x:v>Consolidated exact duplicate annotations from multiple sheets into one passage row. University of Delaware duplicate/system annotation(s) ignored.</x:v>
      </x:c>
      <x:c r="R41" s="4" t="str"/>
      <x:c r="S41" s="4" t="str">
        <x:v>ICAResults_25April2026!r11 (G026; prerana): Yes [SELECTED]</x:v>
      </x:c>
      <x:c r="T41" s="4" t="str">
        <x:v>ICAResults_25April2026!r11[G026]</x:v>
      </x:c>
      <x:c r="U41" s="34" t="str">
        <x:v>Clear — no codebook example passage retained</x:v>
      </x:c>
    </x:row>
    <x:row r="42" ht="68" customHeight="1">
      <x:c r="A42" s="47" t="str">
        <x:v>EPA-006</x:v>
      </x:c>
      <x:c r="B42" s="53" t="str">
        <x:v>1:11</x:v>
      </x:c>
      <x:c r="C42" s="53" t="str">
        <x:v>p 9</x:v>
      </x:c>
      <x:c r="D42" s="4"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E42" s="53" t="str">
        <x:v>EPA</x:v>
      </x:c>
      <x:c r="F42" s="4" t="str">
        <x:v>EPA</x:v>
      </x:c>
      <x:c r="G42" s="53" t="str">
        <x:v>Yes</x:v>
      </x:c>
      <x:c r="H42" s="59" t="n">
        <x:v>1</x:v>
      </x:c>
      <x:c r="I42" s="53" t="str">
        <x:v>prerana</x:v>
      </x:c>
      <x:c r="J42" s="4" t="str">
        <x:v>Depth: Moderate depth, Nature: Technical Nature, Pillar: Realignment (Technical), Stakeholder: EPA, Unlearning</x:v>
      </x:c>
      <x:c r="K42" s="4" t="str">
        <x:v>Corrrecting flawed approach fro water trasnp[ort.</x:v>
      </x:c>
      <x:c r="L42" s="4" t="str">
        <x:v>ICAResults_25April2026!row 12 (Latest available record by sheet chronology)</x:v>
      </x:c>
      <x:c r="M42" s="4" t="str">
        <x:v>ICAResults_25April2026!row 12</x:v>
      </x:c>
      <x:c r="N42" s="53" t="str">
        <x:v>Yes</x:v>
      </x:c>
      <x:c r="O42" s="4" t="str">
        <x:v>Source text begins lowercase and may be cropped; verify the beginning against the PDF.</x:v>
      </x:c>
      <x:c r="P42" s="53" t="str">
        <x:v>Exact annotation duplicate</x:v>
      </x:c>
      <x:c r="Q42" s="4" t="str">
        <x:v>Consolidated exact duplicate annotations from multiple sheets into one passage row. University of Delaware duplicate/system annotation(s) ignored.</x:v>
      </x:c>
      <x:c r="R42" s="4" t="str"/>
      <x:c r="S42" s="4" t="str">
        <x:v>ICAResults_25April2026!r12 (G027; prerana): Yes [SELECTED]</x:v>
      </x:c>
      <x:c r="T42" s="4" t="str">
        <x:v>ICAResults_25April2026!r12[G027]</x:v>
      </x:c>
      <x:c r="U42" s="34" t="str">
        <x:v>Clear — no codebook example passage retained</x:v>
      </x:c>
    </x:row>
    <x:row r="43" ht="68" customHeight="1">
      <x:c r="A43" s="47" t="str">
        <x:v>EPA-007</x:v>
      </x:c>
      <x:c r="B43" s="53" t="str">
        <x:v>1:23</x:v>
      </x:c>
      <x:c r="C43" s="53" t="str">
        <x:v>p 9</x:v>
      </x:c>
      <x:c r="D43" s="4" t="str">
        <x:v>Louisiana officials experienced problems in querying data and in verifying the quality of data in EPA’s database used to collect floodwater results.</x:v>
      </x:c>
      <x:c r="E43" s="53" t="str">
        <x:v>EPA</x:v>
      </x:c>
      <x:c r="F43" s="4" t="str">
        <x:v>EPA</x:v>
      </x:c>
      <x:c r="G43" s="53" t="str">
        <x:v>No</x:v>
      </x:c>
      <x:c r="H43" s="59" t="n">
        <x:v>0</x:v>
      </x:c>
      <x:c r="I43" s="53" t="str">
        <x:v>kyle</x:v>
      </x:c>
      <x:c r="J43" s="4" t="str">
        <x:v>Unlearning</x:v>
      </x:c>
      <x:c r="K43" s="4" t="str">
        <x:v>Not unlearning.</x:v>
      </x:c>
      <x:c r="L43" s="4" t="str">
        <x:v>ICAResults_25April2026!row 24 (Manual recency/adjudication rule)</x:v>
      </x:c>
      <x:c r="M43" s="4" t="str">
        <x:v>ICAResults_25April2026!row 24</x:v>
      </x:c>
      <x:c r="N43" s="53" t="str">
        <x:v>Yes</x:v>
      </x:c>
      <x:c r="O43" s="4" t="str">
        <x:v>Conflicting historical binary labels (No/Yes); final label follows ICAResults_25April2026!row 24. Same/equivalent passage has conflicting annotation numbers (1:23, 1:25); selected 1:23. Latest rationale overrides stale code field (Yes in Codes vs No final). Manual latest-label rule applied: Manual recency/adjudication rule.</x:v>
      </x:c>
      <x:c r="P43" s="53" t="str">
        <x:v>Exact annotation duplicate</x:v>
      </x:c>
      <x:c r="Q43" s="4" t="str">
        <x:v>Consolidated exact duplicate annotations from multiple sheets into one passage row.</x:v>
      </x:c>
      <x:c r="R43" s="4" t="str"/>
      <x:c r="S43" s="4" t="str">
        <x:v>ICAResults_25April2026!r24 (G028; kyle): No [SELECTED] | RationaleSheet_April20_v1!r26 (G028; kyle): Yes</x:v>
      </x:c>
      <x:c r="T43" s="4" t="str">
        <x:v>ICAResults_25April2026!r24[G028]; RationaleSheet_April20_v1!r26[G028]</x:v>
      </x:c>
      <x:c r="U43" s="34" t="str">
        <x:v>Clear — no codebook example passage retained</x:v>
      </x:c>
    </x:row>
    <x:row r="44" ht="68" customHeight="1">
      <x:c r="A44" s="47" t="str">
        <x:v>EPA-008</x:v>
      </x:c>
      <x:c r="B44" s="53" t="str">
        <x:v>1:13</x:v>
      </x:c>
      <x:c r="C44" s="53" t="str">
        <x:v>p 10</x:v>
      </x:c>
      <x:c r="D44" s="4"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E44" s="53" t="str">
        <x:v>EPA</x:v>
      </x:c>
      <x:c r="F44" s="4" t="str">
        <x:v>EPA</x:v>
      </x:c>
      <x:c r="G44" s="53" t="str">
        <x:v>Yes</x:v>
      </x:c>
      <x:c r="H44" s="59" t="n">
        <x:v>1</x:v>
      </x:c>
      <x:c r="I44" s="53" t="str">
        <x:v>prerana</x:v>
      </x:c>
      <x:c r="J44" s="4" t="str">
        <x:v>Depth: Moderate depth, Nature: Technical Nature, Pillar: Realignment (Technical), Unlearning</x:v>
      </x:c>
      <x:c r="K44" s="4" t="str"/>
      <x:c r="L44" s="4" t="str">
        <x:v>ICAResults_25April2026!row 14 (Latest available record by sheet chronology)</x:v>
      </x:c>
      <x:c r="M44" s="4" t="str"/>
      <x:c r="N44" s="53" t="str">
        <x:v>Yes</x:v>
      </x:c>
      <x:c r="O44" s="4" t="str">
        <x:v>Selected latest record has no rationale. Source text begins mid-word ('y these...'); verify the beginning against the PDF.</x:v>
      </x:c>
      <x:c r="P44" s="53" t="str">
        <x:v>Exact annotation duplicate</x:v>
      </x:c>
      <x:c r="Q44" s="4" t="str">
        <x:v>Consolidated exact duplicate annotations from multiple sheets into one passage row. University of Delaware duplicate/system annotation(s) ignored.</x:v>
      </x:c>
      <x:c r="R44" s="4" t="str"/>
      <x:c r="S44" s="4" t="str">
        <x:v>ICAResults_25April2026!r14 (G006; prerana): Yes [SELECTED]</x:v>
      </x:c>
      <x:c r="T44" s="4" t="str">
        <x:v>ICAResults_25April2026!r14[G006]</x:v>
      </x:c>
      <x:c r="U44" s="34" t="str">
        <x:v>Clear — no codebook example passage retained</x:v>
      </x:c>
    </x:row>
    <x:row r="45" ht="68" customHeight="1">
      <x:c r="A45" s="47" t="str">
        <x:v>EPA-009</x:v>
      </x:c>
      <x:c r="B45" s="53" t="str">
        <x:v>1:26</x:v>
      </x:c>
      <x:c r="C45" s="53" t="str">
        <x:v>p 10</x:v>
      </x:c>
      <x:c r="D45" s="4" t="str">
        <x:v>With respect to improving coordination with USACE, Region 6 told us that it plans to conduct a series of interagency planning meetings to establish coordination protocols under a Memorandum of Understanding with USACE.</x:v>
      </x:c>
      <x:c r="E45" s="53" t="str">
        <x:v>EPA</x:v>
      </x:c>
      <x:c r="F45" s="4" t="str">
        <x:v>EPA</x:v>
      </x:c>
      <x:c r="G45" s="53" t="str">
        <x:v>No</x:v>
      </x:c>
      <x:c r="H45" s="59" t="n">
        <x:v>0</x:v>
      </x:c>
      <x:c r="I45" s="53" t="str">
        <x:v>kyle</x:v>
      </x:c>
      <x:c r="J45" s="4" t="str">
        <x:v>Unlearning</x:v>
      </x:c>
      <x:c r="K45" s="4" t="str">
        <x:v>Not unlearning</x:v>
      </x:c>
      <x:c r="L45" s="4" t="str">
        <x:v>ICAResults_25April2026!row 27 (Manual recency/adjudication rule)</x:v>
      </x:c>
      <x:c r="M45" s="4" t="str">
        <x:v>ICAResults_25April2026!row 27</x:v>
      </x:c>
      <x:c r="N45" s="53" t="str">
        <x:v>Yes</x:v>
      </x:c>
      <x:c r="O45" s="4" t="str">
        <x:v>Conflicting historical binary labels (No/Yes); final label follows ICAResults_25April2026!row 27. Same/equivalent passage has conflicting annotation numbers (1:22, 1:26); selected 1:26. Latest rationale overrides stale code field (Yes in Codes vs No final). Manual latest-label rule applied: Manual recency/adjudication rule.</x:v>
      </x:c>
      <x:c r="P45" s="53" t="str">
        <x:v>Exact annotation duplicate</x:v>
      </x:c>
      <x:c r="Q45" s="4" t="str">
        <x:v>Consolidated exact duplicate annotations from multiple sheets into one passage row.</x:v>
      </x:c>
      <x:c r="R45" s="4" t="str"/>
      <x:c r="S45" s="4" t="str">
        <x:v>ICAResults_25April2026!r27 (G007; kyle): No [SELECTED] | RationaleSheet_April20_v1!r23 (G007; kyle): Yes</x:v>
      </x:c>
      <x:c r="T45" s="4" t="str">
        <x:v>ICAResults_25April2026!r27[G007]; RationaleSheet_April20_v1!r23[G007]</x:v>
      </x:c>
      <x:c r="U45" s="34" t="str">
        <x:v>Clear — no codebook example passage retained</x:v>
      </x:c>
    </x:row>
    <x:row r="46" ht="68" customHeight="1">
      <x:c r="A46" s="47" t="str">
        <x:v>EPA-010</x:v>
      </x:c>
      <x:c r="B46" s="53" t="str">
        <x:v>1:3</x:v>
      </x:c>
      <x:c r="C46" s="53" t="str">
        <x:v>p 11</x:v>
      </x:c>
      <x:c r="D46" s="4"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E46" s="53" t="str">
        <x:v>EPA</x:v>
      </x:c>
      <x:c r="F46" s="4" t="str">
        <x:v>EPA</x:v>
      </x:c>
      <x:c r="G46" s="53" t="str">
        <x:v>No</x:v>
      </x:c>
      <x:c r="H46" s="59" t="n">
        <x:v>0</x:v>
      </x:c>
      <x:c r="I46" s="53" t="str">
        <x:v>anmol</x:v>
      </x:c>
      <x:c r="J46" s="4" t="str">
        <x:v>Depth: Low depth, Nature: Technical Nature, Pillar: Merging (Integrative), Stakeholder: EPA, Stakeholder: Stakeholders, Unlearning</x:v>
      </x:c>
      <x:c r="K46" s="4" t="str">
        <x:v>I wouldn't classify this as unlearning. It identifies coordination and dialogue as a problem, however doesnt call for discarding anything. It also doesnt make a case for any fundamental shift.</x:v>
      </x:c>
      <x:c r="L46" s="4" t="str">
        <x:v>AnmolRationale_August12!row 4 (Latest Anmol August 12 re-evaluation)</x:v>
      </x:c>
      <x:c r="M46" s="4" t="str">
        <x:v>AnmolRationale_August12!row 4</x:v>
      </x:c>
      <x:c r="N46" s="53" t="str">
        <x:v>Yes</x:v>
      </x:c>
      <x:c r="O46" s="4" t="str">
        <x:v>Conflicting historical binary labels (No/Yes); final label follows AnmolRationale_August12!row 4. Latest rationale overrides stale code field (Yes in Codes vs No final).</x:v>
      </x:c>
      <x:c r="P46" s="53" t="str">
        <x:v>Exact annotation duplicate</x:v>
      </x:c>
      <x:c r="Q46" s="4" t="str">
        <x:v>Consolidated exact duplicate annotations from multiple sheets into one passage row.</x:v>
      </x:c>
      <x:c r="R46" s="4" t="str"/>
      <x:c r="S46" s="4" t="str">
        <x:v>AnmolRationale_August12!r4 (G009; anmol): No [SELECTED] | ICAResults_25April2026!r4 (G009; anmol): Yes | RationaleSheet_April20_v1!r4 (G009; anmol): No</x:v>
      </x:c>
      <x:c r="T46" s="4" t="str">
        <x:v>AnmolRationale_August12!r4[G009]; ICAResults_25April2026!r4[G009]; RationaleSheet_April20_v1!r4[G009]</x:v>
      </x:c>
      <x:c r="U46" s="34" t="str">
        <x:v>Clear — no codebook example passage retained</x:v>
      </x:c>
    </x:row>
    <x:row r="47" ht="68" customHeight="1">
      <x:c r="A47" s="47" t="str">
        <x:v>EPA-011</x:v>
      </x:c>
      <x:c r="B47" s="53" t="str">
        <x:v>1:15</x:v>
      </x:c>
      <x:c r="C47" s="53" t="str">
        <x:v>p 11</x:v>
      </x:c>
      <x:c r="D47" s="4"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E47" s="53" t="str">
        <x:v>EPA</x:v>
      </x:c>
      <x:c r="F47" s="4" t="str">
        <x:v>EPA</x:v>
      </x:c>
      <x:c r="G47" s="53" t="str">
        <x:v>Yes</x:v>
      </x:c>
      <x:c r="H47" s="59" t="n">
        <x:v>1</x:v>
      </x:c>
      <x:c r="I47" s="53" t="str">
        <x:v>prerana</x:v>
      </x:c>
      <x:c r="J47" s="4" t="str">
        <x:v>Depth: Moderate depth, Nature: Normative Nature, Pillar: Merging (Integrative), Stakeholder: EPA, Stakeholder: USACE, Unlearning</x:v>
      </x:c>
      <x:c r="K47" s="4" t="str"/>
      <x:c r="L47" s="4" t="str">
        <x:v>ICAResults_25April2026!row 16 (Latest available record by sheet chronology)</x:v>
      </x:c>
      <x:c r="M47" s="4" t="str"/>
      <x:c r="N47" s="53" t="str">
        <x:v>Yes</x:v>
      </x:c>
      <x:c r="O47" s="4" t="str">
        <x:v>Selected latest record has no rationale.</x:v>
      </x:c>
      <x:c r="P47" s="53" t="str">
        <x:v>Exact annotation duplicate</x:v>
      </x:c>
      <x:c r="Q47" s="4" t="str">
        <x:v>Consolidated exact duplicate annotations from multiple sheets into one passage row. University of Delaware duplicate/system annotation(s) ignored.</x:v>
      </x:c>
      <x:c r="R47" s="4" t="str"/>
      <x:c r="S47" s="4" t="str">
        <x:v>ICAResults_25April2026!r16 (G011; prerana): Yes [SELECTED]</x:v>
      </x:c>
      <x:c r="T47" s="4" t="str">
        <x:v>ICAResults_25April2026!r16[G011]</x:v>
      </x:c>
      <x:c r="U47" s="34" t="str">
        <x:v>Clear — no codebook example passage retained</x:v>
      </x:c>
    </x:row>
    <x:row r="48" ht="68" customHeight="1">
      <x:c r="A48" s="47" t="str">
        <x:v>EPA-012</x:v>
      </x:c>
      <x:c r="B48" s="53" t="str">
        <x:v>1:16</x:v>
      </x:c>
      <x:c r="C48" s="53" t="str">
        <x:v>p 11</x:v>
      </x:c>
      <x:c r="D48" s="4"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E48" s="53" t="str">
        <x:v>EPA</x:v>
      </x:c>
      <x:c r="F48" s="4" t="str">
        <x:v>EPA</x:v>
      </x:c>
      <x:c r="G48" s="53" t="str">
        <x:v>Yes</x:v>
      </x:c>
      <x:c r="H48" s="59" t="n">
        <x:v>1</x:v>
      </x:c>
      <x:c r="I48" s="53" t="str">
        <x:v>prerana</x:v>
      </x:c>
      <x:c r="J48" s="4" t="str">
        <x:v>Depth: Moderate depth, Nature: Normative Nature, Pillar: Realignment (Technical), Stakeholder: EPA region 6, Unlearning</x:v>
      </x:c>
      <x:c r="K48" s="4" t="str"/>
      <x:c r="L48" s="4" t="str">
        <x:v>ICAResults_25April2026!row 17 (Latest available record by sheet chronology)</x:v>
      </x:c>
      <x:c r="M48" s="4" t="str"/>
      <x:c r="N48" s="53" t="str">
        <x:v>Yes</x:v>
      </x:c>
      <x:c r="O48" s="4" t="str">
        <x:v>Multiple labelers (prerana, kyle); parent-passage labeler rule yields prerana. Selected latest record has no rationale.</x:v>
      </x:c>
      <x:c r="P48" s="53" t="str">
        <x:v>Parent-child</x:v>
      </x:c>
      <x:c r="Q48" s="4" t="str">
        <x:v>Kept parent span G012; removed child group(s) G013. Parent passage labeler retained. Also consolidated repeated annotations across source sheets. University of Delaware duplicate/system annotation(s) ignored.</x:v>
      </x:c>
      <x:c r="R48" s="4" t="str"/>
      <x:c r="S48" s="4" t="str">
        <x:v>ICAResults_25April2026!r25 (G013; kyle): Yes | ICAResults_25April2026!r17 (G012; prerana): Yes [SELECTED] | RationaleSheet_April20_v1!r25 (G013; kyle): Yes</x:v>
      </x:c>
      <x:c r="T48" s="4" t="str">
        <x:v>ICAResults_25April2026!r17[G012]; ICAResults_25April2026!r25[G013]; RationaleSheet_April20_v1!r25[G013]</x:v>
      </x:c>
      <x:c r="U48" s="34" t="str">
        <x:v>Clear — no codebook example passage retained</x:v>
      </x:c>
    </x:row>
    <x:row r="49" ht="68" customHeight="1">
      <x:c r="A49" s="47" t="str">
        <x:v>EPA-013</x:v>
      </x:c>
      <x:c r="B49" s="53" t="str">
        <x:v>1:20</x:v>
      </x:c>
      <x:c r="C49" s="53" t="str">
        <x:v>p 11</x:v>
      </x:c>
      <x:c r="D49" s="4" t="str">
        <x:v>ESF and support annex should develop a detailed operations plan on how they will become operational and coordinate with other annexes and ESF’s during a major incident</x:v>
      </x:c>
      <x:c r="E49" s="53" t="str">
        <x:v>EPA</x:v>
      </x:c>
      <x:c r="F49" s="4" t="str">
        <x:v>EPA</x:v>
      </x:c>
      <x:c r="G49" s="53" t="str">
        <x:v>No</x:v>
      </x:c>
      <x:c r="H49" s="59" t="n">
        <x:v>0</x:v>
      </x:c>
      <x:c r="I49" s="53" t="str">
        <x:v>anmol</x:v>
      </x:c>
      <x:c r="J49" s="4" t="str">
        <x:v>Pillar: Merging (Integrative), Stakeholder: USACE, Unlearning</x:v>
      </x:c>
      <x:c r="K49" s="4" t="str">
        <x:v>This is not unlearning. It doesn't identify a problem area or show a departure from past practice. It is an additive change.</x:v>
      </x:c>
      <x:c r="L49" s="4" t="str">
        <x:v>RationaleSheet_April20_v1!row 21 (Manual recency/adjudication rule)</x:v>
      </x:c>
      <x:c r="M49" s="4" t="str">
        <x:v>RationaleSheet_April20_v1!row 21</x:v>
      </x:c>
      <x:c r="N49" s="53" t="str">
        <x:v>Yes</x:v>
      </x:c>
      <x:c r="O49" s="4" t="str">
        <x:v>Conflicting historical binary labels (No/Yes); final label follows RationaleSheet_April20_v1!row 21. Multiple labelers (anmol, prerana); exact-duplicate priority yields anmol. Same/equivalent passage has conflicting annotation numbers (1:14, 1:20); selected 1:20. Latest rationale overrides stale code field (Yes in Codes vs No final). Manual latest-label rule applied: Manual recency/adjudication rule.</x:v>
      </x:c>
      <x:c r="P49" s="53" t="str">
        <x:v>Exact annotation duplicate</x:v>
      </x:c>
      <x:c r="Q49" s="4" t="str">
        <x:v>Consolidated exact duplicate annotations from multiple sheets into one passage row. University of Delaware duplicate/system annotation(s) ignored.</x:v>
      </x:c>
      <x:c r="R49" s="4" t="str"/>
      <x:c r="S49" s="4" t="str">
        <x:v>ICAResults_25April2026!r15 (G010; prerana): Yes | RationaleSheet_April20_v1!r21 (G010; anmol): No [SELECTED]</x:v>
      </x:c>
      <x:c r="T49" s="4" t="str">
        <x:v>ICAResults_25April2026!r15[G010]; RationaleSheet_April20_v1!r21[G010]</x:v>
      </x:c>
      <x:c r="U49" s="34" t="str">
        <x:v>Clear — no codebook example passage retained</x:v>
      </x:c>
    </x:row>
    <x:row r="50" ht="68" customHeight="1">
      <x:c r="A50" s="47" t="str">
        <x:v>EPA-014</x:v>
      </x:c>
      <x:c r="B50" s="53" t="str">
        <x:v>1:4</x:v>
      </x:c>
      <x:c r="C50" s="53" t="str">
        <x:v>p 12</x:v>
      </x:c>
      <x:c r="D50" s="4"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E50" s="53" t="str">
        <x:v>EPA</x:v>
      </x:c>
      <x:c r="F50" s="4" t="str">
        <x:v>EPA</x:v>
      </x:c>
      <x:c r="G50" s="53" t="str">
        <x:v>Yes</x:v>
      </x:c>
      <x:c r="H50" s="59" t="n">
        <x:v>1</x:v>
      </x:c>
      <x:c r="I50" s="53" t="str">
        <x:v>anmol</x:v>
      </x:c>
      <x:c r="J50" s="4" t="str">
        <x:v>Depth: Moderate depth, Nature: Technical Nature, Pillar: Merging (Integrative), Stakeholder: EPA, Unlearning</x:v>
      </x:c>
      <x:c r="K50" s="4" t="str">
        <x:v>This is unlearning. It identifies communication and coordination as problems. it goes on to share specific solutions which seem to present fundamental change.</x:v>
      </x:c>
      <x:c r="L50" s="4" t="str">
        <x:v>AnmolRationale_August12!row 5 (Latest Anmol August 12 re-evaluation)</x:v>
      </x:c>
      <x:c r="M50" s="4" t="str">
        <x:v>AnmolRationale_August12!row 5</x:v>
      </x:c>
      <x:c r="N50" s="53" t="str">
        <x:v>Yes</x:v>
      </x:c>
      <x:c r="O50" s="4" t="str">
        <x:v>Source span contains multiple paragraphs and a bullet list; verify paragraph-level unit.</x:v>
      </x:c>
      <x:c r="P50" s="53" t="str">
        <x:v>Exact annotation duplicate</x:v>
      </x:c>
      <x:c r="Q50" s="4" t="str">
        <x:v>Consolidated exact duplicate annotations from multiple sheets into one passage row.</x:v>
      </x:c>
      <x:c r="R50" s="4" t="str"/>
      <x:c r="S50" s="4" t="str">
        <x:v>AnmolRationale_August12!r5 (G014; anmol): Yes [SELECTED] | ICAResults_25April2026!r5 (G014; anmol): Yes | RationaleSheet_April20_v1!r5 (G014; anmol): Yes</x:v>
      </x:c>
      <x:c r="T50" s="4" t="str">
        <x:v>AnmolRationale_August12!r5[G014]; ICAResults_25April2026!r5[G014]; RationaleSheet_April20_v1!r5[G014]</x:v>
      </x:c>
      <x:c r="U50" s="34" t="str">
        <x:v>Clear — no codebook example passage retained</x:v>
      </x:c>
    </x:row>
    <x:row r="51" ht="68" customHeight="1">
      <x:c r="A51" s="47" t="str">
        <x:v>EPA-015</x:v>
      </x:c>
      <x:c r="B51" s="53" t="str">
        <x:v>1:17</x:v>
      </x:c>
      <x:c r="C51" s="53" t="str">
        <x:v>p 12</x:v>
      </x:c>
      <x:c r="D51" s="4" t="str">
        <x:v>Region 6 officials said they have established a senior liaison position between Region 6 and Louisiana, defined roles and responsibilities between EPA and the States, and developed a DVD that addresses emergency response activities.</x:v>
      </x:c>
      <x:c r="E51" s="53" t="str">
        <x:v>EPA</x:v>
      </x:c>
      <x:c r="F51" s="4" t="str">
        <x:v>EPA</x:v>
      </x:c>
      <x:c r="G51" s="53" t="str">
        <x:v>Yes</x:v>
      </x:c>
      <x:c r="H51" s="59" t="n">
        <x:v>1</x:v>
      </x:c>
      <x:c r="I51" s="53" t="str">
        <x:v>prerana</x:v>
      </x:c>
      <x:c r="J51" s="4" t="str">
        <x:v>Nature: Normative Nature, Pillar: Merging (Integrative), Pillar: Realignment (Technical), Stakeholder: EPA region 6, Stakeholder: Louisiana, Unlearning</x:v>
      </x:c>
      <x:c r="K51" s="4" t="str"/>
      <x:c r="L51" s="4" t="str">
        <x:v>ICAResults_25April2026!row 18 (Latest available record by sheet chronology)</x:v>
      </x:c>
      <x:c r="M51" s="4" t="str"/>
      <x:c r="N51" s="53" t="str">
        <x:v>Yes</x:v>
      </x:c>
      <x:c r="O51" s="4" t="str">
        <x:v>Selected latest record has no rationale.</x:v>
      </x:c>
      <x:c r="P51" s="53" t="str">
        <x:v>Exact annotation duplicate</x:v>
      </x:c>
      <x:c r="Q51" s="4" t="str">
        <x:v>Consolidated exact duplicate annotations from multiple sheets into one passage row. University of Delaware duplicate/system annotation(s) ignored.</x:v>
      </x:c>
      <x:c r="R51" s="4" t="str"/>
      <x:c r="S51" s="4" t="str">
        <x:v>ICAResults_25April2026!r18 (G015; prerana): Yes [SELECTED]</x:v>
      </x:c>
      <x:c r="T51" s="4" t="str">
        <x:v>ICAResults_25April2026!r18[G015]</x:v>
      </x:c>
      <x:c r="U51" s="34" t="str">
        <x:v>Clear — no codebook example passage retained</x:v>
      </x:c>
    </x:row>
    <x:row r="52" ht="68" customHeight="1">
      <x:c r="A52" s="47" t="str">
        <x:v>EPA-016</x:v>
      </x:c>
      <x:c r="B52" s="53" t="str">
        <x:v>1:5</x:v>
      </x:c>
      <x:c r="C52" s="53" t="str">
        <x:v>pp 13-14</x:v>
      </x:c>
      <x:c r="D52" s="4"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E52" s="53" t="str">
        <x:v>EPA</x:v>
      </x:c>
      <x:c r="F52" s="4" t="str">
        <x:v>EPA</x:v>
      </x:c>
      <x:c r="G52" s="53" t="str">
        <x:v>Yes</x:v>
      </x:c>
      <x:c r="H52" s="59" t="n">
        <x:v>1</x:v>
      </x:c>
      <x:c r="I52" s="53" t="str">
        <x:v>anmol</x:v>
      </x:c>
      <x:c r="J52" s="4" t="str">
        <x:v>Depth: Moderate depth, Nature: Technical Nature, Pillar: Realignment (Technical), Stakeholder: EPA, Stakeholder: Stakeholders, Unlearning</x:v>
      </x:c>
      <x:c r="K52" s="4" t="str">
        <x:v>This is unlearning. They are specifically using keyword reevaluation, which speaks to departure from past practices. They identify specific problems regarding communication, equipment and data</x:v>
      </x:c>
      <x:c r="L52" s="4" t="str">
        <x:v>AnmolRationale_August12!row 6 (Latest Anmol August 12 re-evaluation)</x:v>
      </x:c>
      <x:c r="M52" s="4" t="str">
        <x:v>AnmolRationale_August12!row 6</x:v>
      </x:c>
      <x:c r="N52" s="53" t="str">
        <x:v>No</x:v>
      </x:c>
      <x:c r="O52" s="4" t="str"/>
      <x:c r="P52" s="53" t="str">
        <x:v>Near/exact text variant</x:v>
      </x:c>
      <x:c r="Q52" s="4" t="str">
        <x:v>Consolidated equivalent text groups G001, G002; retained cleaner representative G001. Also consolidated repeated annotations across source sheets.</x:v>
      </x:c>
      <x:c r="R52" s="4" t="str">
        <x:v>Removed embedded SCRIBE footnote</x:v>
      </x:c>
      <x:c r="S52" s="4" t="str">
        <x:v>AnmolRationale_August12!r6 (G002; anmol): Yes [SELECTED] | ICAResults_25April2026!r6 (G001; anmol): Yes | RationaleSheet_April20_v1!r6 (G002; anmol): Yes</x:v>
      </x:c>
      <x:c r="T52" s="4" t="str">
        <x:v>AnmolRationale_August12!r6[G002]; ICAResults_25April2026!r6[G001]; RationaleSheet_April20_v1!r6[G002]</x:v>
      </x:c>
      <x:c r="U52" s="34" t="str">
        <x:v>Clear — no codebook example passage retained</x:v>
      </x:c>
    </x:row>
    <x:row r="53" ht="68" customHeight="1">
      <x:c r="A53" s="47" t="str">
        <x:v>EPA-017</x:v>
      </x:c>
      <x:c r="B53" s="53" t="str">
        <x:v>1:18</x:v>
      </x:c>
      <x:c r="C53" s="53" t="str">
        <x:v>p 13</x:v>
      </x:c>
      <x:c r="D53" s="4"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E53" s="53" t="str">
        <x:v>EPA</x:v>
      </x:c>
      <x:c r="F53" s="4" t="str">
        <x:v>EPA</x:v>
      </x:c>
      <x:c r="G53" s="53" t="str">
        <x:v>Yes</x:v>
      </x:c>
      <x:c r="H53" s="59" t="n">
        <x:v>1</x:v>
      </x:c>
      <x:c r="I53" s="53" t="str">
        <x:v>prerana</x:v>
      </x:c>
      <x:c r="J53" s="4" t="str">
        <x:v>Depth: Moderate depth, Nature: Technical Nature, Pillar: Realignment (Technical), Stakeholder: EPA region 6, Stakeholder: Louisiana, Unlearning</x:v>
      </x:c>
      <x:c r="K53" s="4" t="str"/>
      <x:c r="L53" s="4" t="str">
        <x:v>ICAResults_25April2026!row 19 (Latest available record by sheet chronology)</x:v>
      </x:c>
      <x:c r="M53" s="4" t="str"/>
      <x:c r="N53" s="53" t="str">
        <x:v>Yes</x:v>
      </x:c>
      <x:c r="O53" s="4" t="str">
        <x:v>Multiple labelers (prerana, kyle); parent-passage labeler rule yields prerana. Selected latest record has no rationale.</x:v>
      </x:c>
      <x:c r="P53" s="53" t="str">
        <x:v>Parent-child</x:v>
      </x:c>
      <x:c r="Q53" s="4" t="str">
        <x:v>Kept parent span G016; removed child group(s) G017. Parent passage labeler retained. Also consolidated repeated annotations across source sheets. University of Delaware duplicate/system annotation(s) ignored.</x:v>
      </x:c>
      <x:c r="R53" s="4" t="str"/>
      <x:c r="S53" s="4" t="str">
        <x:v>ICAResults_25April2026!r22 (G017; kyle): Yes | ICAResults_25April2026!r19 (G016; prerana): Yes [SELECTED] | RationaleSheet_April20_v1!r22 (G017; kyle): Yes</x:v>
      </x:c>
      <x:c r="T53" s="4" t="str">
        <x:v>ICAResults_25April2026!r19[G016]; ICAResults_25April2026!r22[G017]; RationaleSheet_April20_v1!r22[G017]</x:v>
      </x:c>
      <x:c r="U53" s="34" t="str">
        <x:v>Clear — no codebook example passage retained</x:v>
      </x:c>
    </x:row>
    <x:row r="54" ht="68" customHeight="1">
      <x:c r="A54" s="47" t="str">
        <x:v>EPA-018</x:v>
      </x:c>
      <x:c r="B54" s="53" t="str">
        <x:v>1:20</x:v>
      </x:c>
      <x:c r="C54" s="53" t="str">
        <x:v>p 18</x:v>
      </x:c>
      <x:c r="D54" s="4"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E54" s="53" t="str">
        <x:v>EPA</x:v>
      </x:c>
      <x:c r="F54" s="4" t="str">
        <x:v>EPA</x:v>
      </x:c>
      <x:c r="G54" s="53" t="str">
        <x:v>Yes</x:v>
      </x:c>
      <x:c r="H54" s="59" t="n">
        <x:v>1</x:v>
      </x:c>
      <x:c r="I54" s="53" t="str">
        <x:v>kyle</x:v>
      </x:c>
      <x:c r="J54" s="4" t="str">
        <x:v>Unlearning</x:v>
      </x:c>
      <x:c r="K54" s="4" t="str"/>
      <x:c r="L54" s="4" t="str">
        <x:v>ICAResults_25April2026!row 21 (Latest available record by sheet chronology)</x:v>
      </x:c>
      <x:c r="M54" s="4" t="str"/>
      <x:c r="N54" s="53" t="str">
        <x:v>Yes</x:v>
      </x:c>
      <x:c r="O54" s="4" t="str">
        <x:v>Same/equivalent passage has conflicting annotation numbers (1:20, 1:27); selected 1:20. Selected latest record has no rationale.</x:v>
      </x:c>
      <x:c r="P54" s="53" t="str">
        <x:v>Exact annotation duplicate</x:v>
      </x:c>
      <x:c r="Q54" s="4" t="str">
        <x:v>Consolidated exact duplicate annotations from multiple sheets into one passage row.</x:v>
      </x:c>
      <x:c r="R54" s="4" t="str"/>
      <x:c r="S54" s="4" t="str">
        <x:v>ICAResults_25April2026!r21 (G018; kyle): Yes [SELECTED] | RationaleSheet_April20_v1!r28 (G018; kyle): Yes</x:v>
      </x:c>
      <x:c r="T54" s="4" t="str">
        <x:v>ICAResults_25April2026!r21[G018]; RationaleSheet_April20_v1!r28[G018]</x:v>
      </x:c>
      <x:c r="U54" s="34" t="str">
        <x:v>Clear — no codebook example passage retained</x:v>
      </x:c>
    </x:row>
    <x:row r="55" ht="68" customHeight="1">
      <x:c r="A55" s="47" t="str">
        <x:v>EPA-019</x:v>
      </x:c>
      <x:c r="B55" s="53" t="str">
        <x:v>1:22</x:v>
      </x:c>
      <x:c r="C55" s="53" t="str">
        <x:v>p 20</x:v>
      </x:c>
      <x:c r="D55" s="4"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E55" s="53" t="str">
        <x:v>EPA</x:v>
      </x:c>
      <x:c r="F55" s="4" t="str">
        <x:v>EPA</x:v>
      </x:c>
      <x:c r="G55" s="53" t="str">
        <x:v>Yes</x:v>
      </x:c>
      <x:c r="H55" s="59" t="n">
        <x:v>1</x:v>
      </x:c>
      <x:c r="I55" s="53" t="str">
        <x:v>kyle</x:v>
      </x:c>
      <x:c r="J55" s="4" t="str">
        <x:v>Unlearning</x:v>
      </x:c>
      <x:c r="K55" s="4" t="str"/>
      <x:c r="L55" s="4" t="str">
        <x:v>ICAResults_25April2026!row 23 (Latest available record by sheet chronology)</x:v>
      </x:c>
      <x:c r="M55" s="4" t="str"/>
      <x:c r="N55" s="53" t="str">
        <x:v>Yes</x:v>
      </x:c>
      <x:c r="O55" s="4" t="str">
        <x:v>Same/equivalent passage has conflicting annotation numbers (1:22, 1:23); selected 1:22. Selected latest record has no rationale.</x:v>
      </x:c>
      <x:c r="P55" s="53" t="str">
        <x:v>Exact annotation duplicate</x:v>
      </x:c>
      <x:c r="Q55" s="4" t="str">
        <x:v>Consolidated exact duplicate annotations from multiple sheets into one passage row.</x:v>
      </x:c>
      <x:c r="R55" s="4" t="str"/>
      <x:c r="S55" s="4" t="str">
        <x:v>ICAResults_25April2026!r23 (G019; kyle): Yes [SELECTED] | RationaleSheet_April20_v1!r24 (G019; kyle): Yes</x:v>
      </x:c>
      <x:c r="T55" s="4" t="str">
        <x:v>ICAResults_25April2026!r23[G019]; RationaleSheet_April20_v1!r24[G019]</x:v>
      </x:c>
      <x:c r="U55" s="34" t="str">
        <x:v>Clear — no codebook example passage retained</x:v>
      </x:c>
    </x:row>
    <x:row r="56" ht="68" customHeight="1">
      <x:c r="A56" s="47" t="str">
        <x:v>EPA-020</x:v>
      </x:c>
      <x:c r="B56" s="53" t="str">
        <x:v>1:19</x:v>
      </x:c>
      <x:c r="C56" s="53" t="str">
        <x:v>p 27</x:v>
      </x:c>
      <x:c r="D56" s="4"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E56" s="53" t="str">
        <x:v>EPA</x:v>
      </x:c>
      <x:c r="F56" s="4" t="str">
        <x:v>EPA</x:v>
      </x:c>
      <x:c r="G56" s="53" t="str">
        <x:v>Yes</x:v>
      </x:c>
      <x:c r="H56" s="59" t="n">
        <x:v>1</x:v>
      </x:c>
      <x:c r="I56" s="53" t="str">
        <x:v>prerana</x:v>
      </x:c>
      <x:c r="J56" s="4" t="str">
        <x:v>Depth: Moderate depth, Nature: Technical Nature, Pillar: Merging (Integrative), Pillar: Realignment (Technical), Stakeholder: EPA, Stakeholder: ESF-3 agencies, Stakeholder: USACE, Unlearning</x:v>
      </x:c>
      <x:c r="K56" s="4" t="str"/>
      <x:c r="L56" s="4" t="str">
        <x:v>ICAResults_25April2026!row 20 (Latest available record by sheet chronology)</x:v>
      </x:c>
      <x:c r="M56" s="4" t="str"/>
      <x:c r="N56" s="53" t="str">
        <x:v>Yes</x:v>
      </x:c>
      <x:c r="O56" s="4" t="str">
        <x:v>Multiple labelers (prerana, kyle); parent-passage labeler rule yields prerana. Selected latest record has no rationale.</x:v>
      </x:c>
      <x:c r="P56" s="53" t="str">
        <x:v>Parent-child</x:v>
      </x:c>
      <x:c r="Q56" s="4" t="str">
        <x:v>Kept parent span G020; removed child group(s) G021. Parent passage labeler retained. Also consolidated repeated annotations across source sheets. University of Delaware duplicate/system annotation(s) ignored.</x:v>
      </x:c>
      <x:c r="R56" s="4" t="str"/>
      <x:c r="S56" s="4" t="str">
        <x:v>ICAResults_25April2026!r28 (G021; kyle): Yes | ICAResults_25April2026!r20 (G020; prerana): Yes [SELECTED] | RationaleSheet_April20_v1!r27 (G021; kyle): Yes</x:v>
      </x:c>
      <x:c r="T56" s="4" t="str">
        <x:v>ICAResults_25April2026!r20[G020]; ICAResults_25April2026!r28[G021]; RationaleSheet_April20_v1!r27[G021]</x:v>
      </x:c>
      <x:c r="U56" s="34" t="str">
        <x:v>Clear — no codebook example passage retained</x:v>
      </x:c>
    </x:row>
    <x:row r="57" ht="68" customHeight="1">
      <x:c r="A57" s="47" t="str">
        <x:v>HK-001</x:v>
      </x:c>
      <x:c r="B57" s="53" t="str">
        <x:v>14:5</x:v>
      </x:c>
      <x:c r="C57" s="53" t="str">
        <x:v>pp 14-15</x:v>
      </x:c>
      <x:c r="D57" s="4"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E57" s="53" t="str">
        <x:v>Hurricane Katrina</x:v>
      </x:c>
      <x:c r="F57" s="4" t="str">
        <x:v>gao-06-442t.pdf</x:v>
      </x:c>
      <x:c r="G57" s="53" t="str">
        <x:v>Yes</x:v>
      </x:c>
      <x:c r="H57" s="59" t="n">
        <x:v>1</x:v>
      </x:c>
      <x:c r="I57" s="53" t="str">
        <x:v>anmol</x:v>
      </x:c>
      <x:c r="J57" s="4" t="str">
        <x:v>Depth: Moderate depth, Nature: Normative Nature, Pillar: Reconsidering (Epistemic), Stakeholder: Miscelleanous, Unlearning</x:v>
      </x:c>
      <x:c r="K57" s="4" t="str">
        <x:v>unlearning as it discards teh assumption of the traditional layered approach for evolving incidents.</x:v>
      </x:c>
      <x:c r="L57" s="4" t="str">
        <x:v>AnmolRationale_August12!row 16 (Latest Anmol August 12 re-evaluation)</x:v>
      </x:c>
      <x:c r="M57" s="4" t="str">
        <x:v>AnmolRationale_August12!row 16</x:v>
      </x:c>
      <x:c r="N57" s="53" t="str">
        <x:v>Yes</x:v>
      </x:c>
      <x:c r="O57" s="4" t="str">
        <x:v>Multiple labelers (anmol, kyle); exact-duplicate priority yields anmol.</x:v>
      </x:c>
      <x:c r="P57" s="53" t="str">
        <x:v>Exact annotation duplicate</x:v>
      </x:c>
      <x:c r="Q57" s="4" t="str">
        <x:v>Consolidated exact duplicate annotations from multiple sheets into one passage row.</x:v>
      </x:c>
      <x:c r="R57" s="4" t="str">
        <x:v>Removed embedded PDF page header/footer</x:v>
      </x:c>
      <x:c r="S57" s="4" t="str">
        <x:v>AnmolRationale_August12!r16 (G084; anmol): Yes [SELECTED] | ICAResults_25April2026!r42 (G084; kyle): Yes | RationaleSheet_April20_v1!r73 (G084; kyle): Yes | GPT Test!r5 (G084; anmol): Yes</x:v>
      </x:c>
      <x:c r="T57" s="4" t="str">
        <x:v>AnmolRationale_August12!r16[G084]; GPT Test!r5[G084]; ICAResults_25April2026!r42[G084]; RationaleSheet_April20_v1!r73[G084]</x:v>
      </x:c>
      <x:c r="U57" s="34" t="str">
        <x:v>Clear — no codebook example passage retained</x:v>
      </x:c>
    </x:row>
    <x:row r="58" ht="68" customHeight="1">
      <x:c r="A58" s="47" t="str">
        <x:v>HK-002</x:v>
      </x:c>
      <x:c r="B58" s="53" t="str">
        <x:v>14:6</x:v>
      </x:c>
      <x:c r="C58" s="53" t="str">
        <x:v>p 15</x:v>
      </x:c>
      <x:c r="D58" s="4"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E58" s="53" t="str">
        <x:v>Hurricane Katrina</x:v>
      </x:c>
      <x:c r="F58" s="4" t="str">
        <x:v>gao-06-442t.pdf</x:v>
      </x:c>
      <x:c r="G58" s="53" t="str">
        <x:v>No</x:v>
      </x:c>
      <x:c r="H58" s="59" t="n">
        <x:v>0</x:v>
      </x:c>
      <x:c r="I58" s="53" t="str">
        <x:v>anmol</x:v>
      </x:c>
      <x:c r="J58" s="4" t="str">
        <x:v>Depth: Moderate depth, Nature: Normative Nature, Pillar: Reconsidering (Epistemic), Stakeholder: Congress, Unlearning</x:v>
      </x:c>
      <x:c r="K58" s="4" t="str">
        <x:v>Not unlearning. It doesnt identify a specific issue and the change it suggest in atuhority doesnt sound like amajor departure from teh past norms.</x:v>
      </x:c>
      <x:c r="L58" s="4" t="str">
        <x:v>AnmolRationale_August12!row 17 (Latest Anmol August 12 re-evaluation)</x:v>
      </x:c>
      <x:c r="M58" s="4" t="str">
        <x:v>AnmolRationale_August12!row 17</x:v>
      </x:c>
      <x:c r="N58" s="53" t="str">
        <x:v>Yes</x:v>
      </x:c>
      <x:c r="O58" s="4" t="str">
        <x:v>Conflicting historical binary labels (No/Yes); final label follows AnmolRationale_August12!row 17. Multiple labelers (anmol, kyle); exact-duplicate priority yields anmol. Latest rationale overrides stale code field (Yes in Codes vs No final).</x:v>
      </x:c>
      <x:c r="P58" s="53" t="str">
        <x:v>Exact annotation duplicate</x:v>
      </x:c>
      <x:c r="Q58" s="4" t="str">
        <x:v>Consolidated exact duplicate annotations from multiple sheets into one passage row.</x:v>
      </x:c>
      <x:c r="R58" s="4" t="str"/>
      <x:c r="S58" s="4" t="str">
        <x:v>AnmolRationale_August12!r17 (G088; anmol): No [SELECTED] | ICAResults_25April2026!r43 (G088; kyle): Yes | RationaleSheet_April20_v1!r74 (G088; kyle): Yes | GPT Test!r6 (G088; anmol): Yes</x:v>
      </x:c>
      <x:c r="T58" s="4" t="str">
        <x:v>AnmolRationale_August12!r17[G088]; GPT Test!r6[G088]; ICAResults_25April2026!r43[G088]; RationaleSheet_April20_v1!r74[G088]</x:v>
      </x:c>
      <x:c r="U58" s="34" t="str">
        <x:v>Clear — no codebook example passage retained</x:v>
      </x:c>
    </x:row>
    <x:row r="59" ht="68" customHeight="1">
      <x:c r="A59" s="47" t="str">
        <x:v>HK-003</x:v>
      </x:c>
      <x:c r="B59" s="53" t="str">
        <x:v>14:7</x:v>
      </x:c>
      <x:c r="C59" s="53" t="str">
        <x:v>p 18</x:v>
      </x:c>
      <x:c r="D59" s="4"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E59" s="53" t="str">
        <x:v>Hurricane Katrina</x:v>
      </x:c>
      <x:c r="F59" s="4" t="str">
        <x:v>gao-06-442t.pdf</x:v>
      </x:c>
      <x:c r="G59" s="53" t="str">
        <x:v>Yes</x:v>
      </x:c>
      <x:c r="H59" s="59" t="n">
        <x:v>1</x:v>
      </x:c>
      <x:c r="I59" s="53" t="str">
        <x:v>anmol</x:v>
      </x:c>
      <x:c r="J59" s="4" t="str">
        <x:v>Depth: High depth, Nature: Normative Nature, Pillar: Discarding (Normative), Pillar: Reconsidering (Epistemic), Stakeholder: Miscelleanous, Unlearning</x:v>
      </x:c>
      <x:c r="K59" s="4" t="str">
        <x:v>Unlearning as it specifically talks about discarding rules and regulations and SOPs that come in the way of flexibility and vital supplies.</x:v>
      </x:c>
      <x:c r="L59" s="4" t="str">
        <x:v>AnmolRationale_August12!row 18 (Latest Anmol August 12 re-evaluation)</x:v>
      </x:c>
      <x:c r="M59" s="4" t="str">
        <x:v>AnmolRationale_August12!row 18</x:v>
      </x:c>
      <x:c r="N59" s="53" t="str">
        <x:v>Yes</x:v>
      </x:c>
      <x:c r="O59" s="4" t="str">
        <x:v>Multiple labelers (anmol, kyle); exact-duplicate priority yields anmol.</x:v>
      </x:c>
      <x:c r="P59" s="53" t="str">
        <x:v>Exact annotation duplicate</x:v>
      </x:c>
      <x:c r="Q59" s="4" t="str">
        <x:v>Consolidated exact duplicate annotations from multiple sheets into one passage row.</x:v>
      </x:c>
      <x:c r="R59" s="4" t="str"/>
      <x:c r="S59" s="4" t="str">
        <x:v>AnmolRationale_August12!r18 (G089; anmol): Yes [SELECTED] | ICAResults_25April2026!r44 (G089; kyle): Yes | RationaleSheet_April20_v1!r75 (G089; kyle): Yes | GPT Test!r7 (G089; anmol): Yes | Findings!r7 (G089; no labeler): Yes</x:v>
      </x:c>
      <x:c r="T59" s="4" t="str">
        <x:v>AnmolRationale_August12!r18[G089]; Findings!r7[G089]; GPT Test!r7[G089]; ICAResults_25April2026!r44[G089]; RationaleSheet_April20_v1!r75[G089]</x:v>
      </x:c>
      <x:c r="U59" s="34" t="str">
        <x:v>Clear — no codebook example passage retained</x:v>
      </x:c>
    </x:row>
    <x:row r="60" ht="68" customHeight="1">
      <x:c r="A60" s="47" t="str">
        <x:v>HK-004</x:v>
      </x:c>
      <x:c r="B60" s="53" t="str">
        <x:v>14:8</x:v>
      </x:c>
      <x:c r="C60" s="53" t="str">
        <x:v>p 19</x:v>
      </x:c>
      <x:c r="D60" s="4"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E60" s="53" t="str">
        <x:v>Hurricane Katrina</x:v>
      </x:c>
      <x:c r="F60" s="4" t="str">
        <x:v>gao-06-442t.pdf</x:v>
      </x:c>
      <x:c r="G60" s="53" t="str">
        <x:v>Yes</x:v>
      </x:c>
      <x:c r="H60" s="59" t="n">
        <x:v>1</x:v>
      </x:c>
      <x:c r="I60" s="53" t="str">
        <x:v>anmol</x:v>
      </x:c>
      <x:c r="J60" s="4" t="str">
        <x:v>Depth: High depth, Nature: Technical Nature, Pillar: Merging (Integrative), Stakeholder: Miscelleanous, Unlearning</x:v>
      </x:c>
      <x:c r="K60" s="4" t="str">
        <x:v>Unlearning as it identifies interoperable communication as a clear policy problem and tmakes recommendations that seem to suggest departure from teh past approached.</x:v>
      </x:c>
      <x:c r="L60" s="4" t="str">
        <x:v>AnmolRationale_August12!row 19 (Latest Anmol August 12 re-evaluation)</x:v>
      </x:c>
      <x:c r="M60" s="4" t="str">
        <x:v>AnmolRationale_August12!row 19</x:v>
      </x:c>
      <x:c r="N60" s="53" t="str">
        <x:v>Yes</x:v>
      </x:c>
      <x:c r="O60" s="4" t="str">
        <x:v>Multiple labelers (anmol, kyle); exact-duplicate priority yields anmol.</x:v>
      </x:c>
      <x:c r="P60" s="53" t="str">
        <x:v>Exact annotation duplicate</x:v>
      </x:c>
      <x:c r="Q60" s="4" t="str">
        <x:v>Consolidated exact duplicate annotations from multiple sheets into one passage row.</x:v>
      </x:c>
      <x:c r="R60" s="4" t="str"/>
      <x:c r="S60" s="4" t="str">
        <x:v>AnmolRationale_August12!r19 (G091; anmol): Yes [SELECTED] | ICAResults_25April2026!r45 (G091; kyle): Yes | RationaleSheet_April20_v1!r76 (G091; kyle): Yes | GPT Test!r8 (G091; anmol): Yes | Findings!r6 (G091; no labeler): Yes</x:v>
      </x:c>
      <x:c r="T60" s="4" t="str">
        <x:v>AnmolRationale_August12!r19[G091]; Findings!r6[G091]; GPT Test!r8[G091]; ICAResults_25April2026!r45[G091]; RationaleSheet_April20_v1!r76[G091]</x:v>
      </x:c>
      <x:c r="U60" s="34" t="str">
        <x:v>Clear — no codebook example passage retained</x:v>
      </x:c>
    </x:row>
    <x:row r="61" ht="68" customHeight="1">
      <x:c r="A61" s="47" t="str">
        <x:v>HK-005</x:v>
      </x:c>
      <x:c r="B61" s="53" t="str">
        <x:v>14:9</x:v>
      </x:c>
      <x:c r="C61" s="53" t="str">
        <x:v>p 19</x:v>
      </x:c>
      <x:c r="D61" s="4"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E61" s="53" t="str">
        <x:v>Hurricane Katrina</x:v>
      </x:c>
      <x:c r="F61" s="4" t="str">
        <x:v>gao-06-442t.pdf</x:v>
      </x:c>
      <x:c r="G61" s="53" t="str">
        <x:v>No</x:v>
      </x:c>
      <x:c r="H61" s="59" t="n">
        <x:v>0</x:v>
      </x:c>
      <x:c r="I61" s="53" t="str">
        <x:v>anmol</x:v>
      </x:c>
      <x:c r="J61" s="4" t="str">
        <x:v>Depth: High depth, Nature: Normative Nature, Pillar: Reconsidering (Epistemic), Stakeholder: Dept of Defense, Unlearning</x:v>
      </x:c>
      <x:c r="K61" s="4" t="str">
        <x:v>Not unleaarning. They identify a problem, but offer not clear reform that breaks from the past practices.</x:v>
      </x:c>
      <x:c r="L61" s="4" t="str">
        <x:v>AnmolRationale_August12!row 20 (Latest Anmol August 12 re-evaluation)</x:v>
      </x:c>
      <x:c r="M61" s="4" t="str">
        <x:v>AnmolRationale_August12!row 20</x:v>
      </x:c>
      <x:c r="N61" s="53" t="str">
        <x:v>Yes</x:v>
      </x:c>
      <x:c r="O61" s="4" t="str">
        <x:v>Conflicting historical binary labels (No/Yes); final label follows AnmolRationale_August12!row 20. Multiple labelers (anmol, kyle); exact-duplicate priority yields anmol. Latest rationale overrides stale code field (Yes in Codes vs No final).</x:v>
      </x:c>
      <x:c r="P61" s="53" t="str">
        <x:v>Exact annotation duplicate</x:v>
      </x:c>
      <x:c r="Q61" s="4" t="str">
        <x:v>Consolidated exact duplicate annotations from multiple sheets into one passage row.</x:v>
      </x:c>
      <x:c r="R61" s="4" t="str"/>
      <x:c r="S61" s="4" t="str">
        <x:v>AnmolRationale_August12!r20 (G090; anmol): No [SELECTED] | ICAResults_25April2026!r46 (G090; kyle): Yes | RationaleSheet_April20_v1!r77 (G090; kyle): Yes | GPT Test!r9 (G090; anmol): Yes | Findings!r5 (G090; no labeler): Yes</x:v>
      </x:c>
      <x:c r="T61" s="4" t="str">
        <x:v>AnmolRationale_August12!r20[G090]; Findings!r5[G090]; GPT Test!r9[G090]; ICAResults_25April2026!r46[G090]; RationaleSheet_April20_v1!r77[G090]</x:v>
      </x:c>
      <x:c r="U61" s="34" t="str">
        <x:v>Clear — no codebook example passage retained</x:v>
      </x:c>
    </x:row>
    <x:row r="62" ht="68" customHeight="1">
      <x:c r="A62" s="47" t="str">
        <x:v>HK-006</x:v>
      </x:c>
      <x:c r="B62" s="53" t="str">
        <x:v>14:10</x:v>
      </x:c>
      <x:c r="C62" s="53" t="str">
        <x:v>pp 19-20</x:v>
      </x:c>
      <x:c r="D62" s="4"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E62" s="53" t="str">
        <x:v>Hurricane Katrina</x:v>
      </x:c>
      <x:c r="F62" s="4" t="str">
        <x:v>gao-06-442t.pdf</x:v>
      </x:c>
      <x:c r="G62" s="53" t="str">
        <x:v>No</x:v>
      </x:c>
      <x:c r="H62" s="59" t="n">
        <x:v>0</x:v>
      </x:c>
      <x:c r="I62" s="53" t="str">
        <x:v>anmol</x:v>
      </x:c>
      <x:c r="J62" s="4" t="str">
        <x:v>205</x:v>
      </x:c>
      <x:c r="K62" s="4" t="str">
        <x:v>not unlearning as the reforms seem additive capacity building related, not fundamental changes.</x:v>
      </x:c>
      <x:c r="L62" s="4" t="str">
        <x:v>AnmolRationale_August12!row 21 (Latest Anmol August 12 re-evaluation)</x:v>
      </x:c>
      <x:c r="M62" s="4" t="str">
        <x:v>AnmolRationale_August12!row 21</x:v>
      </x:c>
      <x:c r="N62" s="53" t="str">
        <x:v>Yes</x:v>
      </x:c>
      <x:c r="O62" s="4" t="str">
        <x:v>Multiple labelers (anmol, kyle); exact-duplicate priority yields anmol.</x:v>
      </x:c>
      <x:c r="P62" s="53" t="str">
        <x:v>Near/exact text variant</x:v>
      </x:c>
      <x:c r="Q62" s="4" t="str">
        <x:v>Consolidated equivalent text groups G083, G085; retained cleaner representative G083. Also consolidated repeated annotations across source sheets.</x:v>
      </x:c>
      <x:c r="R62" s="4" t="str"/>
      <x:c r="S62" s="4" t="str">
        <x:v>AnmolRationale_August12!r21 (G083; anmol): No [SELECTED] | ICAResults_25April2026!r47 (G085; kyle): No | RationaleSheet_April20_v1!r78 (G085; kyle): No</x:v>
      </x:c>
      <x:c r="T62" s="4" t="str">
        <x:v>AnmolRationale_August12!r21[G083]; ICAResults_25April2026!r47[G085]; RationaleSheet_April20_v1!r78[G085]</x:v>
      </x:c>
      <x:c r="U62" s="34" t="str">
        <x:v>Clear — no codebook example passage retained</x:v>
      </x:c>
    </x:row>
    <x:row r="63" ht="68" customHeight="1">
      <x:c r="A63" s="47" t="str">
        <x:v>HK-007</x:v>
      </x:c>
      <x:c r="B63" s="53" t="str">
        <x:v>14:11</x:v>
      </x:c>
      <x:c r="C63" s="53" t="str">
        <x:v>p 24</x:v>
      </x:c>
      <x:c r="D63" s="4"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E63" s="53" t="str">
        <x:v>Hurricane Katrina</x:v>
      </x:c>
      <x:c r="F63" s="4" t="str">
        <x:v>gao-06-442t.pdf</x:v>
      </x:c>
      <x:c r="G63" s="53" t="str">
        <x:v>No</x:v>
      </x:c>
      <x:c r="H63" s="59" t="n">
        <x:v>0</x:v>
      </x:c>
      <x:c r="I63" s="53" t="str">
        <x:v>anmol</x:v>
      </x:c>
      <x:c r="J63" s="4" t="str">
        <x:v>205</x:v>
      </x:c>
      <x:c r="K63" s="4" t="str">
        <x:v>Not unlearning as these seem additional capacity related.</x:v>
      </x:c>
      <x:c r="L63" s="4" t="str">
        <x:v>AnmolRationale_August12!row 22 (Latest Anmol August 12 re-evaluation)</x:v>
      </x:c>
      <x:c r="M63" s="4" t="str">
        <x:v>AnmolRationale_August12!row 22</x:v>
      </x:c>
      <x:c r="N63" s="53" t="str">
        <x:v>Yes</x:v>
      </x:c>
      <x:c r="O63" s="4" t="str">
        <x:v>Multiple labelers (anmol, kyle); exact-duplicate priority yields anmol.</x:v>
      </x:c>
      <x:c r="P63" s="53" t="str">
        <x:v>Exact annotation duplicate</x:v>
      </x:c>
      <x:c r="Q63" s="4" t="str">
        <x:v>Consolidated exact duplicate annotations from multiple sheets into one passage row.</x:v>
      </x:c>
      <x:c r="R63" s="4" t="str"/>
      <x:c r="S63" s="4" t="str">
        <x:v>AnmolRationale_August12!r22 (G093; anmol): No [SELECTED] | ICAResults_25April2026!r48 (G093; kyle): No | RationaleSheet_April20_v1!r79 (G093; kyle): No | Findings!r2 (G093; no labeler): No</x:v>
      </x:c>
      <x:c r="T63" s="4" t="str">
        <x:v>AnmolRationale_August12!r22[G093]; Findings!r2[G093]; ICAResults_25April2026!r48[G093]; RationaleSheet_April20_v1!r79[G093]</x:v>
      </x:c>
      <x:c r="U63" s="34" t="str">
        <x:v>Clear — no codebook example passage retained</x:v>
      </x:c>
    </x:row>
    <x:row r="64" ht="68" customHeight="1">
      <x:c r="A64" s="47" t="str">
        <x:v>HK-008</x:v>
      </x:c>
      <x:c r="B64" s="53" t="str">
        <x:v>14:13</x:v>
      </x:c>
      <x:c r="C64" s="53" t="str">
        <x:v>p 37</x:v>
      </x:c>
      <x:c r="D64" s="4"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E64" s="53" t="str">
        <x:v>Hurricane Katrina</x:v>
      </x:c>
      <x:c r="F64" s="4" t="str">
        <x:v>gao-06-442t.pdf</x:v>
      </x:c>
      <x:c r="G64" s="53" t="str">
        <x:v>Yes</x:v>
      </x:c>
      <x:c r="H64" s="59" t="n">
        <x:v>1</x:v>
      </x:c>
      <x:c r="I64" s="53" t="str">
        <x:v>anmol</x:v>
      </x:c>
      <x:c r="J64" s="4" t="str">
        <x:v>Depth: High depth, Nature: Normative Nature, Pillar: Reconsidering (Epistemic), Unlearning</x:v>
      </x:c>
      <x:c r="K64" s="4" t="str">
        <x:v>This is unlearning as it identifies a problem in resettlement adn healthcare, and makes a cse for shifting away from hospital-centric system</x:v>
      </x:c>
      <x:c r="L64" s="4" t="str">
        <x:v>AnmolRationale_August12!row 24 (Latest Anmol August 12 re-evaluation)</x:v>
      </x:c>
      <x:c r="M64" s="4" t="str">
        <x:v>RationaleSheet_April20_v1!row 81 (supporting older rationale)</x:v>
      </x:c>
      <x:c r="N64" s="53" t="str">
        <x:v>Yes</x:v>
      </x:c>
      <x:c r="O64" s="4" t="str">
        <x:v>Multiple labelers (anmol, kyle); exact-duplicate priority yields anmol. Selected latest record has no rationale; an older consistent rationale is shown for context.</x:v>
      </x:c>
      <x:c r="P64" s="53" t="str">
        <x:v>Exact annotation duplicate</x:v>
      </x:c>
      <x:c r="Q64" s="4" t="str">
        <x:v>Consolidated exact duplicate annotations from multiple sheets into one passage row.</x:v>
      </x:c>
      <x:c r="R64" s="4" t="str"/>
      <x:c r="S64" s="4" t="str">
        <x:v>AnmolRationale_August12!r24 (G094; anmol): Yes [SELECTED] | ICAResults_25April2026!r50 (G094; kyle): Yes | RationaleSheet_April20_v1!r81 (G094; kyle): Yes | GPT Test!r11 (G094; anmol): Yes</x:v>
      </x:c>
      <x:c r="T64" s="4" t="str">
        <x:v>AnmolRationale_August12!r24[G094]; GPT Test!r11[G094]; ICAResults_25April2026!r50[G094]; RationaleSheet_April20_v1!r81[G094]</x:v>
      </x:c>
      <x:c r="U64" s="34" t="str">
        <x:v>Clear — no codebook example passage retained</x:v>
      </x:c>
    </x:row>
    <x:row r="65" ht="68" customHeight="1">
      <x:c r="A65" s="47" t="str">
        <x:v>HK-009</x:v>
      </x:c>
      <x:c r="B65" s="53" t="str">
        <x:v>14:14</x:v>
      </x:c>
      <x:c r="C65" s="53" t="str">
        <x:v>p 39</x:v>
      </x:c>
      <x:c r="D65" s="4"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E65" s="53" t="str">
        <x:v>Hurricane Katrina</x:v>
      </x:c>
      <x:c r="F65" s="4" t="str">
        <x:v>gao-06-442t.pdf</x:v>
      </x:c>
      <x:c r="G65" s="53" t="str">
        <x:v>Yes</x:v>
      </x:c>
      <x:c r="H65" s="59" t="n">
        <x:v>1</x:v>
      </x:c>
      <x:c r="I65" s="53" t="str">
        <x:v>anmol</x:v>
      </x:c>
      <x:c r="J65" s="4" t="str">
        <x:v>Depth: High depth, Nature: Technical Nature, Pillar: Reconsidering (Epistemic), Stakeholder: Miscelleanous, Unlearning</x:v>
      </x:c>
      <x:c r="K65" s="4" t="str">
        <x:v>Unlearning as it idenfieis fundamental shift in healthcare practice toward preventative care</x:v>
      </x:c>
      <x:c r="L65" s="4" t="str">
        <x:v>AnmolRationale_August12!row 25 (Latest Anmol August 12 re-evaluation)</x:v>
      </x:c>
      <x:c r="M65" s="4" t="str">
        <x:v>AnmolRationale_August12!row 25</x:v>
      </x:c>
      <x:c r="N65" s="53" t="str">
        <x:v>Yes</x:v>
      </x:c>
      <x:c r="O65" s="4" t="str">
        <x:v>Multiple labelers (anmol, kyle); exact-duplicate priority yields anmol. Source span contains multiple paragraphs; verify paragraph boundary.</x:v>
      </x:c>
      <x:c r="P65" s="53" t="str">
        <x:v>Exact annotation duplicate</x:v>
      </x:c>
      <x:c r="Q65" s="4" t="str">
        <x:v>Consolidated exact duplicate annotations from multiple sheets into one passage row.</x:v>
      </x:c>
      <x:c r="R65" s="4" t="str"/>
      <x:c r="S65" s="4" t="str">
        <x:v>AnmolRationale_August12!r25 (G095; anmol): Yes [SELECTED] | ICAResults_25April2026!r51 (G095; kyle): Yes | RationaleSheet_April20_v1!r82 (G095; kyle): Yes | GPT Test!r12 (G095; anmol): Yes</x:v>
      </x:c>
      <x:c r="T65" s="4" t="str">
        <x:v>AnmolRationale_August12!r25[G095]; GPT Test!r12[G095]; ICAResults_25April2026!r51[G095]; RationaleSheet_April20_v1!r82[G095]</x:v>
      </x:c>
      <x:c r="U65" s="34" t="str">
        <x:v>Clear — no codebook example passage retained</x:v>
      </x:c>
    </x:row>
    <x:row r="66" ht="68" customHeight="1">
      <x:c r="A66" s="47" t="str">
        <x:v>HK-010</x:v>
      </x:c>
      <x:c r="B66" s="53" t="str"/>
      <x:c r="C66" s="53" t="str"/>
      <x:c r="D66" s="4"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E66" s="53" t="str">
        <x:v>Hurricane Katrina</x:v>
      </x:c>
      <x:c r="F66" s="4" t="str">
        <x:v>gao-06-442t.pdf</x:v>
      </x:c>
      <x:c r="G66" s="53" t="str">
        <x:v>No</x:v>
      </x:c>
      <x:c r="H66" s="59" t="n">
        <x:v>0</x:v>
      </x:c>
      <x:c r="I66" s="53" t="str"/>
      <x:c r="J66" s="4" t="str"/>
      <x:c r="K66" s="4" t="str">
        <x:v>example of learning through better logistics and debris removal capabilities.</x:v>
      </x:c>
      <x:c r="L66" s="4" t="str">
        <x:v>Findings!row 3 (Latest available record by sheet chronology)</x:v>
      </x:c>
      <x:c r="M66" s="4" t="str">
        <x:v>Findings!row 3</x:v>
      </x:c>
      <x:c r="N66" s="53" t="str">
        <x:v>Yes</x:v>
      </x:c>
      <x:c r="O66" s="4" t="str">
        <x:v>No original human labeler was recorded; passage appears only in Findings.</x:v>
      </x:c>
      <x:c r="P66" s="53" t="str">
        <x:v>None</x:v>
      </x:c>
      <x:c r="Q66" s="4" t="str"/>
      <x:c r="R66" s="4" t="str"/>
      <x:c r="S66" s="4" t="str">
        <x:v>Findings!r3 (G081; no labeler): No [SELECTED]</x:v>
      </x:c>
      <x:c r="T66" s="4" t="str">
        <x:v>Findings!r3[G081]</x:v>
      </x:c>
      <x:c r="U66" s="34" t="str">
        <x:v>Clear — no codebook example passage retained</x:v>
      </x:c>
    </x:row>
    <x:row r="67" ht="68" customHeight="1">
      <x:c r="A67" s="47" t="str">
        <x:v>HK-011</x:v>
      </x:c>
      <x:c r="B67" s="53" t="str"/>
      <x:c r="C67" s="53" t="str"/>
      <x:c r="D67" s="4" t="str">
        <x:v>“For example, although the National Disaster Medical System (NDMS) is a mechanism through which the federal government can provide assistance with patient evacuations, NDMS has agreements with hospitals only and does not address the needs of nursing homes.”</x:v>
      </x:c>
      <x:c r="E67" s="53" t="str">
        <x:v>Hurricane Katrina</x:v>
      </x:c>
      <x:c r="F67" s="4" t="str">
        <x:v>gao-06-442t.pdf</x:v>
      </x:c>
      <x:c r="G67" s="53" t="str">
        <x:v>No</x:v>
      </x:c>
      <x:c r="H67" s="59" t="n">
        <x:v>0</x:v>
      </x:c>
      <x:c r="I67" s="53" t="str"/>
      <x:c r="J67" s="4" t="str"/>
      <x:c r="K67" s="4" t="str">
        <x:v>It aims to add nursing homes to the medical system but the underlying logic of the NDMS</x:v>
      </x:c>
      <x:c r="L67" s="4" t="str">
        <x:v>Findings!row 4 (Latest available record by sheet chronology)</x:v>
      </x:c>
      <x:c r="M67" s="4" t="str">
        <x:v>Findings!row 4</x:v>
      </x:c>
      <x:c r="N67" s="53" t="str">
        <x:v>Yes</x:v>
      </x:c>
      <x:c r="O67" s="4" t="str">
        <x:v>No original human labeler was recorded; passage appears only in Findings.</x:v>
      </x:c>
      <x:c r="P67" s="53" t="str">
        <x:v>None</x:v>
      </x:c>
      <x:c r="Q67" s="4" t="str"/>
      <x:c r="R67" s="4" t="str"/>
      <x:c r="S67" s="4" t="str">
        <x:v>Findings!r4 (G082; no labeler): No [SELECTED]</x:v>
      </x:c>
      <x:c r="T67" s="4" t="str">
        <x:v>Findings!r4[G082]</x:v>
      </x:c>
      <x:c r="U67" s="34" t="str">
        <x:v>Clear — no codebook example passage retained</x:v>
      </x:c>
    </x:row>
    <x:row r="68" ht="68" customHeight="1">
      <x:c r="A68" s="47" t="str">
        <x:v>PAR-001</x:v>
      </x:c>
      <x:c r="B68" s="53" t="str">
        <x:v>1:1</x:v>
      </x:c>
      <x:c r="C68" s="53" t="str">
        <x:v>p 3</x:v>
      </x:c>
      <x:c r="D68" s="4" t="str">
        <x:v>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x:v>
      </x:c>
      <x:c r="E68" s="53" t="str">
        <x:v>PAR</x:v>
      </x:c>
      <x:c r="F68" s="4" t="str">
        <x:v>Public Administration Review - 2010 - McGuire - What if Hurricane Katrina Hit in 2020 The Need for Strategic Management of (1).pdf</x:v>
      </x:c>
      <x:c r="G68" s="53" t="str">
        <x:v>Yes</x:v>
      </x:c>
      <x:c r="H68" s="59" t="n">
        <x:v>1</x:v>
      </x:c>
      <x:c r="I68" s="53" t="str">
        <x:v>anmol</x:v>
      </x:c>
      <x:c r="J68" s="4" t="str">
        <x:v>Unlearning</x:v>
      </x:c>
      <x:c r="K68" s="4" t="str">
        <x:v>It identifies NRP as a specific plan that didn't work as well as conflict among regions. It asks for discontinuous change but implicitly.</x:v>
      </x:c>
      <x:c r="L68" s="4" t="str">
        <x:v>AnmolRationale_August12!row 56 (Latest Anmol August 12 re-evaluation)</x:v>
      </x:c>
      <x:c r="M68" s="4" t="str">
        <x:v>AnmolRationale_August12!row 56</x:v>
      </x:c>
      <x:c r="N68" s="53" t="str">
        <x:v>No</x:v>
      </x:c>
      <x:c r="O68" s="4" t="str"/>
      <x:c r="P68" s="53" t="str">
        <x:v>Exact annotation duplicate</x:v>
      </x:c>
      <x:c r="Q68" s="4" t="str">
        <x:v>Consolidated exact duplicate annotations from multiple sheets into one passage row.</x:v>
      </x:c>
      <x:c r="R68" s="4" t="str"/>
      <x:c r="S68" s="4" t="str">
        <x:v>AnmolRationale_August12!r56 (G031; anmol): Yes [SELECTED] | PAR_Anmol_June27!r2 (G031; anmol): Yes</x:v>
      </x:c>
      <x:c r="T68" s="4" t="str">
        <x:v>AnmolRationale_August12!r56[G031]; PAR_Anmol_June27!r2[G031]</x:v>
      </x:c>
      <x:c r="U68" s="34" t="str">
        <x:v>Clear — no codebook example passage retained</x:v>
      </x:c>
    </x:row>
    <x:row r="69" ht="68" customHeight="1">
      <x:c r="A69" s="47" t="str">
        <x:v>PAR-002</x:v>
      </x:c>
      <x:c r="B69" s="53" t="str">
        <x:v>1:3</x:v>
      </x:c>
      <x:c r="C69" s="53" t="str">
        <x:v>p 3</x:v>
      </x:c>
      <x:c r="D69" s="4"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E69" s="53" t="str">
        <x:v>PAR</x:v>
      </x:c>
      <x:c r="F69" s="4" t="str">
        <x:v>Public Administration Review - 2010 - McGuire - What if Hurricane Katrina Hit in 2020 The Need for Strategic Management of (1).pdf</x:v>
      </x:c>
      <x:c r="G69" s="53" t="str">
        <x:v>Yes</x:v>
      </x:c>
      <x:c r="H69" s="59" t="n">
        <x:v>1</x:v>
      </x:c>
      <x:c r="I69" s="53" t="str">
        <x:v>anmol</x:v>
      </x:c>
      <x:c r="J69" s="4" t="str">
        <x:v>Target: Laws &amp; Policies, Target: Leadership, Target: Misclleanous (culture, communication norms, or inter-agency coordination), Unlearning</x:v>
      </x:c>
      <x:c r="K69" s="4" t="str">
        <x:v>Identifies lack of strategic management, coordination and collaboration as failures requiring discontinuous reform.</x:v>
      </x:c>
      <x:c r="L69" s="4" t="str">
        <x:v>AnmolRationale_August12!row 57 (Latest Anmol August 12 re-evaluation)</x:v>
      </x:c>
      <x:c r="M69" s="4" t="str">
        <x:v>AnmolRationale_August12!row 57</x:v>
      </x:c>
      <x:c r="N69" s="53" t="str">
        <x:v>Yes</x:v>
      </x:c>
      <x:c r="O69" s="4" t="str">
        <x:v>Multiple labelers (anmol, prerana); parent-passage labeler rule yields anmol. Long parent span contains multiple component paragraphs; kept parent and removed child duplicate.</x:v>
      </x:c>
      <x:c r="P69" s="53" t="str">
        <x:v>Parent-child</x:v>
      </x:c>
      <x:c r="Q69" s="4" t="str">
        <x:v>Kept parent span G032; removed child group(s) G029. Parent passage labeler retained. Also consolidated repeated annotations across source sheets.</x:v>
      </x:c>
      <x:c r="R69" s="4" t="str"/>
      <x:c r="S69" s="4" t="str">
        <x:v>AnmolRationale_August12!r57 (G032; anmol): Yes [SELECTED] | PAR_Prerana_July17!r1 (G029; prerana): Yes | PAR_Anmol_June27!r3 (G032; anmol): Yes</x:v>
      </x:c>
      <x:c r="T69" s="4" t="str">
        <x:v>AnmolRationale_August12!r57[G032]; PAR_Anmol_June27!r3[G032]; PAR_Prerana_July17!r1[G029]</x:v>
      </x:c>
      <x:c r="U69" s="34" t="str">
        <x:v>Clear — no codebook example passage retained</x:v>
      </x:c>
    </x:row>
    <x:row r="70" ht="68" customHeight="1">
      <x:c r="A70" s="47" t="str">
        <x:v>PAR-003</x:v>
      </x:c>
      <x:c r="B70" s="53" t="str">
        <x:v>1:4</x:v>
      </x:c>
      <x:c r="C70" s="53" t="str">
        <x:v>p 3</x:v>
      </x:c>
      <x:c r="D70" s="4"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x:v>
      </x:c>
      <x:c r="E70" s="53" t="str">
        <x:v>PAR</x:v>
      </x:c>
      <x:c r="F70" s="4" t="str">
        <x:v>Public Administration Review - 2010 - McGuire - What if Hurricane Katrina Hit in 2020 The Need for Strategic Management of (1).pdf</x:v>
      </x:c>
      <x:c r="G70" s="53" t="str">
        <x:v>Yes</x:v>
      </x:c>
      <x:c r="H70" s="59" t="n">
        <x:v>1</x:v>
      </x:c>
      <x:c r="I70" s="53" t="str">
        <x:v>anmol</x:v>
      </x:c>
      <x:c r="J70" s="4" t="str">
        <x:v>Target: Misclleanous (culture, communication norms, or inter-agency coordination), Unlearning</x:v>
      </x:c>
      <x:c r="K70" s="4" t="str">
        <x:v>It clearly reject excessive focus on one phase of emergency mgmt and calls for focus on others.</x:v>
      </x:c>
      <x:c r="L70" s="4" t="str">
        <x:v>AnmolRationale_August12!row 58 (Latest Anmol August 12 re-evaluation)</x:v>
      </x:c>
      <x:c r="M70" s="4" t="str">
        <x:v>AnmolRationale_August12!row 58</x:v>
      </x:c>
      <x:c r="N70" s="53" t="str">
        <x:v>No</x:v>
      </x:c>
      <x:c r="O70" s="4" t="str"/>
      <x:c r="P70" s="53" t="str">
        <x:v>Exact annotation duplicate</x:v>
      </x:c>
      <x:c r="Q70" s="4" t="str">
        <x:v>Consolidated exact duplicate annotations from multiple sheets into one passage row.</x:v>
      </x:c>
      <x:c r="R70" s="4" t="str"/>
      <x:c r="S70" s="4" t="str">
        <x:v>AnmolRationale_August12!r58 (G033; anmol): Yes [SELECTED] | PAR_Anmol_June27!r4 (G033; anmol): Yes</x:v>
      </x:c>
      <x:c r="T70" s="4" t="str">
        <x:v>AnmolRationale_August12!r58[G033]; PAR_Anmol_June27!r4[G033]</x:v>
      </x:c>
      <x:c r="U70" s="34" t="str">
        <x:v>Clear — no codebook example passage retained</x:v>
      </x:c>
    </x:row>
    <x:row r="71" ht="68" customHeight="1">
      <x:c r="A71" s="47" t="str">
        <x:v>PAR-004</x:v>
      </x:c>
      <x:c r="B71" s="53" t="str">
        <x:v>1:6</x:v>
      </x:c>
      <x:c r="C71" s="53" t="str">
        <x:v>p 3</x:v>
      </x:c>
      <x:c r="D71" s="4" t="str">
        <x:v>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x:v>
      </x:c>
      <x:c r="E71" s="53" t="str">
        <x:v>PAR</x:v>
      </x:c>
      <x:c r="F71" s="4" t="str">
        <x:v>Public Administration Review - 2010 - McGuire - What if Hurricane Katrina Hit in 2020 The Need for Strategic Management of (1).pdf</x:v>
      </x:c>
      <x:c r="G71" s="53" t="str">
        <x:v>Yes</x:v>
      </x:c>
      <x:c r="H71" s="59" t="n">
        <x:v>1</x:v>
      </x:c>
      <x:c r="I71" s="53" t="str">
        <x:v>anmol</x:v>
      </x:c>
      <x:c r="J71" s="4" t="str">
        <x:v>Target: Laws &amp; Policies, Target: Misclleanous (culture, communication norms, or inter-agency coordination), Unlearning</x:v>
      </x:c>
      <x:c r="K71" s="4" t="str">
        <x:v>Identifies national response plan as problematic and long and indicates subtraction/consciness. Rejects govt led approach for more collaborataive approach.</x:v>
      </x:c>
      <x:c r="L71" s="4" t="str">
        <x:v>AnmolRationale_August12!row 59 (Latest Anmol August 12 re-evaluation)</x:v>
      </x:c>
      <x:c r="M71" s="4" t="str">
        <x:v>AnmolRationale_August12!row 59</x:v>
      </x:c>
      <x:c r="N71" s="53" t="str">
        <x:v>Yes</x:v>
      </x:c>
      <x:c r="O71" s="4" t="str">
        <x:v>Multiple labelers (anmol, prerana); exact-duplicate priority yields anmol.</x:v>
      </x:c>
      <x:c r="P71" s="53" t="str">
        <x:v>Exact annotation duplicate</x:v>
      </x:c>
      <x:c r="Q71" s="4" t="str">
        <x:v>Consolidated exact duplicate annotations from multiple sheets into one passage row.</x:v>
      </x:c>
      <x:c r="R71" s="4" t="str"/>
      <x:c r="S71" s="4" t="str">
        <x:v>AnmolRationale_August12!r59 (G034; anmol): Yes [SELECTED] | PAR_Prerana_July17!r4 (G034; prerana): Yes | PAR_Anmol_June27!r5 (G034; anmol): Yes</x:v>
      </x:c>
      <x:c r="T71" s="4" t="str">
        <x:v>AnmolRationale_August12!r59[G034]; PAR_Anmol_June27!r5[G034]; PAR_Prerana_July17!r4[G034]</x:v>
      </x:c>
      <x:c r="U71" s="34" t="str">
        <x:v>Clear — no codebook example passage retained</x:v>
      </x:c>
    </x:row>
    <x:row r="72" ht="68" customHeight="1">
      <x:c r="A72" s="47" t="str">
        <x:v>PAR-005</x:v>
      </x:c>
      <x:c r="B72" s="53" t="str"/>
      <x:c r="C72" s="53" t="str"/>
      <x:c r="D72" s="4"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x:v>
      </x:c>
      <x:c r="E72" s="53" t="str">
        <x:v>PAR</x:v>
      </x:c>
      <x:c r="F72" s="4" t="str">
        <x:v>Public Administration Review - 2010 - McGuire - What if Hurricane Katrina Hit in 2020 The Need for Strategic Management of (1).pdf</x:v>
      </x:c>
      <x:c r="G72" s="53" t="str">
        <x:v>Yes</x:v>
      </x:c>
      <x:c r="H72" s="59" t="n">
        <x:v>1</x:v>
      </x:c>
      <x:c r="I72" s="53" t="str">
        <x:v>prerana</x:v>
      </x:c>
      <x:c r="J72" s="4" t="str">
        <x:v>Unlearning; Target: Laws, Plans &amp; Policies; Agency: Department of Homeland Security</x:v>
      </x:c>
      <x:c r="K72" s="4" t="str">
        <x:v>Prior framework identified as problematic; deliberate revision and replacement with a new framework.</x:v>
      </x:c>
      <x:c r="L72" s="4" t="str">
        <x:v>PAR_Prerana_July17!row 7 (Latest available record by sheet chronology)</x:v>
      </x:c>
      <x:c r="M72" s="4" t="str">
        <x:v>PAR_Prerana_July17!row 7</x:v>
      </x:c>
      <x:c r="N72" s="53" t="str">
        <x:v>No</x:v>
      </x:c>
      <x:c r="O72" s="4" t="str"/>
      <x:c r="P72" s="53" t="str">
        <x:v>None</x:v>
      </x:c>
      <x:c r="Q72" s="4" t="str"/>
      <x:c r="R72" s="4" t="str"/>
      <x:c r="S72" s="4" t="str">
        <x:v>PAR_Prerana_July17!r7 (G030; prerana): Yes [SELECTED]</x:v>
      </x:c>
      <x:c r="T72" s="4" t="str">
        <x:v>PAR_Prerana_July17!r7[G030]</x:v>
      </x:c>
      <x:c r="U72" s="34" t="str">
        <x:v>Clear — no codebook example passage retained</x:v>
      </x:c>
    </x:row>
    <x:row r="73" ht="68" customHeight="1">
      <x:c r="A73" s="47" t="str">
        <x:v>PAR-006</x:v>
      </x:c>
      <x:c r="B73" s="53" t="str">
        <x:v>1:7</x:v>
      </x:c>
      <x:c r="C73" s="53" t="str">
        <x:v>p 4</x:v>
      </x:c>
      <x:c r="D73" s="4" t="str">
        <x:v>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x:v>
      </x:c>
      <x:c r="E73" s="53" t="str">
        <x:v>PAR</x:v>
      </x:c>
      <x:c r="F73" s="4" t="str">
        <x:v>Public Administration Review - 2010 - McGuire - What if Hurricane Katrina Hit in 2020 The Need for Strategic Management of (1).pdf</x:v>
      </x:c>
      <x:c r="G73" s="53" t="str">
        <x:v>Yes</x:v>
      </x:c>
      <x:c r="H73" s="59" t="n">
        <x:v>1</x:v>
      </x:c>
      <x:c r="I73" s="53" t="str">
        <x:v>anmol</x:v>
      </x:c>
      <x:c r="J73" s="4" t="str">
        <x:v>Target: Laws &amp; Policies, Unlearning</x:v>
      </x:c>
      <x:c r="K73" s="4" t="str">
        <x:v>It identifies a clear fault in NRP and assumptions around stakeholder communication, capacity and responsibility. It asks for a change in thinking of strategic capacity.</x:v>
      </x:c>
      <x:c r="L73" s="4" t="str">
        <x:v>AnmolRationale_August12!row 60 (Latest Anmol August 12 re-evaluation)</x:v>
      </x:c>
      <x:c r="M73" s="4" t="str">
        <x:v>AnmolRationale_August12!row 60</x:v>
      </x:c>
      <x:c r="N73" s="53" t="str">
        <x:v>Yes</x:v>
      </x:c>
      <x:c r="O73" s="4" t="str">
        <x:v>Multiple labelers (anmol, prerana); exact-duplicate priority yields anmol.</x:v>
      </x:c>
      <x:c r="P73" s="53" t="str">
        <x:v>Exact annotation duplicate</x:v>
      </x:c>
      <x:c r="Q73" s="4" t="str">
        <x:v>Consolidated exact duplicate annotations from multiple sheets into one passage row.</x:v>
      </x:c>
      <x:c r="R73" s="4" t="str"/>
      <x:c r="S73" s="4" t="str">
        <x:v>AnmolRationale_August12!r60 (G035; anmol): Yes [SELECTED] | PAR_Prerana_July17!r11 (G035; prerana): Yes | PAR_Anmol_June27!r6 (G035; anmol): Yes</x:v>
      </x:c>
      <x:c r="T73" s="4" t="str">
        <x:v>AnmolRationale_August12!r60[G035]; PAR_Anmol_June27!r6[G035]; PAR_Prerana_July17!r11[G035]</x:v>
      </x:c>
      <x:c r="U73" s="34" t="str">
        <x:v>Clear — no codebook example passage retained</x:v>
      </x:c>
    </x:row>
    <x:row r="74" ht="68" customHeight="1">
      <x:c r="A74" s="47" t="str">
        <x:v>PAR-007</x:v>
      </x:c>
      <x:c r="B74" s="53" t="str">
        <x:v>1:8</x:v>
      </x:c>
      <x:c r="C74" s="53" t="str">
        <x:v>p 4</x:v>
      </x:c>
      <x:c r="D74" s="4"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x:v>
      </x:c>
      <x:c r="E74" s="53" t="str">
        <x:v>PAR</x:v>
      </x:c>
      <x:c r="F74" s="4" t="str">
        <x:v>Public Administration Review - 2010 - McGuire - What if Hurricane Katrina Hit in 2020 The Need for Strategic Management of (1).pdf</x:v>
      </x:c>
      <x:c r="G74" s="53" t="str">
        <x:v>Yes</x:v>
      </x:c>
      <x:c r="H74" s="59" t="n">
        <x:v>1</x:v>
      </x:c>
      <x:c r="I74" s="53" t="str">
        <x:v>anmol</x:v>
      </x:c>
      <x:c r="J74" s="4" t="str">
        <x:v>Target: Leadership, Target: Misclleanous (culture, communication norms, or inter-agency coordination), Unlearning</x:v>
      </x:c>
      <x:c r="K74" s="4" t="str">
        <x:v>It calls for abandoning or at least reforming top-down management for a more balanced and collborative networked approach.</x:v>
      </x:c>
      <x:c r="L74" s="4" t="str">
        <x:v>AnmolRationale_August12!row 61 (Latest Anmol August 12 re-evaluation)</x:v>
      </x:c>
      <x:c r="M74" s="4" t="str">
        <x:v>AnmolRationale_August12!row 61</x:v>
      </x:c>
      <x:c r="N74" s="53" t="str">
        <x:v>No</x:v>
      </x:c>
      <x:c r="O74" s="4" t="str"/>
      <x:c r="P74" s="53" t="str">
        <x:v>Exact annotation duplicate</x:v>
      </x:c>
      <x:c r="Q74" s="4" t="str">
        <x:v>Consolidated exact duplicate annotations from multiple sheets into one passage row.</x:v>
      </x:c>
      <x:c r="R74" s="4" t="str"/>
      <x:c r="S74" s="4" t="str">
        <x:v>AnmolRationale_August12!r61 (G036; anmol): Yes [SELECTED] | PAR_Anmol_June27!r7 (G036; anmol): Yes</x:v>
      </x:c>
      <x:c r="T74" s="4" t="str">
        <x:v>AnmolRationale_August12!r61[G036]; PAR_Anmol_June27!r7[G036]</x:v>
      </x:c>
      <x:c r="U74" s="34" t="str">
        <x:v>Clear — no codebook example passage retained</x:v>
      </x:c>
    </x:row>
    <x:row r="75" ht="68" customHeight="1">
      <x:c r="A75" s="48" t="str">
        <x:v>PAR-008</x:v>
      </x:c>
      <x:c r="B75" s="54" t="str">
        <x:v>1:9</x:v>
      </x:c>
      <x:c r="C75" s="54" t="str">
        <x:v>p 5</x:v>
      </x:c>
      <x:c r="D75" s="36" t="str">
        <x:v>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x:v>
      </x:c>
      <x:c r="E75" s="54" t="str">
        <x:v>PAR</x:v>
      </x:c>
      <x:c r="F75" s="36" t="str">
        <x:v>Public Administration Review - 2010 - McGuire - What if Hurricane Katrina Hit in 2020 The Need for Strategic Management of (1).pdf</x:v>
      </x:c>
      <x:c r="G75" s="54" t="str">
        <x:v>Yes</x:v>
      </x:c>
      <x:c r="H75" s="60" t="n">
        <x:v>1</x:v>
      </x:c>
      <x:c r="I75" s="54" t="str">
        <x:v>anmol</x:v>
      </x:c>
      <x:c r="J75" s="36" t="str">
        <x:v>Target: Capacity, Unlearning</x:v>
      </x:c>
      <x:c r="K75" s="36" t="str">
        <x:v>This points technology related unlearning. The earlier assumption that needs to be abandoned is that gis related tools is widley accessible and usable than before. Also, abandoning the assumption that externally oriented mgmt and networkign and collaboration is a soft skill.</x:v>
      </x:c>
      <x:c r="L75" s="36" t="str">
        <x:v>AnmolRationale_August12!row 62 (Latest Anmol August 12 re-evaluation)</x:v>
      </x:c>
      <x:c r="M75" s="36" t="str">
        <x:v>AnmolRationale_August12!row 62</x:v>
      </x:c>
      <x:c r="N75" s="54" t="str">
        <x:v>Yes</x:v>
      </x:c>
      <x:c r="O75" s="36" t="str">
        <x:v>Source span contains more than one paragraph; verify paragraph boundary.</x:v>
      </x:c>
      <x:c r="P75" s="54" t="str">
        <x:v>Exact annotation duplicate</x:v>
      </x:c>
      <x:c r="Q75" s="36" t="str">
        <x:v>Consolidated exact duplicate annotations from multiple sheets into one passage row.</x:v>
      </x:c>
      <x:c r="R75" s="36" t="str"/>
      <x:c r="S75" s="36" t="str">
        <x:v>AnmolRationale_August12!r62 (G037; anmol): Yes [SELECTED] | PAR_Anmol_June27!r8 (G037; anmol): Yes</x:v>
      </x:c>
      <x:c r="T75" s="36" t="str">
        <x:v>AnmolRationale_August12!r62[G037]; PAR_Anmol_June27!r8[G037]</x:v>
      </x:c>
      <x:c r="U75" s="37" t="str">
        <x:v>Clear — no codebook example passage retained</x:v>
      </x:c>
    </x:row>
  </x:sheetData>
  <x:mergeCells>
    <x:mergeCell ref="W1:AA1"/>
    <x:mergeCell ref="X9:AA10"/>
    <x:mergeCell ref="X11:AA12"/>
    <x:mergeCell ref="AC1:AG1"/>
    <x:mergeCell ref="W13:AG13"/>
  </x:mergeCells>
  <x:conditionalFormatting sqref="G2:G75">
    <x:cfRule type="expression" dxfId="0" priority="1">
      <x:formula>G2="Yes"</x:formula>
    </x:cfRule>
    <x:cfRule type="expression" dxfId="1" priority="2">
      <x:formula>G2="No"</x:formula>
    </x:cfRule>
  </x:conditionalFormatting>
  <x:conditionalFormatting sqref="N2:N75">
    <x:cfRule type="expression" dxfId="2" priority="3">
      <x:formula>N2="Yes"</x:formula>
    </x:cfRule>
  </x:conditionalFormatting>
  <x:conditionalFormatting sqref="I2:I75">
    <x:cfRule type="expression" dxfId="3" priority="4">
      <x:formula>I2=""</x:formula>
    </x:cfRule>
  </x:conditionalFormatting>
  <x:conditionalFormatting sqref="U2:U75">
    <x:cfRule type="expression" dxfId="4" priority="5">
      <x:formula>LEFT(U2,5)&lt;&gt;"Clear"</x:formula>
    </x:cfRule>
  </x:conditionalFormatting>
  <x:conditionalFormatting sqref="AB15:AB39">
    <x:cfRule type="expression" dxfId="5" priority="6">
      <x:formula>AB15="Codebook-example leakage"</x:formula>
    </x:cfRule>
    <x:cfRule type="expression" dxfId="6" priority="7">
      <x:formula>AB15="Parent-child duplicate"</x:formula>
    </x:cfRule>
    <x:cfRule type="expression" dxfId="7" priority="8">
      <x:formula>AB15="Non-paragraph artifact"</x:formula>
    </x:cfRule>
  </x:conditionalFormatting>
  <x:pageMargins left="0.7" right="0.7" top="0.75" bottom="0.75" header="0.3" footer="0.3"/>
  <x:tableParts count="2">
    <x:tablePart xmlns:r="http://schemas.openxmlformats.org/officeDocument/2006/relationships" r:id="R609f37d662f446e0"/>
    <x:tablePart xmlns:r="http://schemas.openxmlformats.org/officeDocument/2006/relationships" r:id="R84348c54b3834100"/>
  </x:tableParts>
</x:worksheet>
</file>

<file path=xl/worksheets/sheet2.xml><?xml version="1.0" encoding="utf-8"?>
<x:worksheet xmlns:x="http://schemas.openxmlformats.org/spreadsheetml/2006/main">
  <x:sheetFormatPr defaultRowHeight="15"/>
  <x:cols>
    <x:col min="1" max="1" width="24" hidden="0" customWidth="1"/>
    <x:col min="2" max="2" width="55" hidden="0" customWidth="1"/>
    <x:col min="3" max="3" width="46" hidden="0" customWidth="1"/>
    <x:col min="4" max="4" width="56" hidden="0" customWidth="1"/>
    <x:col min="5" max="5" width="53" hidden="0" customWidth="1"/>
    <x:col min="6" max="6" width="58" hidden="0" customWidth="1"/>
  </x:cols>
  <x:sheetData>
    <x:row r="1" ht="78" customHeight="1">
      <x:c r="A1" s="498" t="str">
        <x:v>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x:v>
      </x:c>
      <x:c r="B1" s="499"/>
      <x:c r="C1" s="499"/>
      <x:c r="D1" s="499"/>
      <x:c r="E1" s="499"/>
      <x:c r="F1" s="500"/>
    </x:row>
    <x:row r="2" ht="24" customHeight="1">
      <x:c r="A2" s="525" t="str">
        <x:v>Code</x:v>
      </x:c>
      <x:c r="B2" s="526" t="str">
        <x:v>Definition</x:v>
      </x:c>
      <x:c r="C2" s="526" t="str">
        <x:v>Detection Logic</x:v>
      </x:c>
      <x:c r="D2" s="526" t="str">
        <x:v>Examples</x:v>
      </x:c>
      <x:c r="E2" s="526" t="str">
        <x:v>Positive Clarification</x:v>
      </x:c>
      <x:c r="F2" s="527" t="str">
        <x:v>Negative Clarification</x:v>
      </x:c>
    </x:row>
    <x:row r="3" ht="24" customHeight="1">
      <x:c r="A3" s="555" t="str">
        <x:v>Step 1 -- Binary classification based on unlearning definition</x:v>
      </x:c>
      <x:c r="B3" s="556"/>
      <x:c r="C3" s="556"/>
      <x:c r="D3" s="556"/>
      <x:c r="E3" s="556"/>
      <x:c r="F3" s="557"/>
    </x:row>
    <x:row r="4" ht="170" customHeight="1">
      <x:c r="A4" s="593" t="str">
        <x:v>Unlearning (Yes/No)</x:v>
      </x:c>
      <x:c r="B4" s="595"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an adjustment.
</x:v>
      </x:c>
      <x:c r="C4" s="595" t="str">
        <x:v>Does the text explicitly identify a prior policy, assumption, practice, or technical system as inadequate or harmful — AND call for its removal, replacement, or fundamental rethinking?
If YES → code as Unlearning; proceed to Step 2.
If NO  → do not code; stop here.</x:v>
      </x:c>
      <x:c r="D4" s="595" t="str">
        <x:v>"[Keep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x:v>
      </x:c>
      <x:c r="E4" s="595"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596"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ht="24" customHeight="1">
      <x:c r="A5" s="555" t="str">
        <x:v>STEP 2 — TARGET OF UNLEARNING (assign one per passage)</x:v>
      </x:c>
      <x:c r="B5" s="597"/>
      <x:c r="C5" s="597"/>
      <x:c r="D5" s="597"/>
      <x:c r="E5" s="597"/>
      <x:c r="F5" s="598"/>
    </x:row>
    <x:row r="6" ht="105" customHeight="1">
      <x:c r="A6" s="593" t="str">
        <x:v>Target (Leadership)</x:v>
      </x:c>
      <x:c r="B6" s="595" t="str">
        <x:v>The text questions or redefines the role, authority, or responsibilities of a specific leadership position (e.g., DHS Secretary, FEMA Director, POTUS) in disaster management — not merely who occupies the role, but whether the role itself is fit for purpose.</x:v>
      </x:c>
      <x:c r="C6" s="595" t="str">
        <x:v>Does the text call for redefining or redistributing leadership authority — not just replacing the person in the role?</x:v>
      </x:c>
      <x:c r="D6" s="595"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595"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596"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ht="105" customHeight="1">
      <x:c r="A7" s="593" t="str">
        <x:v>Target (laws, plans and policies)</x:v>
      </x:c>
      <x:c r="B7" s="595" t="str">
        <x:v>The text calls for terminating, replacing, or fundamentally revising a law, regulation, plan, or formal policy that is now seen as harmful, unjust, or structurally inadequate.</x:v>
      </x:c>
      <x:c r="C7" s="595" t="str">
        <x:v>Does the text identify a specific law, plan, or policy as harmful or obsolete — and call for its elimination or replacement?</x:v>
      </x:c>
      <x:c r="D7" s="595" t="str">
        <x:v>"Removing statutory restrictions on DOD authority to activate Reserve units for catastrophic disaster relief."
 — GAO 
 (Existing statutory constraint identified as harmful; removal explicitly recommended.)</x:v>
      </x:c>
      <x:c r="E7" s="595"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596"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ht="105" customHeight="1">
      <x:c r="A8" s="593" t="str">
        <x:v>Target (capabilities)</x:v>
      </x:c>
      <x:c r="B8" s="595" t="str">
        <x:v>The text identifies a technical system — model, map, software, infrastructure, training protocol, or engineering standard, assessing damage, citizen service, communications, exercise  — as built on obsolete assumptions and calls for its recalibration or replacement.</x:v>
      </x:c>
      <x:c r="C8" s="595" t="str">
        <x:v>Does the text identify a specific technical system as misaligned with catastrophic or climate-amplified risk — and call for its revision or replacement?</x:v>
      </x:c>
      <x:c r="D8" s="595"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595"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596"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ht="105" customHeight="1">
      <x:c r="A9" s="593" t="str">
        <x:v>Target (funds and resource allocation)</x:v>
      </x:c>
      <x:c r="B9" s="595" t="str">
        <x:v>The text calls for changing how disaster funds are allocated, distributed, or governed — not merely requesting more funding, but questioning the rules or structures that govern resource flow.</x:v>
      </x:c>
      <x:c r="C9" s="595" t="str">
        <x:v>Does the text identify the existing funds management structure as inadequate — and call for changing how resources are allocated or governed?</x:v>
      </x:c>
      <x:c r="D9" s="595"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595" t="str">
        <x:v>Code when the text:
 • Calls for changing the rules, structures, or authorities governing funds distribution.
 • Identifies an existing allocation logic as a source of inequity or failure.
 • Proposes dismantling or replacing a resource governance mechanism.</x:v>
      </x:c>
      <x:c r="F9" s="596"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ht="105" customHeight="1">
      <x:c r="A10" s="593" t="str">
        <x:v>Target (misclleanous) organizational culture, communication norms, or inter-agency coordination logics, role of stakehodlers not captured above</x:v>
      </x:c>
      <x:c r="B10" s="595" t="str">
        <x:v>The text calls for unlearning in a domain not captured above — such as inter-agency coordination norms, communication protocols, or organisational culture — where a specific prior assumption or practice is explicitly rejected.</x:v>
      </x:c>
      <x:c r="C10" s="595" t="str">
        <x:v>Does the text call for discarding a prior assumption or practice in a domain not covered by the four targets above?</x:v>
      </x:c>
      <x:c r="D10" s="595" t="str">
        <x:v>Use sparingly. Flag for team discussion if used more than 10% of coded passages.</x:v>
      </x:c>
      <x:c r="E10" s="595" t="str">
        <x:v>Code when the text:
 • Explicitly rejects a prior norm or practice in coordination, culture, or communication.
 • Cannot reasonably be assigned to any of the four primary targets.</x:v>
      </x:c>
      <x:c r="F10" s="596" t="str">
        <x:v>DO NOT use as a default catch-all. If the passage is ambiguous across targets, assign the closest primary target and note the ambiguity. Reserve this code for genuinely novel domains.
 Flag all uses of this code for inter-coder discussion.</x:v>
      </x:c>
    </x:row>
    <x:row r="11" ht="24" customHeight="1">
      <x:c r="A11" s="555" t="str">
        <x:v>STEP 3 — STAKEHOLDER / AGENCY (assign one per passage)</x:v>
      </x:c>
      <x:c r="B11" s="597"/>
      <x:c r="C11" s="597"/>
      <x:c r="D11" s="597"/>
      <x:c r="E11" s="597"/>
      <x:c r="F11" s="598"/>
    </x:row>
    <x:row r="12" ht="105" customHeight="1">
      <x:c r="A12" s="593" t="str">
        <x:v>Government Agency</x:v>
      </x:c>
      <x:c r="B12" s="595" t="str">
        <x:v>The specific federal agency, sub-unit, or institutional actor identified in the passage as the subject of unlearning — i.e., the entity whose prior assumption or practice is being rejected.</x:v>
      </x:c>
      <x:c r="C12" s="595" t="str">
        <x:v>Does the text name a specific agency, office, or sub-unit as the actor whose prior practice must change?</x:v>
      </x:c>
      <x:c r="D12" s="595" t="str">
        <x:v>"[O]ther factors such as leadership and resources may be more important to FEMA future success than organizational placement."
 — GAO
 (FEMA named as the agency whose organisational logic is under scrutiny.)</x:v>
      </x:c>
      <x:c r="E12" s="595" t="str">
        <x:v>Code when the text:
 • Names a specific government agency, office, or legal mechanism as the subject of change.
 • Code at the most specific level mentioned (e.g., 'FEMA Operations Division', not just 'FEMA').</x:v>
      </x:c>
      <x:c r="F12" s="596" t="str">
        <x:v>DO NOT code the agency calling for change (e.g., GAO recommending FEMA reform) — code only the agency whose practices are the object of unlearning.</x:v>
      </x:c>
    </x:row>
    <x:row r="13" ht="24" customHeight="1">
      <x:c r="A13" s="555" t="str">
        <x:v>CODING PROCEDURE &amp; UNIT OF ANALYSIS</x:v>
      </x:c>
      <x:c r="B13" s="597"/>
      <x:c r="C13" s="597"/>
      <x:c r="D13" s="597"/>
      <x:c r="E13" s="597"/>
      <x:c r="F13" s="598"/>
    </x:row>
    <x:row r="14" ht="65" customHeight="1">
      <x:c r="A14" s="591" t="str">
        <x:v>Unit of Analysis</x:v>
      </x:c>
      <x:c r="B14" s="599" t="str">
        <x:v>Code at the paragraph level. Do not split a paragraph across multiple codes.</x:v>
      </x:c>
      <x:c r="C14" s="599" t="str">
        <x:v>Does the paragraph as a whole constitute an instance of unlearning?</x:v>
      </x:c>
      <x:c r="D14" s="599" t="str">
        <x:v>If a paragraph contains both diagnostic language and a call for change, code the paragraph as Unlearning (Yes).</x:v>
      </x:c>
      <x:c r="E14" s="599" t="str">
        <x:v>Code the entire paragraph — do not extract individual sentences.</x:v>
      </x:c>
      <x:c r="F14" s="600" t="str">
        <x:v>If the paragraph only diagnoses a problem without calling for change, do NOT code as unlearning.</x:v>
      </x:c>
    </x:row>
    <x:row r="15" ht="65" customHeight="1">
      <x:c r="A15" s="591" t="str">
        <x:v>ICA Protocol</x:v>
      </x:c>
      <x:c r="B15" s="599" t="str">
        <x:v>Each coder assigns: (1) Unlearning Yes/No, (2) Target, (3) Agency. Disagreements on any dimension are flagged and resolved by majority or adjudication.</x:v>
      </x:c>
      <x:c r="C15" s="599" t="str">
        <x:v>—</x:v>
      </x:c>
      <x:c r="D15" s="599" t="str">
        <x:v>Target: Miscellaneous and boundary-case passages should be flagged for team discussion before finalising.</x:v>
      </x:c>
      <x:c r="E15" s="599" t="str">
        <x:v>Record all disagreements and resolutions in the ICA log.</x:v>
      </x:c>
      <x:c r="F15" s="600" t="str">
        <x:v>Do not adjudicate privately — all boundary cases go to the full team.</x:v>
      </x:c>
    </x:row>
    <x:row r="16" ht="24" customHeight="1">
      <x:c r="A16" s="555" t="str">
        <x:v>Revised codebook — Pillars replaced by Targets | Depth &amp; Nature dimensions removed | Paragraph-level coding | Boundary cases flagged for team adjudication</x:v>
      </x:c>
      <x:c r="B16" s="556"/>
      <x:c r="C16" s="556"/>
      <x:c r="D16" s="556"/>
      <x:c r="E16" s="556"/>
      <x:c r="F16" s="557"/>
    </x:row>
  </x:sheetData>
  <x:mergeCells>
    <x:mergeCell ref="A1:F1"/>
    <x:mergeCell ref="A3:F3"/>
    <x:mergeCell ref="A5:F5"/>
    <x:mergeCell ref="A11:F11"/>
    <x:mergeCell ref="A13:F13"/>
    <x:mergeCell ref="A16:F16"/>
  </x:mergeCells>
  <x:pageMargins left="0.7" right="0.7" top="0.75" bottom="0.75" header="0.3" footer="0.3"/>
</x:worksheet>
</file>
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32E6D452-1D28-455B-81BE-5ECE26F1E5A1}" xr6:coauthVersionLast="47" xr6:coauthVersionMax="47" xr10:uidLastSave="{00000000-0000-0000-0000-000000000000}"/>
  <bookViews>
    <workbookView xWindow="-110" yWindow="-110" windowWidth="22780" windowHeight="14540" activeTab="1" xr2:uid="{00000000-000D-0000-FFFF-FFFF00000000}"/>
  </bookViews>
  <sheets>
    <sheet name="GPT Test" sheetId="1" r:id="rId1"/>
    <sheet name="Codebook (revise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3" i="1" l="1"/>
  <c r="AI13" i="1"/>
  <c r="AH13" i="1"/>
  <c r="AJ12" i="1"/>
  <c r="AI12" i="1"/>
  <c r="AH12" i="1"/>
  <c r="AJ11" i="1"/>
  <c r="AI11" i="1"/>
  <c r="AH11" i="1"/>
  <c r="AD11" i="1"/>
  <c r="AD10" i="1"/>
  <c r="AD9" i="1"/>
  <c r="AD8" i="1"/>
  <c r="AN7" i="1"/>
  <c r="AM7" i="1"/>
  <c r="AL7" i="1"/>
  <c r="AK7" i="1"/>
  <c r="AJ7" i="1"/>
  <c r="AI7" i="1"/>
  <c r="AH7" i="1"/>
  <c r="AD7" i="1"/>
  <c r="AN6" i="1"/>
  <c r="AM6" i="1"/>
  <c r="AL6" i="1"/>
  <c r="AK6" i="1"/>
  <c r="AJ6" i="1"/>
  <c r="AI6" i="1"/>
  <c r="AH6" i="1"/>
  <c r="AD6" i="1"/>
  <c r="AN5" i="1"/>
  <c r="AM5" i="1"/>
  <c r="AL5" i="1"/>
  <c r="AK5" i="1"/>
  <c r="AJ5" i="1"/>
  <c r="AI5" i="1"/>
  <c r="AH5" i="1"/>
  <c r="AD5" i="1"/>
  <c r="AN4" i="1"/>
  <c r="AM4" i="1"/>
  <c r="AL4" i="1"/>
  <c r="AK4" i="1"/>
  <c r="AJ4" i="1"/>
  <c r="AI4" i="1"/>
  <c r="AH4" i="1"/>
  <c r="AD4" i="1"/>
  <c r="AN3" i="1"/>
  <c r="AM3" i="1"/>
  <c r="AL3" i="1"/>
  <c r="AK3" i="1"/>
  <c r="AJ3" i="1"/>
  <c r="AI3" i="1"/>
  <c r="AH3" i="1"/>
  <c r="AD3" i="1"/>
  <c r="AD2" i="1"/>
</calcChain>
</file>

<file path=xl/sharedStrings.xml><?xml version="1.0" encoding="utf-8"?>
<sst xmlns="http://schemas.openxmlformats.org/spreadsheetml/2006/main" count="2173" uniqueCount="1035">
  <si>
    <t>Passage_ID</t>
  </si>
  <si>
    <t>Original_Number</t>
  </si>
  <si>
    <t>Reference</t>
  </si>
  <si>
    <t>Text_Content</t>
  </si>
  <si>
    <t>Document</t>
  </si>
  <si>
    <t>Source_File</t>
  </si>
  <si>
    <t>old_gold_unlearning</t>
  </si>
  <si>
    <t>old_gold_binary</t>
  </si>
  <si>
    <t>new_gold_unlearning</t>
  </si>
  <si>
    <t>new_gold_binary</t>
  </si>
  <si>
    <t>anmol_unlearning</t>
  </si>
  <si>
    <t>prerana_unlearning</t>
  </si>
  <si>
    <t>kyle_unlearning</t>
  </si>
  <si>
    <t>Original_Labeler</t>
  </si>
  <si>
    <t>Selected_Codes</t>
  </si>
  <si>
    <t>Adjudication_Rationale</t>
  </si>
  <si>
    <t>Latest_Label_Source</t>
  </si>
  <si>
    <t>Rationale_Source</t>
  </si>
  <si>
    <t>Review_Flag</t>
  </si>
  <si>
    <t>Review_Issue</t>
  </si>
  <si>
    <t>Gold_Change</t>
  </si>
  <si>
    <t>Duplicate_Type</t>
  </si>
  <si>
    <t>Dedup_Action</t>
  </si>
  <si>
    <t>Text_Cleaning_Notes</t>
  </si>
  <si>
    <t>Label_History</t>
  </si>
  <si>
    <t>Source_Records</t>
  </si>
  <si>
    <t>Leakage_Check</t>
  </si>
  <si>
    <t>Curation Summary</t>
  </si>
  <si>
    <t>Included Passages by Document</t>
  </si>
  <si>
    <t>ERP-001</t>
  </si>
  <si>
    <t>2:1</t>
  </si>
  <si>
    <t>p 6</t>
  </si>
  <si>
    <t>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t>
  </si>
  <si>
    <t>ERP Report</t>
  </si>
  <si>
    <t>erpreport.pdf</t>
  </si>
  <si>
    <t>Yes</t>
  </si>
  <si>
    <t>anmol</t>
  </si>
  <si>
    <t>Nature: Technical Nature, Pillar: Realignment (Technical), Unlearning</t>
  </si>
  <si>
    <t>It identifies an engineering problem and implicitly calls for armouring and a change in construction practice.</t>
  </si>
  <si>
    <t>AnmolRationale_August12!row 26 (Latest Anmol August 12 re-evaluation)</t>
  </si>
  <si>
    <t>AnmolRationale_August12!row 26</t>
  </si>
  <si>
    <t>Multiple labelers (anmol, kyle); exact-duplicate priority yields anmol.</t>
  </si>
  <si>
    <t>Exact annotation duplicate</t>
  </si>
  <si>
    <t>Consolidated exact duplicate annotations from multiple sheets into one passage row.</t>
  </si>
  <si>
    <t>AnmolRationale_August12!r26 (G044; anmol): Yes [SELECTED] | ICAResults_25April2026!r55 (G044; kyle): Yes | RationaleSheet_April20_v1!r30 (G044; kyle): Yes</t>
  </si>
  <si>
    <t>AnmolRationale_August12!r26[G044]; ICAResults_25April2026!r55[G044]; RationaleSheet_April20_v1!r30[G044]</t>
  </si>
  <si>
    <t>Clear — no codebook example passage retained</t>
  </si>
  <si>
    <t>Included passages</t>
  </si>
  <si>
    <t>Unique included rows after curation</t>
  </si>
  <si>
    <t>Included</t>
  </si>
  <si>
    <t>Old Yes</t>
  </si>
  <si>
    <t>Old No</t>
  </si>
  <si>
    <t>New Yes</t>
  </si>
  <si>
    <t>New No</t>
  </si>
  <si>
    <t>Review Flags</t>
  </si>
  <si>
    <t>Gold Changes</t>
  </si>
  <si>
    <t>ERP-002</t>
  </si>
  <si>
    <t>2:2</t>
  </si>
  <si>
    <t>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t>
  </si>
  <si>
    <t>Depth: High depth, Nature: Technical Nature, Pillar: Realignment (Technical), Unlearning</t>
  </si>
  <si>
    <t>It identifies an engineering problem and calls for an inter-connected system.</t>
  </si>
  <si>
    <t>AnmolRationale_August12!row 27 (Latest Anmol August 12 re-evaluation)</t>
  </si>
  <si>
    <t>AnmolRationale_August12!row 27</t>
  </si>
  <si>
    <t>AnmolRationale_August12!r27 (G045; anmol): Yes [SELECTED] | ICAResults_25April2026!r56 (G045; kyle): Yes | RationaleSheet_April20_v1!r31 (G045; kyle): Yes</t>
  </si>
  <si>
    <t>AnmolRationale_August12!r27[G045]; ICAResults_25April2026!r56[G045]; RationaleSheet_April20_v1!r31[G045]</t>
  </si>
  <si>
    <t>Old Gold Yes</t>
  </si>
  <si>
    <t>Prior curated gold labels</t>
  </si>
  <si>
    <t>ERP-003</t>
  </si>
  <si>
    <t>2:3</t>
  </si>
  <si>
    <t>p 7</t>
  </si>
  <si>
    <t>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t>
  </si>
  <si>
    <t>Depth: Moderate depth, Nature: Normative Nature, Pillar: Discarding (Normative), Unlearning</t>
  </si>
  <si>
    <t>it identifies inter-agency coordination as a problem and implicitly calls for change.</t>
  </si>
  <si>
    <t>AnmolRationale_August12!row 28 (Latest Anmol August 12 re-evaluation)</t>
  </si>
  <si>
    <t>AnmolRationale_August12!row 28</t>
  </si>
  <si>
    <t>AnmolRationale_August12!r28 (G048; anmol): Yes [SELECTED] | ICAResults_25April2026!r57 (G048; kyle): Yes | RationaleSheet_April20_v1!r32 (G048; kyle): Yes</t>
  </si>
  <si>
    <t>AnmolRationale_August12!r28[G048]; ICAResults_25April2026!r57[G048]; RationaleSheet_April20_v1!r32[G048]</t>
  </si>
  <si>
    <t>Old Gold No</t>
  </si>
  <si>
    <t>Newly added EPA passages are No in old gold</t>
  </si>
  <si>
    <t>GAO</t>
  </si>
  <si>
    <t>ERP-004</t>
  </si>
  <si>
    <t>2:4</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</si>
  <si>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</si>
  <si>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Depth: Moderate depth, Pillar: Reconsidering (Epistemic), Unlearning</t>
  </si>
  <si>
    <t>It identifies clear problems in project development and cost-cutting and implicitly calls for a fundamental change in the approach.</t>
  </si>
  <si>
    <t>AnmolRationale_August12!row 29 (Latest Anmol August 12 re-evaluation)</t>
  </si>
  <si>
    <t>AnmolRationale_August12!row 29</t>
  </si>
  <si>
    <t>Near/exact text variant</t>
  </si>
  <si>
    <t>Consolidated equivalent text groups G038, G052; retained cleaner representative G038. Also consolidated repeated annotations across source sheets.</t>
  </si>
  <si>
    <t>AnmolRationale_August12!r29 (G038; anmol): Yes [SELECTED] | ICAResults_25April2026!r58 (G052; kyle): Yes | RationaleSheet_April20_v1!r33 (G052; kyle): Yes</t>
  </si>
  <si>
    <t>AnmolRationale_August12!r29[G038]; ICAResults_25April2026!r58[G052]; RationaleSheet_April20_v1!r33[G052]</t>
  </si>
  <si>
    <t>New Gold Yes</t>
  </si>
  <si>
    <t>Latest labels with anmol &gt; prerana &gt; kyle</t>
  </si>
  <si>
    <t>EPA</t>
  </si>
  <si>
    <t>ERP-005</t>
  </si>
  <si>
    <t>2:5</t>
  </si>
  <si>
    <t>The design of the New Orleans hurricane protection system was not subject to the rigorous external review by senior experts that is often conducted for similar life-safety structures and systems.</t>
  </si>
  <si>
    <t>Depth: High depth, Nature: Normative Nature, Pillar: Reconsidering (Epistemic), Unlearning</t>
  </si>
  <si>
    <t>It identifies review mechanism as problemtaic and implicitly calls for external review system</t>
  </si>
  <si>
    <t>AnmolRationale_August12!row 30 (Latest Anmol August 12 re-evaluation)</t>
  </si>
  <si>
    <t>AnmolRationale_August12!row 30</t>
  </si>
  <si>
    <t>AnmolRationale_August12!r30 (G049; anmol): Yes [SELECTED] | ICAResults_25April2026!r59 (G049; kyle): Yes | RationaleSheet_April20_v1!r34 (G049; kyle): Yes</t>
  </si>
  <si>
    <t>AnmolRationale_August12!r30[G049]; ICAResults_25April2026!r59[G049]; RationaleSheet_April20_v1!r34[G049]</t>
  </si>
  <si>
    <t>New Gold No</t>
  </si>
  <si>
    <t>Hurricane Katrina</t>
  </si>
  <si>
    <t>ERP-006</t>
  </si>
  <si>
    <t>2:7</t>
  </si>
  <si>
    <t>Quantify and periodically update the assessment of risk. This approach should be extended to all areas in the United States that are vulnerable to major losses from hurricanes and flooding.</t>
  </si>
  <si>
    <t>No</t>
  </si>
  <si>
    <t>Depth: Low depth, Nature: Technical Nature, Pillar: Realignment (Technical), Unlearning</t>
  </si>
  <si>
    <t>not unlearning. Its not about fundamental rethingk or abandongin,b ut more of updating and extending.</t>
  </si>
  <si>
    <t>AnmolRationale_August12!row 32 (Latest Anmol August 12 re-evaluation)</t>
  </si>
  <si>
    <t>AnmolRationale_August12!row 32</t>
  </si>
  <si>
    <t>Conflicting historical binary labels (No/Yes); final label follows AnmolRationale_August12!row 32. Multiple labelers (anmol, kyle); exact-duplicate priority yields anmol. Latest rationale overrides stale code field (Yes in Codes vs No final).</t>
  </si>
  <si>
    <t>AnmolRationale_August12!r32 (G051; anmol): No [SELECTED] | ICAResults_25April2026!r61 (G051; kyle): Yes | RationaleSheet_April20_v1!r36 (G051; kyle): Yes</t>
  </si>
  <si>
    <t>AnmolRationale_August12!r32[G051]; ICAResults_25April2026!r61[G051]; RationaleSheet_April20_v1!r36[G051]</t>
  </si>
  <si>
    <t>Gold labels changed</t>
  </si>
  <si>
    <t>9 existing EPA Yes→No changes plus 1 new EPA No→Yes passage</t>
  </si>
  <si>
    <t>PAR</t>
  </si>
  <si>
    <t>ERP-007</t>
  </si>
  <si>
    <t>2:8</t>
  </si>
  <si>
    <t>pp 7-8</t>
  </si>
  <si>
    <t>Determine the level of acceptable risk in the community through quality interactive public risk communication programs in New
Orleans and other areas threatened by hurricanes and flooding.
Once determined, manage the risks accordingly.</t>
  </si>
  <si>
    <t>Depth: Moderate depth, Nature: Normative Nature, Pillar: Merging (Integrative), Unlearning</t>
  </si>
  <si>
    <t>Not unlearnign. This is a generic statement and doesnt identify what was broken and needs to be rethought.</t>
  </si>
  <si>
    <t>AnmolRationale_August12!row 33 (Latest Anmol August 12 re-evaluation)</t>
  </si>
  <si>
    <t>AnmolRationale_August12!row 33</t>
  </si>
  <si>
    <t>Conflicting historical binary labels (No/Yes); final label follows AnmolRationale_August12!row 33. Multiple labelers (anmol, kyle); exact-duplicate priority yields anmol. Latest rationale overrides stale code field (Yes in Codes vs No final).</t>
  </si>
  <si>
    <t>Consolidated equivalent text groups G039, G042; retained cleaner representative G039. Also consolidated repeated annotations across source sheets.</t>
  </si>
  <si>
    <t>AnmolRationale_August12!r33 (G039; anmol): No [SELECTED] | ICAResults_25April2026!r62 (G042; kyle): Yes | RationaleSheet_April20_v1!r37 (G042; kyle): Yes</t>
  </si>
  <si>
    <t>AnmolRationale_August12!r33[G039]; ICAResults_25April2026!r62[G042]; RationaleSheet_April20_v1!r37[G042]</t>
  </si>
  <si>
    <t>Manual-review flags</t>
  </si>
  <si>
    <t>Rows needing label/text/dedup review</t>
  </si>
  <si>
    <t>ERP-008</t>
  </si>
  <si>
    <t>2:9</t>
  </si>
  <si>
    <t>p 8</t>
  </si>
  <si>
    <t>Correct the system’s deficiencies by establishing mechanisms to incorporate changing information, making the levees survivable if overtopped, strengthening the I-walls and levees, and upgrading the pumping stations</t>
  </si>
  <si>
    <t>Depth: Moderate depth, Nature: Technical Nature, Pillar: Realignment (Technical), Unlearning</t>
  </si>
  <si>
    <t>This is not unlearning. It speaks to upgrades and coorective measures, not fundamental rethink.</t>
  </si>
  <si>
    <t>AnmolRationale_August12!row 34 (Latest Anmol August 12 re-evaluation)</t>
  </si>
  <si>
    <t>AnmolRationale_August12!row 34</t>
  </si>
  <si>
    <t>Conflicting historical binary labels (No/Yes); final label follows AnmolRationale_August12!row 34. Multiple labelers (anmol, kyle); exact-duplicate priority yields anmol. Latest rationale overrides stale code field (Yes in Codes vs No final).</t>
  </si>
  <si>
    <t>AnmolRationale_August12!r34 (G059; anmol): No [SELECTED] | ICAResults_25April2026!r63 (G059; kyle): Yes | RationaleSheet_April20_v1!r38 (G059; kyle): Yes</t>
  </si>
  <si>
    <t>AnmolRationale_August12!r34[G059]; ICAResults_25April2026!r63[G059]; RationaleSheet_April20_v1!r38[G059]</t>
  </si>
  <si>
    <t>Missing original labeler</t>
  </si>
  <si>
    <t>Findings-only rows; no labeler invented</t>
  </si>
  <si>
    <t>Latest Coder-Specific Labels</t>
  </si>
  <si>
    <t>ERP-009</t>
  </si>
  <si>
    <t>2:10</t>
  </si>
  <si>
    <t>Assign to a single entity or individual (a licensed engineer) the responsibility of managing critical hurricane and flood protection systems such as the one in New Orleans.</t>
  </si>
  <si>
    <t>Depth: Moderate depth, Nature: Normative Nature, Pillar: Realignment (Technical), Unlearning</t>
  </si>
  <si>
    <t>This is unlearning. It doesnt identify a clear problem, but calls for fundamental rethink by assigning a single entity responsible managing criticl huyrricane.</t>
  </si>
  <si>
    <t>AnmolRationale_August12!row 35 (Latest Anmol August 12 re-evaluation)</t>
  </si>
  <si>
    <t>AnmolRationale_August12!row 35</t>
  </si>
  <si>
    <t>AnmolRationale_August12!r35 (G060; anmol): Yes [SELECTED] | ICAResults_25April2026!r64 (G060; kyle): Yes | RationaleSheet_April20_v1!r39 (G060; kyle): Yes</t>
  </si>
  <si>
    <t>AnmolRationale_August12!r35[G060]; ICAResults_25April2026!r64[G060]; RationaleSheet_April20_v1!r39[G060]</t>
  </si>
  <si>
    <t>Excluded passage groups</t>
  </si>
  <si>
    <t>Duplicate/leakage/non-paragraph exclusions</t>
  </si>
  <si>
    <t>Labeler</t>
  </si>
  <si>
    <t>Labeled rows</t>
  </si>
  <si>
    <t>ERP-010</t>
  </si>
  <si>
    <t>2:11</t>
  </si>
  <si>
    <t>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t>
  </si>
  <si>
    <t>Depth: Low depth, Nature: Technical Nature, Pillar: Merging (Integrative), Unlearning</t>
  </si>
  <si>
    <t>This is not unlearnign. It doesnt exolicitly identify a clear problem and asks for more additive changes related to upgrading.</t>
  </si>
  <si>
    <t>AnmolRationale_August12!row 36 (Latest Anmol August 12 re-evaluation)</t>
  </si>
  <si>
    <t>AnmolRationale_August12!row 36</t>
  </si>
  <si>
    <t>Conflicting historical binary labels (No/Yes); final label follows AnmolRationale_August12!row 36. Multiple labelers (anmol, kyle); exact-duplicate priority yields anmol. Latest rationale overrides stale code field (Yes in Codes vs No final).</t>
  </si>
  <si>
    <t>AnmolRationale_August12!r36 (G061; anmol): No [SELECTED] | ICAResults_25April2026!r65 (G061; kyle): Yes | RationaleSheet_April20_v1!r40 (G061; kyle): Yes</t>
  </si>
  <si>
    <t>AnmolRationale_August12!r36[G061]; ICAResults_25April2026!r65[G061]; RationaleSheet_April20_v1!r40[G061]</t>
  </si>
  <si>
    <t>New EPA passages</t>
  </si>
  <si>
    <t>Both old-gold No; latest P4=No and P5=Yes</t>
  </si>
  <si>
    <t>ERP-011</t>
  </si>
  <si>
    <t>2:12</t>
  </si>
  <si>
    <t>Engage independent experts in high-level reviews of all critical life
safety structures, including hurricane and flood-protection systems.</t>
  </si>
  <si>
    <t>This is unlearning. It doesn't identify the clear problem explicitly, but I can surmise that independent experts weren't part of the review, and it calls for a new approach where they are engaged.</t>
  </si>
  <si>
    <t>AnmolRationale_August12!row 37 (Latest Anmol August 12 re-evaluation)</t>
  </si>
  <si>
    <t>AnmolRationale_August12!row 37</t>
  </si>
  <si>
    <t>AnmolRationale_August12!r37 (G062; anmol): Yes [SELECTED] | ICAResults_25April2026!r66 (G062; kyle): Yes | RationaleSheet_April20_v1!r41 (G062; kyle): Yes</t>
  </si>
  <si>
    <t>AnmolRationale_August12!r37[G062]; ICAResults_25April2026!r66[G062]; RationaleSheet_April20_v1!r41[G062]</t>
  </si>
  <si>
    <t>prerana</t>
  </si>
  <si>
    <t>ERP-012</t>
  </si>
  <si>
    <t>2:19</t>
  </si>
  <si>
    <t>p 56</t>
  </si>
  <si>
    <t>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t>
  </si>
  <si>
    <t>Depth: Moderate depth, Nature: Technical Nature, Pillar: Realignment (Technical), Stakeholder: USACE, Unlearning</t>
  </si>
  <si>
    <t>This identifies a engineering flaw in soil strength estimation and calls for adopting more conservative estimates.</t>
  </si>
  <si>
    <t>AnmolRationale_August12!row 44 (Latest Anmol August 12 re-evaluation)</t>
  </si>
  <si>
    <t>AnmolRationale_August12!row 44</t>
  </si>
  <si>
    <t>Multiple labelers (anmol, kyle); exact-duplicate priority yields anmol. Source span contains two paragraphs; verify paragraph boundary.</t>
  </si>
  <si>
    <t>AnmolRationale_August12!r44 (G043; anmol): Yes [SELECTED] | ICAResults_25April2026!r73 (G043; kyle): Yes | RationaleSheet_April20_v1!r48 (G043; kyle): Yes</t>
  </si>
  <si>
    <t>AnmolRationale_August12!r44[G043]; ICAResults_25April2026!r73[G043]; RationaleSheet_April20_v1!r48[G043]</t>
  </si>
  <si>
    <t>kyle</t>
  </si>
  <si>
    <t>ERP-013</t>
  </si>
  <si>
    <t>2:20</t>
  </si>
  <si>
    <t>p 67</t>
  </si>
  <si>
    <t>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t>
  </si>
  <si>
    <t>Depth: Moderate depth, Nature: Technical Nature, Pillar: Realignment (Technical), Stakeholder: Miscelleanous, Stakeholder: USACE, Unlearning</t>
  </si>
  <si>
    <t>It identifies the design, location and role of pump stations as a findamental problem and implicitly calls for them to be redesigned to play a larger role lowering floodwater.</t>
  </si>
  <si>
    <t>AnmolRationale_August12!row 45 (Latest Anmol August 12 re-evaluation)</t>
  </si>
  <si>
    <t>AnmolRationale_August12!row 45</t>
  </si>
  <si>
    <t>AnmolRationale_August12!r45 (G046; anmol): Yes [SELECTED] | ICAResults_25April2026!r74 (G046; kyle): Yes | RationaleSheet_April20_v1!r49 (G046; kyle): Yes</t>
  </si>
  <si>
    <t>AnmolRationale_August12!r45[G046]; ICAResults_25April2026!r74[G046]; RationaleSheet_April20_v1!r49[G046]</t>
  </si>
  <si>
    <t>Decision rule: old_gold_unlearning preserves the prior curated target. new_gold_unlearning uses each coder's latest judgment with priority anmol &gt; prerana &gt; kyle. The three *_unlearning coder columns are Yes/No, with blanks meaning that coder did not label the retained passage. For coder-specific accuracy, score only rows where that coder's column is nonblank. Prerana's EPA annotations 1:6–1:19 are all No in her latest column; EPA-Re:P4 is No and EPA-Re:P5 is Yes but flagged as a weak/internal-consistency boundary case.</t>
  </si>
  <si>
    <t>ERP-014</t>
  </si>
  <si>
    <t>2:21</t>
  </si>
  <si>
    <t>p 68</t>
  </si>
  <si>
    <t>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t>
  </si>
  <si>
    <t>Depth: Moderate depth, Nature: Technical Nature, Pillar: Realignment (Technical), Stakeholder: Miscelleanous, Unlearning</t>
  </si>
  <si>
    <t>This idenfiies a clear flaw in the design of pump stations wherein there is no reverse flow mechanism and calls for redesign.</t>
  </si>
  <si>
    <t>AnmolRationale_August12!row 46 (Latest Anmol August 12 re-evaluation)</t>
  </si>
  <si>
    <t>AnmolRationale_August12!row 46</t>
  </si>
  <si>
    <t>AnmolRationale_August12!r46 (G047; anmol): Yes [SELECTED] | ICAResults_25April2026!r75 (G047; kyle): Yes | RationaleSheet_April20_v1!r50 (G047; kyle): Yes</t>
  </si>
  <si>
    <t>AnmolRationale_August12!r46[G047]; ICAResults_25April2026!r75[G047]; RationaleSheet_April20_v1!r50[G047]</t>
  </si>
  <si>
    <t>EPA Re-evaluation Audit — Prerana Latest Labels</t>
  </si>
  <si>
    <t>ERP-015</t>
  </si>
  <si>
    <t>2:22</t>
  </si>
  <si>
    <t>p 70</t>
  </si>
  <si>
    <t>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t>
  </si>
  <si>
    <t>Depth: High depth, Pillar: Merging (Integrative), Pillar: Realignment (Technical), Stakeholder: Miscelleanous, Unlearning</t>
  </si>
  <si>
    <t>This identifies a clear flaw in reisk estimation related to loss of life and asks for a rethink in estimates.</t>
  </si>
  <si>
    <t>AnmolRationale_August12!row 47 (Latest Anmol August 12 re-evaluation)</t>
  </si>
  <si>
    <t>AnmolRationale_August12!row 47</t>
  </si>
  <si>
    <t>AnmolRationale_August12!r47 (G053; anmol): Yes [SELECTED] | ICAResults_25April2026!r76 (G053; kyle): Yes | RationaleSheet_April20_v1!r51 (G053; kyle): Yes</t>
  </si>
  <si>
    <t>AnmolRationale_August12!r47[G053]; ICAResults_25April2026!r76[G053]; RationaleSheet_April20_v1!r51[G053]</t>
  </si>
  <si>
    <t>Source_Annotation</t>
  </si>
  <si>
    <t>Source_Row</t>
  </si>
  <si>
    <t>Kept_Passage_ID</t>
  </si>
  <si>
    <t>Previous_Prerana</t>
  </si>
  <si>
    <t>Latest_Prerana</t>
  </si>
  <si>
    <t>Verification_Note</t>
  </si>
  <si>
    <t>ERP-016</t>
  </si>
  <si>
    <t>2:23</t>
  </si>
  <si>
    <t>p 71</t>
  </si>
  <si>
    <t>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t>
  </si>
  <si>
    <t>Depth: High depth, Nature: Technical Nature, Pillar: Realignment (Technical), Stakeholder: Miscelleanous, Unlearning</t>
  </si>
  <si>
    <t>Not unlearning. There is no clear policy failure and fundamental change being suggested.</t>
  </si>
  <si>
    <t>AnmolRationale_August12!row 48 (Latest Anmol August 12 re-evaluation)</t>
  </si>
  <si>
    <t>AnmolRationale_August12!row 48</t>
  </si>
  <si>
    <t>Conflicting historical binary labels (No/Yes); final label follows AnmolRationale_August12!row 48. Multiple labelers (anmol, kyle); exact-duplicate priority yields anmol. Latest rationale overrides stale code field (Yes in Codes vs No final).</t>
  </si>
  <si>
    <t>AnmolRationale_August12!r48 (G054; anmol): No [SELECTED] | ICAResults_25April2026!r77 (G054; kyle): Yes | RationaleSheet_April20_v1!r52 (G054; kyle): Yes</t>
  </si>
  <si>
    <t>AnmolRationale_August12!r48[G054]; ICAResults_25April2026!r77[G054]; RationaleSheet_April20_v1!r52[G054]</t>
  </si>
  <si>
    <t>1:6</t>
  </si>
  <si>
    <t>EPA-002</t>
  </si>
  <si>
    <t>Yes → No</t>
  </si>
  <si>
    <t>Matched to EPA Re Prerana p. 7; cropped text replaced by complete sentence.</t>
  </si>
  <si>
    <t>ERP-017</t>
  </si>
  <si>
    <t>2:24</t>
  </si>
  <si>
    <t>pp 73-74</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</si>
  <si>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</si>
  <si>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Depth: High depth, Nature: Technical Nature, Pillar: Realignment (Technical), Stakeholder: USACE, Unlearning</t>
  </si>
  <si>
    <t>It identifies an engineering problem in hurricane estimation and ask for evluation for PMH storms.</t>
  </si>
  <si>
    <t>AnmolRationale_August12!row 49 (Latest Anmol August 12 re-evaluation)</t>
  </si>
  <si>
    <t>AnmolRationale_August12!row 49</t>
  </si>
  <si>
    <t>Multiple labelers (anmol, kyle); exact-duplicate priority yields anmol. Source span contains a definition plus a bullet list; verify paragraph-level unit.</t>
  </si>
  <si>
    <t>Consolidated equivalent text groups G040, G041; retained cleaner representative G040. Also consolidated repeated annotations across source sheets.</t>
  </si>
  <si>
    <t>AnmolRationale_August12!r49 (G040; anmol): Yes [SELECTED] | ICAResults_25April2026!r78 (G041; kyle): Yes | RationaleSheet_April20_v1!r53 (G041; kyle): Yes</t>
  </si>
  <si>
    <t>AnmolRationale_August12!r49[G040]; ICAResults_25April2026!r78[G041]; RationaleSheet_April20_v1!r53[G041]</t>
  </si>
  <si>
    <t>1:7</t>
  </si>
  <si>
    <t>EPA-004</t>
  </si>
  <si>
    <t>No gold change (Prerana 1:7, 1:8, 1:9 → No)</t>
  </si>
  <si>
    <t>Exact/near-duplicate annotations consolidated into EPA-004.</t>
  </si>
  <si>
    <t>ERP-018</t>
  </si>
  <si>
    <t>2:25</t>
  </si>
  <si>
    <t>p 74</t>
  </si>
  <si>
    <t>The USACE’s apparent non-conservative selection of the design hurricane is inconsistent with that needed to protect public safety when an extreme natural force such as Hurricane Katrina strikes.</t>
  </si>
  <si>
    <t>It identifies selection of non-conservation estimates and asks for its replacement.</t>
  </si>
  <si>
    <t>AnmolRationale_August12!row 50 (Latest Anmol August 12 re-evaluation)</t>
  </si>
  <si>
    <t>AnmolRationale_August12!row 50</t>
  </si>
  <si>
    <t>AnmolRationale_August12!r50 (G055; anmol): Yes [SELECTED] | ICAResults_25April2026!r79 (G055; kyle): Yes | RationaleSheet_April20_v1!r54 (G055; kyle): Yes</t>
  </si>
  <si>
    <t>AnmolRationale_August12!r50[G055]; ICAResults_25April2026!r79[G055]; RationaleSheet_April20_v1!r54[G055]</t>
  </si>
  <si>
    <t>1:8</t>
  </si>
  <si>
    <t>ERP-019</t>
  </si>
  <si>
    <t>2:26</t>
  </si>
  <si>
    <t>p 76</t>
  </si>
  <si>
    <t>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t>
  </si>
  <si>
    <t>Depth: High depth, Nature: Normative Nature, Pillar: Merging (Integrative), Stakeholder: Miscelleanous, Unlearning</t>
  </si>
  <si>
    <t>It identifies agency mandates, roles adn responsbilities as a clear area requiring rethink.</t>
  </si>
  <si>
    <t>AnmolRationale_August12!row 51 (Latest Anmol August 12 re-evaluation)</t>
  </si>
  <si>
    <t>AnmolRationale_August12!row 51</t>
  </si>
  <si>
    <t>AnmolRationale_August12!r51 (G056; anmol): Yes [SELECTED] | ICAResults_25April2026!r80 (G056; kyle): Yes | RationaleSheet_April20_v1!r55 (G056; kyle): Yes</t>
  </si>
  <si>
    <t>AnmolRationale_August12!r51[G056]; ICAResults_25April2026!r80[G056]; RationaleSheet_April20_v1!r55[G056]</t>
  </si>
  <si>
    <t>1:9</t>
  </si>
  <si>
    <t>ERP-020</t>
  </si>
  <si>
    <t>2:27</t>
  </si>
  <si>
    <t>p 79</t>
  </si>
  <si>
    <t>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t>
  </si>
  <si>
    <t>Nature: Normative Nature, Pillar: Discarding (Normative), Stakeholder: Miscelleanous, Unlearning</t>
  </si>
  <si>
    <t>It identifies culture, agency mandates, roles and responsibilities as a clear area requiring rethinking.</t>
  </si>
  <si>
    <t>AnmolRationale_August12!row 52 (Latest Anmol August 12 re-evaluation)</t>
  </si>
  <si>
    <t>AnmolRationale_August12!row 52</t>
  </si>
  <si>
    <t>Multiple labelers (anmol, kyle); exact-duplicate priority yields anmol. Source span contains multiple paragraphs; verify paragraph boundary.</t>
  </si>
  <si>
    <t>AnmolRationale_August12!r52 (G057; anmol): Yes [SELECTED] | ICAResults_25April2026!r81 (G057; kyle): Yes | RationaleSheet_April20_v1!r56 (G057; kyle): Yes</t>
  </si>
  <si>
    <t>AnmolRationale_August12!r52[G057]; ICAResults_25April2026!r81[G057]; RationaleSheet_April20_v1!r56[G057]</t>
  </si>
  <si>
    <t>1:10</t>
  </si>
  <si>
    <t>EPA-005</t>
  </si>
  <si>
    <t>ERP-021</t>
  </si>
  <si>
    <t>2:28</t>
  </si>
  <si>
    <t>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t>
  </si>
  <si>
    <t>Depth: High depth, Nature: Normative Nature, Nature: Technical Nature, Pillar: Discarding (Normative), Stakeholder: USACE, Unlearning</t>
  </si>
  <si>
    <t>It identifies clear deficiency in engineering chouices and asks for rethik of margins of safety, orgnizational culture and expternal peer review systems.</t>
  </si>
  <si>
    <t>AnmolRationale_August12!row 53 (Latest Anmol August 12 re-evaluation)</t>
  </si>
  <si>
    <t>AnmolRationale_August12!row 53</t>
  </si>
  <si>
    <t>AnmolRationale_August12!r53 (G058; anmol): Yes [SELECTED] | ICAResults_25April2026!r82 (G058; kyle): Yes | RationaleSheet_April20_v1!r57 (G058; kyle): Yes</t>
  </si>
  <si>
    <t>AnmolRationale_August12!r53[G058]; ICAResults_25April2026!r82[G058]; RationaleSheet_April20_v1!r57[G058]</t>
  </si>
  <si>
    <t>1:11</t>
  </si>
  <si>
    <t>EPA-006</t>
  </si>
  <si>
    <t>ERP-022</t>
  </si>
  <si>
    <t>2:29</t>
  </si>
  <si>
    <t>p 80</t>
  </si>
  <si>
    <t>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t>
  </si>
  <si>
    <t>Depth: High depth, Nature: Normative Nature, Pillar: Discarding (Normative), Stakeholder: Congress, Stakeholder: USACE, Unlearning</t>
  </si>
  <si>
    <t>This identifies the funding mechanism and oversigh as an issue and calls for a fundamental rethink.</t>
  </si>
  <si>
    <t>AnmolRationale_August12!row 54 (Latest Anmol August 12 re-evaluation)</t>
  </si>
  <si>
    <t>AnmolRationale_August12!row 54</t>
  </si>
  <si>
    <t>Multiple labelers (anmol, kyle); exact-duplicate priority yields anmol. Very long multi-paragraph source span; verify paragraph-level unit before modeling.</t>
  </si>
  <si>
    <t>AnmolRationale_August12!r54 (G063; anmol): Yes [SELECTED] | ICAResults_25April2026!r83 (G063; kyle): Yes | RationaleSheet_April20_v1!r58 (G063; kyle): Yes</t>
  </si>
  <si>
    <t>AnmolRationale_August12!r54[G063]; ICAResults_25April2026!r83[G063]; RationaleSheet_April20_v1!r58[G063]</t>
  </si>
  <si>
    <t>1:12</t>
  </si>
  <si>
    <t>EPA-003</t>
  </si>
  <si>
    <t>No gold change (Prerana 1:12 → No)</t>
  </si>
  <si>
    <t>Child annotation mapped to retained parent EPA-003.</t>
  </si>
  <si>
    <t>ERP-023</t>
  </si>
  <si>
    <t>2:14</t>
  </si>
  <si>
    <t>p 82</t>
  </si>
  <si>
    <t>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t>
  </si>
  <si>
    <t>Depth: High depth, Nature: Technical Nature, Pillar: Realignment (Technical), Stakeholder: Congress, Unlearning</t>
  </si>
  <si>
    <t>This is unlearning. They identify a lack of consistency as a problem and identify establishing a fund for leveee safety as a new way of solving this problem.</t>
  </si>
  <si>
    <t>AnmolRationale_August12!row 39 (Latest Anmol August 12 re-evaluation)</t>
  </si>
  <si>
    <t>AnmolRationale_August12!row 39</t>
  </si>
  <si>
    <t>Multiple labelers (anmol, kyle); exact-duplicate priority yields anmol. Retained: conceptually related to the levee-safety example, but it is not the same or a contained passage. Manual leakage review recommended.</t>
  </si>
  <si>
    <t>AnmolRationale_August12!r39 (G065; anmol): Yes [SELECTED] | ICAResults_25April2026!r68 (G065; kyle): Yes | RationaleSheet_April20_v1!r43 (G065; kyle): Yes</t>
  </si>
  <si>
    <t>AnmolRationale_August12!r39[G065]; ICAResults_25April2026!r68[G065]; RationaleSheet_April20_v1!r43[G065]</t>
  </si>
  <si>
    <t>Retained: conceptually related to the levee-safety example, but it is not the same or a contained passage. Manual leakage review recommended.</t>
  </si>
  <si>
    <t>1:13</t>
  </si>
  <si>
    <t>EPA-008</t>
  </si>
  <si>
    <t>Source passage remains cropped at the beginning and is review-flagged.</t>
  </si>
  <si>
    <t>ERP-024</t>
  </si>
  <si>
    <t>2:15</t>
  </si>
  <si>
    <t>p 84</t>
  </si>
  <si>
    <t>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t>
  </si>
  <si>
    <t>They identify a clear set of engineering and design problems. And calls for a more systmeic approach.</t>
  </si>
  <si>
    <t>AnmolRationale_August12!row 40 (Latest Anmol August 12 re-evaluation)</t>
  </si>
  <si>
    <t>AnmolRationale_August12!row 40</t>
  </si>
  <si>
    <t>AnmolRationale_August12!r40 (G066; anmol): Yes [SELECTED] | ICAResults_25April2026!r69 (G066; kyle): Yes | RationaleSheet_April20_v1!r44 (G066; kyle): Yes</t>
  </si>
  <si>
    <t>AnmolRationale_August12!r40[G066]; ICAResults_25April2026!r69[G066]; RationaleSheet_April20_v1!r44[G066]</t>
  </si>
  <si>
    <t>1:14</t>
  </si>
  <si>
    <t>EPA-013</t>
  </si>
  <si>
    <t>No gold change (Prerana 1:14 → No)</t>
  </si>
  <si>
    <t>Anmol also labeled the retained exact/parent passage No; gold follows Anmol.</t>
  </si>
  <si>
    <t>ERP-025</t>
  </si>
  <si>
    <t>2:16</t>
  </si>
  <si>
    <t>p 85</t>
  </si>
  <si>
    <t>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t>
  </si>
  <si>
    <t>Depth: High depth, Nature: Normative Nature, Nature: Technical Nature, Pillar: Realignment (Technical), Unlearning</t>
  </si>
  <si>
    <t>This calls for fundamental reforms that take into account land use decisions adn various other reforms that discard old thinking and practices.</t>
  </si>
  <si>
    <t>AnmolRationale_August12!row 41 (Latest Anmol August 12 re-evaluation)</t>
  </si>
  <si>
    <t>AnmolRationale_August12!row 41</t>
  </si>
  <si>
    <t>AnmolRationale_August12!r41 (G067; anmol): Yes [SELECTED] | ICAResults_25April2026!r70 (G067; kyle): Yes | RationaleSheet_April20_v1!r45 (G067; kyle): Yes</t>
  </si>
  <si>
    <t>AnmolRationale_August12!r41[G067]; ICAResults_25April2026!r70[G067]; RationaleSheet_April20_v1!r45[G067]</t>
  </si>
  <si>
    <t>1:15</t>
  </si>
  <si>
    <t>EPA-011</t>
  </si>
  <si>
    <t>ERP-026</t>
  </si>
  <si>
    <t>2:30</t>
  </si>
  <si>
    <t>p 86</t>
  </si>
  <si>
    <t>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t>
  </si>
  <si>
    <t>Not unlearning. It calls for upgrade and reinforcement, not a fundamental rethink of the system.</t>
  </si>
  <si>
    <t>AnmolRationale_August12!row 55 (Latest Anmol August 12 re-evaluation)</t>
  </si>
  <si>
    <t>AnmolRationale_August12!row 55</t>
  </si>
  <si>
    <t>Conflicting historical binary labels (No/Yes); final label follows AnmolRationale_August12!row 55. Multiple labelers (anmol, kyle); exact-duplicate priority yields anmol. Latest rationale overrides stale code field (Yes in Codes vs No final).</t>
  </si>
  <si>
    <t>AnmolRationale_August12!r55 (G068; anmol): No [SELECTED] | ICAResults_25April2026!r84 (G068; kyle): Yes | RationaleSheet_April20_v1!r59 (G068; kyle): Yes</t>
  </si>
  <si>
    <t>AnmolRationale_August12!r55[G068]; ICAResults_25April2026!r84[G068]; RationaleSheet_April20_v1!r59[G068]</t>
  </si>
  <si>
    <t>1:16</t>
  </si>
  <si>
    <t>EPA-012</t>
  </si>
  <si>
    <t>Kyle also labeled the retained passage Yes; gold follows Prerana by priority.</t>
  </si>
  <si>
    <t>ERP-027</t>
  </si>
  <si>
    <t>2:17</t>
  </si>
  <si>
    <t>p 87</t>
  </si>
  <si>
    <t>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t>
  </si>
  <si>
    <t>Depth: Moderate depth, Nature: Technical Nature, Pillar: Discarding (Normative), Pillar: Realignment (Technical), Stakeholder: USACE, Unlearning</t>
  </si>
  <si>
    <t>It identifies a problem and calls for change in governing structure where one agency or person takes charge over spread out responsbility.</t>
  </si>
  <si>
    <t>AnmolRationale_August12!row 42 (Latest Anmol August 12 re-evaluation)</t>
  </si>
  <si>
    <t>AnmolRationale_August12!row 42</t>
  </si>
  <si>
    <t>AnmolRationale_August12!r42 (G069; anmol): Yes [SELECTED] | ICAResults_25April2026!r71 (G069; kyle): Yes | RationaleSheet_April20_v1!r46 (G069; kyle): Yes</t>
  </si>
  <si>
    <t>AnmolRationale_August12!r42[G069]; ICAResults_25April2026!r71[G069]; RationaleSheet_April20_v1!r46[G069]</t>
  </si>
  <si>
    <t>1:17</t>
  </si>
  <si>
    <t>EPA-015</t>
  </si>
  <si>
    <t>ERP-028</t>
  </si>
  <si>
    <t>2:18</t>
  </si>
  <si>
    <t>p 89</t>
  </si>
  <si>
    <t>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t>
  </si>
  <si>
    <t>This identifies a clear problem in not engaging independent experts and asks for independent high-level engineering review.</t>
  </si>
  <si>
    <t>AnmolRationale_August12!row 43 (Latest Anmol August 12 re-evaluation)</t>
  </si>
  <si>
    <t>AnmolRationale_August12!row 43</t>
  </si>
  <si>
    <t>AnmolRationale_August12!r43 (G070; anmol): Yes [SELECTED] | ICAResults_25April2026!r72 (G070; kyle): Yes | RationaleSheet_April20_v1!r47 (G070; kyle): Yes</t>
  </si>
  <si>
    <t>AnmolRationale_August12!r43[G070]; ICAResults_25April2026!r72[G070]; RationaleSheet_April20_v1!r47[G070]</t>
  </si>
  <si>
    <t>1:18</t>
  </si>
  <si>
    <t>EPA-017</t>
  </si>
  <si>
    <t>GAO-001</t>
  </si>
  <si>
    <t>12:2</t>
  </si>
  <si>
    <t>p 4</t>
  </si>
  <si>
    <t>At the same time, some federal responders such the Coast Guard and DOD did “lean forward” in proactive efforts anticipating a major disaster.</t>
  </si>
  <si>
    <t>gao-06-365r.pdf</t>
  </si>
  <si>
    <t>Depth: Moderate depth, Nature: Normative Nature, Pillar: Merging (Integrative), Stakeholder: Dept of Defense, Unlearning</t>
  </si>
  <si>
    <t>ICAResults_25April2026!row 30 (Latest available record by sheet chronology)</t>
  </si>
  <si>
    <t>Selected latest record has no rationale.</t>
  </si>
  <si>
    <t>ICAResults_25April2026!r30 (G075; kyle): Yes [SELECTED] | RationaleSheet_April20_v1!r61 (G075; kyle): Yes</t>
  </si>
  <si>
    <t>ICAResults_25April2026!r30[G075]; RationaleSheet_April20_v1!r61[G075]</t>
  </si>
  <si>
    <t>1:19</t>
  </si>
  <si>
    <t>EPA-020</t>
  </si>
  <si>
    <t>GAO-002</t>
  </si>
  <si>
    <t>12:8</t>
  </si>
  <si>
    <t>p 5</t>
  </si>
  <si>
    <t>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t>
  </si>
  <si>
    <t>Unlearning</t>
  </si>
  <si>
    <t>Unlearning. It identifies the lack of plans as a problem and makes a case for detailed plans that delineate capabilities as well as training exercises/</t>
  </si>
  <si>
    <t>AnmolRationale_August12!row 11 (Latest Anmol August 12 re-evaluation)</t>
  </si>
  <si>
    <t>AnmolRationale_August12!row 11</t>
  </si>
  <si>
    <t>None</t>
  </si>
  <si>
    <t>AnmolRationale_August12!r11 (G071; anmol): Yes [SELECTED]</t>
  </si>
  <si>
    <t>AnmolRationale_August12!r11[G071]</t>
  </si>
  <si>
    <t>EPA-Re:P4</t>
  </si>
  <si>
    <t>EPA-021</t>
  </si>
  <si>
    <t>New passage: No → No</t>
  </si>
  <si>
    <t>New unique boundary-case passage; latest sheet explicitly says Not strictly Unlearning.</t>
  </si>
  <si>
    <t>GAO-003</t>
  </si>
  <si>
    <t>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</si>
  <si>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t>
  </si>
  <si>
    <t>205</t>
  </si>
  <si>
    <t>RationaleSheet_April20_v1!row 68 (Manual recency/adjudication rule)</t>
  </si>
  <si>
    <t>Conflicting historical binary labels (No/Yes); final label follows RationaleSheet_April20_v1!row 68. Same/equivalent passage has conflicting annotation numbers (12:8, 12:9); selected 12:9. Selected latest record has no rationale. Manual latest-label rule applied: Manual recency/adjudication rule.</t>
  </si>
  <si>
    <t>Consolidated equivalent text groups G076, G077; retained cleaner representative G076. Also consolidated repeated annotations across source sheets.</t>
  </si>
  <si>
    <t>ICAResults_25April2026!r37 (G077; kyle): Yes | ICAResults_25April2026!r36 (G076; kyle): No | RationaleSheet_April20_v1!r68 (G076; kyle): No [SELECTED] | RationaleSheet_April20_v1!r67 (G077; kyle): Yes</t>
  </si>
  <si>
    <t>ICAResults_25April2026!r36[G076]; ICAResults_25April2026!r37[G077]; RationaleSheet_April20_v1!r67[G077]; RationaleSheet_April20_v1!r68[G076]</t>
  </si>
  <si>
    <t>EPA-Re:P5</t>
  </si>
  <si>
    <t>EPA-022</t>
  </si>
  <si>
    <t>New passage: No → Yes</t>
  </si>
  <si>
    <t>New unique weak-signal passage; code is positive but rationale is internally cautious, so manual adjudication is flagged.</t>
  </si>
  <si>
    <t>GAO-004</t>
  </si>
  <si>
    <t>12:3</t>
  </si>
  <si>
    <t>pp 5-6</t>
  </si>
  <si>
    <t>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Guard would be integrated. It would also avoid the type of confusion that occurred in Louisiana regarding the types of military support needed and requested, and the respective contributions of active duty and National Guard forces.</t>
  </si>
  <si>
    <t>Depth: High depth, Nature: Normative Nature, Pillar: Merging (Integrative), Pillar: Reconsidering (Epistemic), Stakeholder: Dept of Defense, Unlearning</t>
  </si>
  <si>
    <t>ICAResults_25April2026!row 31 (Latest available record by sheet chronology)</t>
  </si>
  <si>
    <t>Removed embedded PDF page header/footer</t>
  </si>
  <si>
    <t>ICAResults_25April2026!r31 (G073; kyle): Yes [SELECTED] | RationaleSheet_April20_v1!r62 (G073; kyle): Yes</t>
  </si>
  <si>
    <t>ICAResults_25April2026!r31[G073]; RationaleSheet_April20_v1!r62[G073]</t>
  </si>
  <si>
    <t>GAO-005</t>
  </si>
  <si>
    <t>12:4</t>
  </si>
  <si>
    <t>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t>
  </si>
  <si>
    <t>Unlearning, as it makes a case for removing the business-as-usual approach for catastrophic events inlcuding emergency communications, continuity adn logistics and distributions.</t>
  </si>
  <si>
    <t>AnmolRationale_August12!row 8 (Latest Anmol August 12 re-evaluation)</t>
  </si>
  <si>
    <t>AnmolRationale_August12!row 8</t>
  </si>
  <si>
    <t>AnmolRationale_August12!r8 (G078; anmol): Yes [SELECTED] | ICAResults_25April2026!r32 (G078; kyle): Yes | RationaleSheet_April20_v1!r63 (G078; kyle): Yes</t>
  </si>
  <si>
    <t>AnmolRationale_August12!r8[G078]; ICAResults_25April2026!r32[G078]; RationaleSheet_April20_v1!r63[G078]</t>
  </si>
  <si>
    <t>GAO-006</t>
  </si>
  <si>
    <t>12:5</t>
  </si>
  <si>
    <t>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t>
  </si>
  <si>
    <t>ICAResults_25April2026!row 33 (Latest available record by sheet chronology)</t>
  </si>
  <si>
    <t>ICAResults_25April2026!r33 (G079; kyle): Yes [SELECTED] | RationaleSheet_April20_v1!r64 (G079; kyle): Yes</t>
  </si>
  <si>
    <t>ICAResults_25April2026!r33[G079]; RationaleSheet_April20_v1!r64[G079]</t>
  </si>
  <si>
    <t>Exclusion Audit — Removed Passages Retained for Manual Verification</t>
  </si>
  <si>
    <t>GAO-007</t>
  </si>
  <si>
    <t>12:6</t>
  </si>
  <si>
    <t>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t>
  </si>
  <si>
    <t>Unlearning as it identifies departure from past practices of disaster response wherein evucation capabilities include special needs population.</t>
  </si>
  <si>
    <t>AnmolRationale_August12!row 9 (Latest Anmol August 12 re-evaluation)</t>
  </si>
  <si>
    <t>AnmolRationale_August12!row 9</t>
  </si>
  <si>
    <t>AnmolRationale_August12!r9 (G074; anmol): Yes [SELECTED] | ICAResults_25April2026!r34 (G074; kyle): Yes | RationaleSheet_April20_v1!r65 (G074; kyle): Yes</t>
  </si>
  <si>
    <t>AnmolRationale_August12!r9[G074]; ICAResults_25April2026!r34[G074]; RationaleSheet_April20_v1!r65[G074]</t>
  </si>
  <si>
    <t>Excluded_Group_ID</t>
  </si>
  <si>
    <t>Original_Number(s)</t>
  </si>
  <si>
    <t>Reference(s)</t>
  </si>
  <si>
    <t>Excluded_Text</t>
  </si>
  <si>
    <t>Exclusion_Category</t>
  </si>
  <si>
    <t>Exclusion_Reason</t>
  </si>
  <si>
    <t>Historical_Labels</t>
  </si>
  <si>
    <t>Historical_Labelers</t>
  </si>
  <si>
    <t>Latest_Update</t>
  </si>
  <si>
    <t>EPA-001</t>
  </si>
  <si>
    <t>1:1</t>
  </si>
  <si>
    <t>p 3</t>
  </si>
  <si>
    <t>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t>
  </si>
  <si>
    <t>Depth: Moderate depth, Nature: Technical Nature, Pillar: Merging (Integrative), Stakeholder: EPA, Unlearning</t>
  </si>
  <si>
    <t>I woudng classify this as unlearning. I identifies a problem but doesnt call for abandoning anything. It ask for additiv change or improved coordination.</t>
  </si>
  <si>
    <t>AnmolRationale_August12!row 2 (Latest Anmol August 12 re-evaluation)</t>
  </si>
  <si>
    <t>AnmolRationale_August12!row 2</t>
  </si>
  <si>
    <t>Latest rationale overrides stale code field (Yes in Codes vs No final).</t>
  </si>
  <si>
    <t>AnmolRationale_August12!r2 (G022; anmol): No [SELECTED] | ICAResults_25April2026!r2 (G022; anmol): No | RationaleSheet_April20_v1!r2 (G022; anmol): No</t>
  </si>
  <si>
    <t>AnmolRationale_August12!r2[G022]; ICAResults_25April2026!r2[G022]; RationaleSheet_April20_v1!r2[G022]</t>
  </si>
  <si>
    <t>G005</t>
  </si>
  <si>
    <t>p 10</t>
  </si>
  <si>
    <t>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</si>
  <si>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Parent-child duplicate</t>
  </si>
  <si>
    <t>Child passage removed; parent passage retained as EPA-003. Parent labeler and parent-level label control. University of Delaware duplicate/system annotation(s) were ignored.</t>
  </si>
  <si>
    <t>ICAResults_25April2026!r13</t>
  </si>
  <si>
    <t>Prerana's latest re-evaluation sets source annotation 1:12 to No; retained parent EPA-003 new gold remains No.</t>
  </si>
  <si>
    <t>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t>
  </si>
  <si>
    <t>Borderline case — Not strictly Unlearning</t>
  </si>
  <si>
    <t>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t>
  </si>
  <si>
    <t>EPA Re Prerana!row 3 (latest Prerana assessment)</t>
  </si>
  <si>
    <t>EPA Re Prerana!row 3</t>
  </si>
  <si>
    <t>New EPA passage added by Prerana. Strong boundary case; retained as New Gold = No because the sheet explicitly says 'Not strictly Unlearning.'</t>
  </si>
  <si>
    <t>Added as a new unique EPA passage after exact, near-duplicate, parent-child, and codebook-example leakage checks.</t>
  </si>
  <si>
    <t>EPA Re Prerana!r3 (prerana): No [LATEST/SELECTED]</t>
  </si>
  <si>
    <t>EPA Re Prerana!r3</t>
  </si>
  <si>
    <t>Clear — no revised-codebook example passage retained</t>
  </si>
  <si>
    <t>G008</t>
  </si>
  <si>
    <t>1:25, 1:28</t>
  </si>
  <si>
    <t>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</si>
  <si>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Child passage removed; parent passage retained as EPA-003. Parent labeler and parent-level label control.</t>
  </si>
  <si>
    <t>ICAResults_25April2026!r26; RationaleSheet_April20_v1!r29</t>
  </si>
  <si>
    <t>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t>
  </si>
  <si>
    <t>Unlearning; Target: Capabilities; possible weak signal</t>
  </si>
  <si>
    <t>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t>
  </si>
  <si>
    <t>EPA Re Prerana!row 4 (latest Prerana assessment)</t>
  </si>
  <si>
    <t>EPA Re Prerana!row 4</t>
  </si>
  <si>
    <t>New EPA passage. The Codes cell is positive, but the rationale states that no replacement or fundamental revision is called for; New Gold = Yes follows the latest Prerana code and is flagged as a weak/borderline signal.</t>
  </si>
  <si>
    <t>EPA Re Prerana!r4 (prerana): Yes [LATEST/SELECTED]</t>
  </si>
  <si>
    <t>EPA Re Prerana!r4</t>
  </si>
  <si>
    <t>G013</t>
  </si>
  <si>
    <t>1:24</t>
  </si>
  <si>
    <t>p 11</t>
  </si>
  <si>
    <t>With respect to both coordination issues discussed, Region 6 informed us that, to the extent there was any duplication of effort, it was only a result of an attempt to ensure that all wastewater facilities were reached, evaluated, and assisted as quickly as possible.</t>
  </si>
  <si>
    <t>Child passage removed; parent passage retained as EPA-012. Parent labeler and parent-level label control.</t>
  </si>
  <si>
    <t>ICAResults_25April2026!r25; RationaleSheet_April20_v1!r25</t>
  </si>
  <si>
    <t>Did EPA follow its emergency response protocols, including those lessons learned from the World Trade Center and its responsibilities, as delineated in the National Response Plan, to ensure the public had access to safe drinking water?</t>
  </si>
  <si>
    <t>Not Unlearning (borderline under revised codebook)</t>
  </si>
  <si>
    <t>This passage evaluates whether EPA followed existing emergency-response protocols and previously learned lessons. It does not identify those protocols or their underlying assumptions as inadequate, nor call for their abandonment, replacement, or fundamental revision.</t>
  </si>
  <si>
    <t>EPA Re Prerana!row 2 (latest Prerana re-evaluation)</t>
  </si>
  <si>
    <t>EPA Re Prerana!row 2</t>
  </si>
  <si>
    <t>Prerana re-evaluated ICA 1:6 as Not Unlearning under the revised codebook; old gold was Yes and new gold is No. The cropped source excerpt was replaced with the fuller p. 7 sentence from EPA Re Prerana.</t>
  </si>
  <si>
    <t>Re-evaluated text variant</t>
  </si>
  <si>
    <t>Matched EPA Re Prerana p. 7 to existing ICAResults_25April2026 annotation 1:6; retained one passage row.</t>
  </si>
  <si>
    <t>Replaced the cropped 'ollowed...' excerpt with the complete sentence supplied in EPA Re Prerana.</t>
  </si>
  <si>
    <t>ICAResults_25April2026!r7 (G023; prerana): Yes [SELECTED] | EPA Re Prerana!r2 (prerana): No [LATEST PRERANA]</t>
  </si>
  <si>
    <t>ICAResults_25April2026!r7[G023]; EPA Re Prerana!r2</t>
  </si>
  <si>
    <t>G017</t>
  </si>
  <si>
    <t>1:21</t>
  </si>
  <si>
    <t>p 13</t>
  </si>
  <si>
    <t>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</si>
  <si>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Child passage removed; parent passage retained as EPA-017. Parent labeler and parent-level label control.</t>
  </si>
  <si>
    <t>ICAResults_25April2026!r22; RationaleSheet_April20_v1!r22</t>
  </si>
  <si>
    <t>1:2</t>
  </si>
  <si>
    <t>pp 9-10</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</si>
  <si>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</si>
  <si>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Not Unlearning</t>
  </si>
  <si>
    <t>It identifies specific areas that dont work namely driking water response and limited understanding of each others work and asks for better coodination. however, it doesnt mention a specific aspect that needs abandonging or rethink.</t>
  </si>
  <si>
    <t>AnmolRationale_August12!row 3 (Latest Anmol August 12 re-evaluation)</t>
  </si>
  <si>
    <t>AnmolRationale_August12!row 3</t>
  </si>
  <si>
    <t>Conflicting historical binary labels (No/Yes); final label follows AnmolRationale_August12!row 3. Multiple labelers (anmol, prerana, kyle); parent-passage labeler rule yields anmol. Latest rationale overrides stale code field (Yes in Codes vs No final). Source span contains multiple paragraphs/section heading; kept the full parent span under the parent-child rule. Prerana's latest EPA re-evaluation changes her coder-specific label for 1:12 to No. Gold remains No because the higher-priority/selected gold label is already No. Current coder disagreement is anmol=No, prerana=No, kyle=Yes; new gold follows Anmol.</t>
  </si>
  <si>
    <t>Near/exact text variant; Parent-child</t>
  </si>
  <si>
    <t>Consolidated equivalent text groups G003, G004; retained cleaner representative G003. Kept parent span G003; removed child group(s) G005, G008. Parent passage labeler retained. Also consolidated repeated annotations across source sheets. University of Delaware duplicate/system annotation(s) ignored.</t>
  </si>
  <si>
    <t>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t>
  </si>
  <si>
    <t>AnmolRationale_August12!r3[G004]; ICAResults_25April2026!r3[G003]; ICAResults_25April2026!r13[G005]; ICAResults_25April2026!r26[G008]; RationaleSheet_April20_v1!r3[G004]; RationaleSheet_April20_v1!r29[G008]; User-confirmed Prerana EPA re-evaluation [1:12]</t>
  </si>
  <si>
    <t>G021</t>
  </si>
  <si>
    <t>1:26, 1:27</t>
  </si>
  <si>
    <t>p 27</t>
  </si>
  <si>
    <t>EPA will meet with USACE and other ESF #3 support agencies in August to discuss ESF-3 agency roles and capabilities and will continue to work with USACE to ensure that current ESF #3 SOPs can be appropriately updated and revised</t>
  </si>
  <si>
    <t>Child passage removed; parent passage retained as EPA-020. Parent labeler and parent-level label control.</t>
  </si>
  <si>
    <t>ICAResults_25April2026!r28; RationaleSheet_April20_v1!r27</t>
  </si>
  <si>
    <t>p 9</t>
  </si>
  <si>
    <t>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</si>
  <si>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Not Unlearning (Prerana re-evaluation under revised codebook)</t>
  </si>
  <si>
    <t>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</si>
  <si>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1:7, 1:8, 1:9 (latest)</t>
  </si>
  <si>
    <t>User-confirmed Prerana EPA re-evaluation</t>
  </si>
  <si>
    <t>Conflicting historical binary labels (No/Yes); final label follows ICAResults_25April2026!row 10. Same/equivalent passage has conflicting annotation numbers (1:7, 1:8, 1:9); selected 1:9. Latest rationale overrides stale code field (Yes in Codes vs No final). Manual latest-label rule applied: Manual recency/adjudication rule. Prerana's latest EPA re-evaluation changes her coder-specific label for 1:7, 1:8, 1:9 to No. Gold remains No because the higher-priority/selected gold label is already No.</t>
  </si>
  <si>
    <t>Consolidated equivalent text groups G024, G025; retained cleaner representative G025. Also consolidated repeated annotations across source sheets. University of Delaware duplicate/system annotation(s) ignored.</t>
  </si>
  <si>
    <t>ICAResults_25April2026!r10 (G025; prerana): No [SELECTED] | ICAResults_25April2026!r9 (G025; prerana): Yes | ICAResults_25April2026!r8 (G024; prerana): Yes | Prerana EPA re-evaluation (user-confirmed for ICAResults_25April2026 1:7, 1:8, 1:9): No [LATEST PRERANA]</t>
  </si>
  <si>
    <t>ICAResults_25April2026!r8[G024]; ICAResults_25April2026!r9[G025]; ICAResults_25April2026!r10[G025]; User-confirmed Prerana EPA re-evaluation [1:7, 1:8, 1:9]</t>
  </si>
  <si>
    <t>G029</t>
  </si>
  <si>
    <t>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</si>
  <si>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Child passage removed; parent passage retained as PAR-002. Parent labeler and parent-level label control.</t>
  </si>
  <si>
    <t>PAR-002</t>
  </si>
  <si>
    <t>PAR_Prerana_July17!r1</t>
  </si>
  <si>
    <t>Coordination within EPA, as well as EPA’s coordination with State and local officials and the USACE, could have been better. In some instances, coordination problems resulted in duplicative work being completed by EPA and Louisiana officials.</t>
  </si>
  <si>
    <t>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</si>
  <si>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1:10 (latest)</t>
  </si>
  <si>
    <t>Prerana's latest EPA re-evaluation changes her coder-specific label for 1:10 to No. New gold changes Yes → No under the anmol &gt; prerana &gt; kyle priority rule.</t>
  </si>
  <si>
    <t>Consolidated exact duplicate annotations from multiple sheets into one passage row. University of Delaware duplicate/system annotation(s) ignored.</t>
  </si>
  <si>
    <t>ICAResults_25April2026!r11 (G026; prerana): Yes [SELECTED] | Prerana EPA re-evaluation (user-confirmed for ICAResults_25April2026 1:10): No [LATEST PRERANA]</t>
  </si>
  <si>
    <t>ICAResults_25April2026!r11[G026]; User-confirmed Prerana EPA re-evaluation [1:10]</t>
  </si>
  <si>
    <t>G004</t>
  </si>
  <si>
    <t>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t>
  </si>
  <si>
    <t>Near/exact duplicate variant</t>
  </si>
  <si>
    <t>Equivalent text variant merged into EPA-003; cleaner representative retained.</t>
  </si>
  <si>
    <t>No/Yes</t>
  </si>
  <si>
    <t>RationaleSheet_April20_v1!r3; AnmolRationale_August12!r3</t>
  </si>
  <si>
    <t>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t>
  </si>
  <si>
    <t>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</si>
  <si>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1:11 (latest)</t>
  </si>
  <si>
    <t>Source text begins lowercase and may be cropped; verify the beginning against the PDF. Prerana's latest EPA re-evaluation changes her coder-specific label for 1:11 to No. New gold changes Yes → No under the anmol &gt; prerana &gt; kyle priority rule.</t>
  </si>
  <si>
    <t>ICAResults_25April2026!r12 (G027; prerana): Yes [SELECTED] | Prerana EPA re-evaluation (user-confirmed for ICAResults_25April2026 1:11): No [LATEST PRERANA]</t>
  </si>
  <si>
    <t>ICAResults_25April2026!r12[G027]; User-confirmed Prerana EPA re-evaluation [1:11]</t>
  </si>
  <si>
    <t>G024</t>
  </si>
  <si>
    <t>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t>
  </si>
  <si>
    <t>Equivalent text variant merged into EPA-004; cleaner representative retained. University of Delaware duplicate/system annotation(s) were ignored.</t>
  </si>
  <si>
    <t>ICAResults_25April2026!r8</t>
  </si>
  <si>
    <t>Prerana's latest re-evaluation sets annotations 1:7-1:9 to No; retained representative EPA-004 new gold remains No.</t>
  </si>
  <si>
    <t>EPA-007</t>
  </si>
  <si>
    <t>1:23</t>
  </si>
  <si>
    <t>Louisiana officials experienced problems in querying data and in verifying the quality of data in EPA’s database used to collect floodwater results.</t>
  </si>
  <si>
    <t>Not unlearning.</t>
  </si>
  <si>
    <t>ICAResults_25April2026!row 24 (Manual recency/adjudication rule)</t>
  </si>
  <si>
    <t>ICAResults_25April2026!row 24</t>
  </si>
  <si>
    <t>Conflicting historical binary labels (No/Yes); final label follows ICAResults_25April2026!row 24. Same/equivalent passage has conflicting annotation numbers (1:23, 1:25); selected 1:23. Latest rationale overrides stale code field (Yes in Codes vs No final). Manual latest-label rule applied: Manual recency/adjudication rule.</t>
  </si>
  <si>
    <t>ICAResults_25April2026!r24 (G028; kyle): No [SELECTED] | RationaleSheet_April20_v1!r26 (G028; kyle): Yes</t>
  </si>
  <si>
    <t>ICAResults_25April2026!r24[G028]; RationaleSheet_April20_v1!r26[G028]</t>
  </si>
  <si>
    <t>G002</t>
  </si>
  <si>
    <t>1:5</t>
  </si>
  <si>
    <t>pp 13-14</t>
  </si>
  <si>
    <t>EPA regional officials concurred that tremendous communication issues existed following Hurricane Katrina. Both Regions 4 and 6 indicated they have taken a number of steps to 7
improve communication during future disasters, including upgrading the current telecommunications equipment, planning to deploy additional staff during the next disaster, and reevaluating current communication standard operating procedures.</t>
  </si>
  <si>
    <t>Equivalent text variant merged into EPA-016; cleaner representative retained.</t>
  </si>
  <si>
    <t>EPA-016</t>
  </si>
  <si>
    <t>RationaleSheet_April20_v1!r6; AnmolRationale_August12!r6</t>
  </si>
  <si>
    <t>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t>
  </si>
  <si>
    <t>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</si>
  <si>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1:13 (latest)</t>
  </si>
  <si>
    <t>Source text begins mid-word ('y these...'); verify the beginning against the PDF. Prerana's latest EPA re-evaluation changes her coder-specific label for 1:13 to No. New gold changes Yes → No under the anmol &gt; prerana &gt; kyle priority rule.</t>
  </si>
  <si>
    <t>ICAResults_25April2026!r14 (G006; prerana): Yes [SELECTED] | Prerana EPA re-evaluation (user-confirmed for ICAResults_25April2026 1:13): No [LATEST PRERANA]</t>
  </si>
  <si>
    <t>ICAResults_25April2026!r14[G006]; User-confirmed Prerana EPA re-evaluation [1:13]</t>
  </si>
  <si>
    <t>G052</t>
  </si>
  <si>
    <t>The hurricane protection system was funded on a project-byproject basis over many years. As a result, the system was constructed in a piecemeal fashion. In addition, there were pressures for tradeoffs and low-cost solutions that compromised quality, safety, and reliability.</t>
  </si>
  <si>
    <t>Equivalent text variant merged into ERP-004; cleaner representative retained.</t>
  </si>
  <si>
    <t>ICAResults_25April2026!r58; RationaleSheet_April20_v1!r33</t>
  </si>
  <si>
    <t>EPA-009</t>
  </si>
  <si>
    <t>1:26</t>
  </si>
  <si>
    <t>With respect to improving coordination with USACE, Region 6 told us that it plans to conduct a series of interagency planning meetings to establish coordination protocols under a Memorandum of Understanding with USACE.</t>
  </si>
  <si>
    <t>Not unlearning</t>
  </si>
  <si>
    <t>ICAResults_25April2026!row 27 (Manual recency/adjudication rule)</t>
  </si>
  <si>
    <t>ICAResults_25April2026!row 27</t>
  </si>
  <si>
    <t>Conflicting historical binary labels (No/Yes); final label follows ICAResults_25April2026!row 27. Same/equivalent passage has conflicting annotation numbers (1:22, 1:26); selected 1:26. Latest rationale overrides stale code field (Yes in Codes vs No final). Manual latest-label rule applied: Manual recency/adjudication rule.</t>
  </si>
  <si>
    <t>ICAResults_25April2026!r27 (G007; kyle): No [SELECTED] | RationaleSheet_April20_v1!r23 (G007; kyle): Yes</t>
  </si>
  <si>
    <t>ICAResults_25April2026!r27[G007]; RationaleSheet_April20_v1!r23[G007]</t>
  </si>
  <si>
    <t>G042</t>
  </si>
  <si>
    <t>Determine the level of acceptable risk in the community through quality interactive public risk communication programs in New Orleans and other areas threatened by hurricanes and flooding.
Once determined, manage the risks accordingly.</t>
  </si>
  <si>
    <t>Equivalent text variant merged into ERP-007; cleaner representative retained.</t>
  </si>
  <si>
    <t>ICAResults_25April2026!r62; RationaleSheet_April20_v1!r37</t>
  </si>
  <si>
    <t>EPA-010</t>
  </si>
  <si>
    <t>1:3</t>
  </si>
  <si>
    <t>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t>
  </si>
  <si>
    <t>Depth: Low depth, Nature: Technical Nature, Pillar: Merging (Integrative), Stakeholder: EPA, Stakeholder: Stakeholders, Unlearning</t>
  </si>
  <si>
    <t>I wouldn't classify this as unlearning. It identifies coordination and dialogue as a problem, however doesnt call for discarding anything. It also doesnt make a case for any fundamental shift.</t>
  </si>
  <si>
    <t>AnmolRationale_August12!row 4 (Latest Anmol August 12 re-evaluation)</t>
  </si>
  <si>
    <t>AnmolRationale_August12!row 4</t>
  </si>
  <si>
    <t>Conflicting historical binary labels (No/Yes); final label follows AnmolRationale_August12!row 4. Latest rationale overrides stale code field (Yes in Codes vs No final).</t>
  </si>
  <si>
    <t>AnmolRationale_August12!r4 (G009; anmol): No [SELECTED] | ICAResults_25April2026!r4 (G009; anmol): Yes | RationaleSheet_April20_v1!r4 (G009; anmol): No</t>
  </si>
  <si>
    <t>AnmolRationale_August12!r4[G009]; ICAResults_25April2026!r4[G009]; RationaleSheet_April20_v1!r4[G009]</t>
  </si>
  <si>
    <t>G041</t>
  </si>
  <si>
    <t>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t>
  </si>
  <si>
    <t>Equivalent text variant merged into ERP-017; cleaner representative retained.</t>
  </si>
  <si>
    <t>ICAResults_25April2026!r78; RationaleSheet_April20_v1!r53</t>
  </si>
  <si>
    <t>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t>
  </si>
  <si>
    <t>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</si>
  <si>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1:15 (latest)</t>
  </si>
  <si>
    <t>Prerana's latest EPA re-evaluation changes her coder-specific label for 1:15 to No. New gold changes Yes → No under the anmol &gt; prerana &gt; kyle priority rule.</t>
  </si>
  <si>
    <t>ICAResults_25April2026!r16 (G011; prerana): Yes [SELECTED] | Prerana EPA re-evaluation (user-confirmed for ICAResults_25April2026 1:15): No [LATEST PRERANA]</t>
  </si>
  <si>
    <t>ICAResults_25April2026!r16[G011]; User-confirmed Prerana EPA re-evaluation [1:15]</t>
  </si>
  <si>
    <t>G077</t>
  </si>
  <si>
    <t>12:8, 12:9</t>
  </si>
  <si>
    <t>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t>
  </si>
  <si>
    <t>Equivalent text variant merged into GAO-003; cleaner representative retained.</t>
  </si>
  <si>
    <t>ICAResults_25April2026!r37; RationaleSheet_April20_v1!r67</t>
  </si>
  <si>
    <t>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t>
  </si>
  <si>
    <t>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</si>
  <si>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1:16 (latest)</t>
  </si>
  <si>
    <t>Multiple labelers (prerana, kyle); parent-passage labeler rule yields prerana. Prerana's latest EPA re-evaluation changes her coder-specific label for 1:16 to No. New gold changes Yes → No under the anmol &gt; prerana &gt; kyle priority rule. Current coder disagreement is prerana=No and kyle=Yes; new gold follows Prerana.</t>
  </si>
  <si>
    <t>Parent-child</t>
  </si>
  <si>
    <t>Kept parent span G012; removed child group(s) G013. Parent passage labeler retained. Also consolidated repeated annotations across source sheets. University of Delaware duplicate/system annotation(s) ignored.</t>
  </si>
  <si>
    <t>ICAResults_25April2026!r25 (G013; kyle): Yes | ICAResults_25April2026!r17 (G012; prerana): Yes [SELECTED] | RationaleSheet_April20_v1!r25 (G013; kyle): Yes | Prerana EPA re-evaluation (user-confirmed for ICAResults_25April2026 1:16): No [LATEST PRERANA]</t>
  </si>
  <si>
    <t>ICAResults_25April2026!r17[G012]; ICAResults_25April2026!r25[G013]; RationaleSheet_April20_v1!r25[G013]; User-confirmed Prerana EPA re-evaluation [1:16]</t>
  </si>
  <si>
    <t>G085</t>
  </si>
  <si>
    <t>14:10</t>
  </si>
  <si>
    <t>pp 19-20</t>
  </si>
  <si>
    <t>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oversight.8</t>
  </si>
  <si>
    <t>Equivalent text variant merged into HK-006; cleaner representative retained.</t>
  </si>
  <si>
    <t>HK-006</t>
  </si>
  <si>
    <t>ICAResults_25April2026!r47; RationaleSheet_April20_v1!r78</t>
  </si>
  <si>
    <t>1:20</t>
  </si>
  <si>
    <t>ESF and support annex should develop a detailed operations plan on how they will become operational and coordinate with other annexes and ESF’s during a major incident</t>
  </si>
  <si>
    <t>This is not unlearning. It doesn't identify a problem area or show a departure from past practice. It is an additive change.</t>
  </si>
  <si>
    <t>RationaleSheet_April20_v1!row 21 (Manual recency/adjudication rule)</t>
  </si>
  <si>
    <t>RationaleSheet_April20_v1!row 21</t>
  </si>
  <si>
    <t>Conflicting historical binary labels (No/Yes); final label follows RationaleSheet_April20_v1!row 21. Multiple labelers (anmol, prerana); exact-duplicate priority yields anmol. Same/equivalent passage has conflicting annotation numbers (1:14, 1:20); selected 1:20. Latest rationale overrides stale code field (Yes in Codes vs No final). Manual latest-label rule applied: Manual recency/adjudication rule. Prerana's latest EPA re-evaluation changes her coder-specific label for 1:14 to No. Gold remains No because the higher-priority/selected gold label is already No.</t>
  </si>
  <si>
    <t>ICAResults_25April2026!r15 (G010; prerana): Yes | RationaleSheet_April20_v1!r21 (G010; anmol): No [SELECTED] | Prerana EPA re-evaluation (user-confirmed for ICAResults_25April2026 1:14): No [LATEST PRERANA]</t>
  </si>
  <si>
    <t>ICAResults_25April2026!r15[G010]; RationaleSheet_April20_v1!r21[G010]; User-confirmed Prerana EPA re-evaluation [1:14]</t>
  </si>
  <si>
    <t>G050</t>
  </si>
  <si>
    <t>2:6</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</si>
  <si>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t>
  </si>
  <si>
    <t>Codebook-example leakage</t>
  </si>
  <si>
    <t>Removed for direct test leakage: exact match to the revised codebook's binary Unlearning example.</t>
  </si>
  <si>
    <t>anmol, kyle</t>
  </si>
  <si>
    <t>ICAResults_25April2026!r60; RationaleSheet_April20_v1!r35; AnmolRationale_August12!r31</t>
  </si>
  <si>
    <t>EPA-014</t>
  </si>
  <si>
    <t>1:4</t>
  </si>
  <si>
    <t>p 12</t>
  </si>
  <si>
    <t>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t>
  </si>
  <si>
    <t>This is unlearning. It identifies communication and coordination as problems. it goes on to share specific solutions which seem to present fundamental change.</t>
  </si>
  <si>
    <t>AnmolRationale_August12!row 5 (Latest Anmol August 12 re-evaluation)</t>
  </si>
  <si>
    <t>AnmolRationale_August12!row 5</t>
  </si>
  <si>
    <t>Source span contains multiple paragraphs and a bullet list; verify paragraph-level unit.</t>
  </si>
  <si>
    <t>AnmolRationale_August12!r5 (G014; anmol): Yes [SELECTED] | ICAResults_25April2026!r5 (G014; anmol): Yes | RationaleSheet_April20_v1!r5 (G014; anmol): Yes</t>
  </si>
  <si>
    <t>AnmolRationale_August12!r5[G014]; ICAResults_25April2026!r5[G014]; RationaleSheet_April20_v1!r5[G014]</t>
  </si>
  <si>
    <t>G064</t>
  </si>
  <si>
    <t>2:13</t>
  </si>
  <si>
    <t>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t>
  </si>
  <si>
    <t>Removed for test leakage: contains a 21-token verbatim segment from the revised codebook's binary Unlearning example.</t>
  </si>
  <si>
    <t>ICAResults_25April2026!r67; RationaleSheet_April20_v1!r42; AnmolRationale_August12!r38</t>
  </si>
  <si>
    <t>Region 6 officials said they have established a senior liaison position between Region 6 and Louisiana, defined roles and responsibilities between EPA and the States, and developed a DVD that addresses emergency response activities.</t>
  </si>
  <si>
    <t>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</si>
  <si>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1:17 (latest)</t>
  </si>
  <si>
    <t>Prerana's latest EPA re-evaluation changes her coder-specific label for 1:17 to No. New gold changes Yes → No under the anmol &gt; prerana &gt; kyle priority rule.</t>
  </si>
  <si>
    <t>ICAResults_25April2026!r18 (G015; prerana): Yes [SELECTED] | Prerana EPA re-evaluation (user-confirmed for ICAResults_25April2026 1:17): No [LATEST PRERANA]</t>
  </si>
  <si>
    <t>ICAResults_25April2026!r18[G015]; User-confirmed Prerana EPA re-evaluation [1:17]</t>
  </si>
  <si>
    <t>G072</t>
  </si>
  <si>
    <t>12:1</t>
  </si>
  <si>
    <t>pp 3-4</t>
  </si>
  <si>
    <t>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the current national response framework. More specifically with regard to the lessons to be learned from Hurricane Katrina:</t>
  </si>
  <si>
    <t>Removed for direct test leakage: contains the complete revised codebook Leadership example.</t>
  </si>
  <si>
    <t>ICAResults_25April2026!r29; RationaleSheet_April20_v1!r60; AnmolRationale_August12!r7</t>
  </si>
  <si>
    <t>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t>
  </si>
  <si>
    <t>Depth: Moderate depth, Nature: Technical Nature, Pillar: Realignment (Technical), Stakeholder: EPA, Stakeholder: Stakeholders, Unlearning</t>
  </si>
  <si>
    <t>This is unlearning. They are specifically using keyword reevaluation, which speaks to departure from past practices. They identify specific problems regarding communication, equipment and data</t>
  </si>
  <si>
    <t>AnmolRationale_August12!row 6 (Latest Anmol August 12 re-evaluation)</t>
  </si>
  <si>
    <t>AnmolRationale_August12!row 6</t>
  </si>
  <si>
    <t>Consolidated equivalent text groups G001, G002; retained cleaner representative G001. Also consolidated repeated annotations across source sheets.</t>
  </si>
  <si>
    <t>Removed embedded SCRIBE footnote</t>
  </si>
  <si>
    <t>AnmolRationale_August12!r6 (G002; anmol): Yes [SELECTED] | ICAResults_25April2026!r6 (G001; anmol): Yes | RationaleSheet_April20_v1!r6 (G002; anmol): Yes</t>
  </si>
  <si>
    <t>AnmolRationale_August12!r6[G002]; ICAResults_25April2026!r6[G001]; RationaleSheet_April20_v1!r6[G002]</t>
  </si>
  <si>
    <t>G080</t>
  </si>
  <si>
    <t>12:7</t>
  </si>
  <si>
    <t>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t>
  </si>
  <si>
    <t>Removed for direct test leakage: contains the complete revised codebook Funds/resource-allocation example.</t>
  </si>
  <si>
    <t>ICAResults_25April2026!r35; RationaleSheet_April20_v1!r66; AnmolRationale_August12!r10</t>
  </si>
  <si>
    <t>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t>
  </si>
  <si>
    <t>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</si>
  <si>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1:18 (latest)</t>
  </si>
  <si>
    <t>Multiple labelers (prerana, kyle); parent-passage labeler rule yields prerana. Prerana's latest EPA re-evaluation changes her coder-specific label for 1:18 to No. New gold changes Yes → No under the anmol &gt; prerana &gt; kyle priority rule. Current coder disagreement is prerana=No and kyle=Yes; new gold follows Prerana.</t>
  </si>
  <si>
    <t>Kept parent span G016; removed child group(s) G017. Parent passage labeler retained. Also consolidated repeated annotations across source sheets. University of Delaware duplicate/system annotation(s) ignored.</t>
  </si>
  <si>
    <t>ICAResults_25April2026!r22 (G017; kyle): Yes | ICAResults_25April2026!r19 (G016; prerana): Yes [SELECTED] | RationaleSheet_April20_v1!r22 (G017; kyle): Yes | Prerana EPA re-evaluation (user-confirmed for ICAResults_25April2026 1:18): No [LATEST PRERANA]</t>
  </si>
  <si>
    <t>ICAResults_25April2026!r19[G016]; ICAResults_25April2026!r22[G017]; RationaleSheet_April20_v1!r22[G017]; User-confirmed Prerana EPA re-evaluation [1:18]</t>
  </si>
  <si>
    <t>G086</t>
  </si>
  <si>
    <t>14:12</t>
  </si>
  <si>
    <t>pp 29-30</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</si>
  <si>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t>
  </si>
  <si>
    <t>Removed for direct test leakage: contains the revised codebook Agency example within a longer passage.</t>
  </si>
  <si>
    <t>ICAResults_25April2026!r49; RationaleSheet_April20_v1!r80; AnmolRationale_August12!r23; GPT Test!r10</t>
  </si>
  <si>
    <t>EPA-018</t>
  </si>
  <si>
    <t>p 18</t>
  </si>
  <si>
    <t>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t>
  </si>
  <si>
    <t>ICAResults_25April2026!row 21 (Latest available record by sheet chronology)</t>
  </si>
  <si>
    <t>Same/equivalent passage has conflicting annotation numbers (1:20, 1:27); selected 1:20. Selected latest record has no rationale.</t>
  </si>
  <si>
    <t>ICAResults_25April2026!r21 (G018; kyle): Yes [SELECTED] | RationaleSheet_April20_v1!r28 (G018; kyle): Yes</t>
  </si>
  <si>
    <t>ICAResults_25April2026!r21[G018]; RationaleSheet_April20_v1!r28[G018]</t>
  </si>
  <si>
    <t>G092</t>
  </si>
  <si>
    <t>14:1, 14:15, 14:16, 14:2</t>
  </si>
  <si>
    <t>p 2</t>
  </si>
  <si>
    <t>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t>
  </si>
  <si>
    <t>Removed for direct test leakage: near-verbatim/full-content match to the revised codebook Agency example. University of Delaware duplicate/system annotation(s) were ignored.</t>
  </si>
  <si>
    <t>ICAResults_25April2026!r53; RationaleSheet_April20_v1!r70; AnmolRationale_August12!r13; GPT Test!r2; Findings!r8</t>
  </si>
  <si>
    <t>EPA-019</t>
  </si>
  <si>
    <t>1:22</t>
  </si>
  <si>
    <t>p 20</t>
  </si>
  <si>
    <t>Although the analytical capacity for Mississippi and Louisiana was diminished after Katrina, EPA Regions 4, 6, and 8 addressed this by providing mobile laboratories and staff to Mississippi and Louisiana to provide monitoring and analytical support for drinking water.</t>
  </si>
  <si>
    <t>ICAResults_25April2026!row 23 (Latest available record by sheet chronology)</t>
  </si>
  <si>
    <t>Same/equivalent passage has conflicting annotation numbers (1:22, 1:23); selected 1:22. Selected latest record has no rationale.</t>
  </si>
  <si>
    <t>ICAResults_25April2026!r23 (G019; kyle): Yes [SELECTED] | RationaleSheet_April20_v1!r24 (G019; kyle): Yes</t>
  </si>
  <si>
    <t>ICAResults_25April2026!r23[G019]; RationaleSheet_April20_v1!r24[G019]</t>
  </si>
  <si>
    <t>G096</t>
  </si>
  <si>
    <t>14:3</t>
  </si>
  <si>
    <t>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</si>
  <si>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Removed for direct test leakage: contains Leadership and Laws/plans/policies example language from the revised codebook.</t>
  </si>
  <si>
    <t>ICAResults_25April2026!r40; RationaleSheet_April20_v1!r71; AnmolRationale_August12!r14; GPT Test!r3</t>
  </si>
  <si>
    <t>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t>
  </si>
  <si>
    <t>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t>
  </si>
  <si>
    <t>User-confirmed Prerana EPA re-evaluation of ICAResults_25April2026 1:19 (latest)</t>
  </si>
  <si>
    <t>Multiple labelers (prerana, kyle); parent-passage labeler rule yields prerana. Prerana's latest EPA re-evaluation changes her coder-specific label for 1:19 to No. New gold changes Yes → No under the anmol &gt; prerana &gt; kyle priority rule. Current coder disagreement is prerana=No and kyle=Yes; new gold follows Prerana.</t>
  </si>
  <si>
    <t>Kept parent span G020; removed child group(s) G021. Parent passage labeler retained. Also consolidated repeated annotations across source sheets. University of Delaware duplicate/system annotation(s) ignored.</t>
  </si>
  <si>
    <t>ICAResults_25April2026!r28 (G021; kyle): Yes | ICAResults_25April2026!r20 (G020; prerana): Yes [SELECTED] | RationaleSheet_April20_v1!r27 (G021; kyle): Yes | Prerana EPA re-evaluation (user-confirmed for ICAResults_25April2026 1:19): No [LATEST PRERANA]</t>
  </si>
  <si>
    <t>ICAResults_25April2026!r20[G020]; ICAResults_25April2026!r28[G021]; RationaleSheet_April20_v1!r27[G021]; User-confirmed Prerana EPA re-evaluation [1:19]</t>
  </si>
  <si>
    <t>G097</t>
  </si>
  <si>
    <t>14:1, 14:15</t>
  </si>
  <si>
    <t>2) removing statutory restrictions on DOD’s authority to activate Reserve units for catastrophic disaster relief.</t>
  </si>
  <si>
    <t>Removed for direct test leakage: near-verbatim match to the revised codebook Laws/plans/policies example; also a child of G096.</t>
  </si>
  <si>
    <t>ICAResults_25April2026!r52; RationaleSheet_April20_v1!r69; AnmolRationale_August12!r12</t>
  </si>
  <si>
    <t>HK-001</t>
  </si>
  <si>
    <t>14:5</t>
  </si>
  <si>
    <t>pp 14-15</t>
  </si>
  <si>
    <t>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t>
  </si>
  <si>
    <t>gao-06-442t.pdf</t>
  </si>
  <si>
    <t>Depth: Moderate depth, Nature: Normative Nature, Pillar: Reconsidering (Epistemic), Stakeholder: Miscelleanous, Unlearning</t>
  </si>
  <si>
    <t>unlearning as it discards teh assumption of the traditional layered approach for evolving incidents.</t>
  </si>
  <si>
    <t>AnmolRationale_August12!row 16 (Latest Anmol August 12 re-evaluation)</t>
  </si>
  <si>
    <t>AnmolRationale_August12!row 16</t>
  </si>
  <si>
    <t>AnmolRationale_August12!r16 (G084; anmol): Yes [SELECTED] | ICAResults_25April2026!r42 (G084; kyle): Yes | RationaleSheet_April20_v1!r73 (G084; kyle): Yes | GPT Test!r5 (G084; anmol): Yes</t>
  </si>
  <si>
    <t>AnmolRationale_August12!r16[G084]; GPT Test!r5[G084]; ICAResults_25April2026!r42[G084]; RationaleSheet_April20_v1!r73[G084]</t>
  </si>
  <si>
    <t>G098</t>
  </si>
  <si>
    <t>14:16, 14:2</t>
  </si>
  <si>
    <t>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t>
  </si>
  <si>
    <t>Removed for direct test leakage: contains the revised codebook Laws/plans/policies example; also a child of G096. University of Delaware duplicate/system annotation(s) were ignored.</t>
  </si>
  <si>
    <t>HK-002</t>
  </si>
  <si>
    <t>14:6</t>
  </si>
  <si>
    <t>p 15</t>
  </si>
  <si>
    <t>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t>
  </si>
  <si>
    <t>Depth: Moderate depth, Nature: Normative Nature, Pillar: Reconsidering (Epistemic), Stakeholder: Congress, Unlearning</t>
  </si>
  <si>
    <t>Not unlearning. It doesnt identify a specific issue and the change it suggest in atuhority doesnt sound like amajor departure from teh past norms.</t>
  </si>
  <si>
    <t>AnmolRationale_August12!row 17 (Latest Anmol August 12 re-evaluation)</t>
  </si>
  <si>
    <t>AnmolRationale_August12!row 17</t>
  </si>
  <si>
    <t>Conflicting historical binary labels (No/Yes); final label follows AnmolRationale_August12!row 17. Multiple labelers (anmol, kyle); exact-duplicate priority yields anmol. Latest rationale overrides stale code field (Yes in Codes vs No final).</t>
  </si>
  <si>
    <t>AnmolRationale_August12!r17 (G088; anmol): No [SELECTED] | ICAResults_25April2026!r43 (G088; kyle): Yes | RationaleSheet_April20_v1!r74 (G088; kyle): Yes | GPT Test!r6 (G088; anmol): Yes</t>
  </si>
  <si>
    <t>AnmolRationale_August12!r17[G088]; GPT Test!r6[G088]; ICAResults_25April2026!r43[G088]; RationaleSheet_April20_v1!r74[G088]</t>
  </si>
  <si>
    <t>G099</t>
  </si>
  <si>
    <t>14:4</t>
  </si>
  <si>
    <t>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t>
  </si>
  <si>
    <t>ICAResults_25April2026!r41; RationaleSheet_April20_v1!r72; AnmolRationale_August12!r15; GPT Test!r4</t>
  </si>
  <si>
    <t>HK-003</t>
  </si>
  <si>
    <t>14:7</t>
  </si>
  <si>
    <t>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t>
  </si>
  <si>
    <t>Depth: High depth, Nature: Normative Nature, Pillar: Discarding (Normative), Pillar: Reconsidering (Epistemic), Stakeholder: Miscelleanous, Unlearning</t>
  </si>
  <si>
    <t>Unlearning as it specifically talks about discarding rules and regulations and SOPs that come in the way of flexibility and vital supplies.</t>
  </si>
  <si>
    <t>AnmolRationale_August12!row 18 (Latest Anmol August 12 re-evaluation)</t>
  </si>
  <si>
    <t>AnmolRationale_August12!row 18</t>
  </si>
  <si>
    <t>AnmolRationale_August12!r18 (G089; anmol): Yes [SELECTED] | ICAResults_25April2026!r44 (G089; kyle): Yes | RationaleSheet_April20_v1!r75 (G089; kyle): Yes | GPT Test!r7 (G089; anmol): Yes | Findings!r7 (G089; no labeler): Yes</t>
  </si>
  <si>
    <t>AnmolRationale_August12!r18[G089]; Findings!r7[G089]; GPT Test!r7[G089]; ICAResults_25April2026!r44[G089]; RationaleSheet_April20_v1!r75[G089]</t>
  </si>
  <si>
    <t>G087</t>
  </si>
  <si>
    <t>14:17</t>
  </si>
  <si>
    <t>p 1</t>
  </si>
  <si>
    <t>March 8, 2006 HURRICANE KATRINA</t>
  </si>
  <si>
    <t>Non-paragraph artifact</t>
  </si>
  <si>
    <t>Removed because the record is a report title/date line, not a paragraph.</t>
  </si>
  <si>
    <t>ICAResults_25April2026!r54; RationaleSheet_April20_v1!r85</t>
  </si>
  <si>
    <t>HK-004</t>
  </si>
  <si>
    <t>14:8</t>
  </si>
  <si>
    <t>p 19</t>
  </si>
  <si>
    <t>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t>
  </si>
  <si>
    <t>Depth: High depth, Nature: Technical Nature, Pillar: Merging (Integrative), Stakeholder: Miscelleanous, Unlearning</t>
  </si>
  <si>
    <t>Unlearning as it identifies interoperable communication as a clear policy problem and tmakes recommendations that seem to suggest departure from teh past approached.</t>
  </si>
  <si>
    <t>AnmolRationale_August12!row 19 (Latest Anmol August 12 re-evaluation)</t>
  </si>
  <si>
    <t>AnmolRationale_August12!row 19</t>
  </si>
  <si>
    <t>AnmolRationale_August12!r19 (G091; anmol): Yes [SELECTED] | ICAResults_25April2026!r45 (G091; kyle): Yes | RationaleSheet_April20_v1!r76 (G091; kyle): Yes | GPT Test!r8 (G091; anmol): Yes | Findings!r6 (G091; no labeler): Yes</t>
  </si>
  <si>
    <t>AnmolRationale_August12!r19[G091]; Findings!r6[G091]; GPT Test!r8[G091]; ICAResults_25April2026!r45[G091]; RationaleSheet_April20_v1!r76[G091]</t>
  </si>
  <si>
    <t>HK-005</t>
  </si>
  <si>
    <t>14:9</t>
  </si>
  <si>
    <t>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t>
  </si>
  <si>
    <t>Depth: High depth, Nature: Normative Nature, Pillar: Reconsidering (Epistemic), Stakeholder: Dept of Defense, Unlearning</t>
  </si>
  <si>
    <t>Not unleaarning. They identify a problem, but offer not clear reform that breaks from the past practices.</t>
  </si>
  <si>
    <t>AnmolRationale_August12!row 20 (Latest Anmol August 12 re-evaluation)</t>
  </si>
  <si>
    <t>AnmolRationale_August12!row 20</t>
  </si>
  <si>
    <t>Conflicting historical binary labels (No/Yes); final label follows AnmolRationale_August12!row 20. Multiple labelers (anmol, kyle); exact-duplicate priority yields anmol. Latest rationale overrides stale code field (Yes in Codes vs No final).</t>
  </si>
  <si>
    <t>AnmolRationale_August12!r20 (G090; anmol): No [SELECTED] | ICAResults_25April2026!r46 (G090; kyle): Yes | RationaleSheet_April20_v1!r77 (G090; kyle): Yes | GPT Test!r9 (G090; anmol): Yes | Findings!r5 (G090; no labeler): Yes</t>
  </si>
  <si>
    <t>AnmolRationale_August12!r20[G090]; Findings!r5[G090]; GPT Test!r9[G090]; ICAResults_25April2026!r46[G090]; RationaleSheet_April20_v1!r77[G090]</t>
  </si>
  <si>
    <t>not unlearning as the reforms seem additive capacity building related, not fundamental changes.</t>
  </si>
  <si>
    <t>AnmolRationale_August12!row 21 (Latest Anmol August 12 re-evaluation)</t>
  </si>
  <si>
    <t>AnmolRationale_August12!row 21</t>
  </si>
  <si>
    <t>Consolidated equivalent text groups G083, G085; retained cleaner representative G083. Also consolidated repeated annotations across source sheets.</t>
  </si>
  <si>
    <t>AnmolRationale_August12!r21 (G083; anmol): No [SELECTED] | ICAResults_25April2026!r47 (G085; kyle): No | RationaleSheet_April20_v1!r78 (G085; kyle): No</t>
  </si>
  <si>
    <t>AnmolRationale_August12!r21[G083]; ICAResults_25April2026!r47[G085]; RationaleSheet_April20_v1!r78[G085]</t>
  </si>
  <si>
    <t>HK-007</t>
  </si>
  <si>
    <t>14:11</t>
  </si>
  <si>
    <t>p 24</t>
  </si>
  <si>
    <t>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t>
  </si>
  <si>
    <t>Not unlearning as these seem additional capacity related.</t>
  </si>
  <si>
    <t>AnmolRationale_August12!row 22 (Latest Anmol August 12 re-evaluation)</t>
  </si>
  <si>
    <t>AnmolRationale_August12!row 22</t>
  </si>
  <si>
    <t>AnmolRationale_August12!r22 (G093; anmol): No [SELECTED] | ICAResults_25April2026!r48 (G093; kyle): No | RationaleSheet_April20_v1!r79 (G093; kyle): No | Findings!r2 (G093; no labeler): No</t>
  </si>
  <si>
    <t>AnmolRationale_August12!r22[G093]; Findings!r2[G093]; ICAResults_25April2026!r48[G093]; RationaleSheet_April20_v1!r79[G093]</t>
  </si>
  <si>
    <t>HK-008</t>
  </si>
  <si>
    <t>14:13</t>
  </si>
  <si>
    <t>p 37</t>
  </si>
  <si>
    <t>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t>
  </si>
  <si>
    <t>This is unlearning as it identifies a problem in resettlement adn healthcare, and makes a cse for shifting away from hospital-centric system</t>
  </si>
  <si>
    <t>AnmolRationale_August12!row 24 (Latest Anmol August 12 re-evaluation)</t>
  </si>
  <si>
    <t>RationaleSheet_April20_v1!row 81 (supporting older rationale)</t>
  </si>
  <si>
    <t>Multiple labelers (anmol, kyle); exact-duplicate priority yields anmol. Selected latest record has no rationale; an older consistent rationale is shown for context.</t>
  </si>
  <si>
    <t>AnmolRationale_August12!r24 (G094; anmol): Yes [SELECTED] | ICAResults_25April2026!r50 (G094; kyle): Yes | RationaleSheet_April20_v1!r81 (G094; kyle): Yes | GPT Test!r11 (G094; anmol): Yes</t>
  </si>
  <si>
    <t>AnmolRationale_August12!r24[G094]; GPT Test!r11[G094]; ICAResults_25April2026!r50[G094]; RationaleSheet_April20_v1!r81[G094]</t>
  </si>
  <si>
    <t>HK-009</t>
  </si>
  <si>
    <t>14:14</t>
  </si>
  <si>
    <t>p 39</t>
  </si>
  <si>
    <t>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t>
  </si>
  <si>
    <t>Depth: High depth, Nature: Technical Nature, Pillar: Reconsidering (Epistemic), Stakeholder: Miscelleanous, Unlearning</t>
  </si>
  <si>
    <t>Unlearning as it idenfieis fundamental shift in healthcare practice toward preventative care</t>
  </si>
  <si>
    <t>AnmolRationale_August12!row 25 (Latest Anmol August 12 re-evaluation)</t>
  </si>
  <si>
    <t>AnmolRationale_August12!row 25</t>
  </si>
  <si>
    <t>AnmolRationale_August12!r25 (G095; anmol): Yes [SELECTED] | ICAResults_25April2026!r51 (G095; kyle): Yes | RationaleSheet_April20_v1!r82 (G095; kyle): Yes | GPT Test!r12 (G095; anmol): Yes</t>
  </si>
  <si>
    <t>AnmolRationale_August12!r25[G095]; GPT Test!r12[G095]; ICAResults_25April2026!r51[G095]; RationaleSheet_April20_v1!r82[G095]</t>
  </si>
  <si>
    <t>HK-010</t>
  </si>
  <si>
    <t>“As was noted during a hearing before this committee, technological advances should provide the capability to prevent or significantly reduce “the fog of war” during a catastrophe. The secretary also has announced plans for better logistics and debris removal capabilities.”</t>
  </si>
  <si>
    <t>example of learning through better logistics and debris removal capabilities.</t>
  </si>
  <si>
    <t>Findings!row 3 (Latest available record by sheet chronology)</t>
  </si>
  <si>
    <t>Findings!row 3</t>
  </si>
  <si>
    <t>No original human labeler was recorded; passage appears only in Findings.</t>
  </si>
  <si>
    <t>Findings!r3 (G081; no labeler): No [SELECTED]</t>
  </si>
  <si>
    <t>Findings!r3[G081]</t>
  </si>
  <si>
    <t>HK-011</t>
  </si>
  <si>
    <t>“For example, although the National Disaster Medical System (NDMS) is a mechanism through which the federal government can provide assistance with patient evacuations, NDMS has agreements with hospitals only and does not address the needs of nursing homes.”</t>
  </si>
  <si>
    <t>It aims to add nursing homes to the medical system but the underlying logic of the NDMS</t>
  </si>
  <si>
    <t>Findings!row 4 (Latest available record by sheet chronology)</t>
  </si>
  <si>
    <t>Findings!row 4</t>
  </si>
  <si>
    <t>Findings!r4 (G082; no labeler): No [SELECTED]</t>
  </si>
  <si>
    <t>Findings!r4[G082]</t>
  </si>
  <si>
    <t>PAR-001</t>
  </si>
  <si>
    <t>At the time of Hurricane Katrina, the NRP was in place yet remained largely untested. It had been used for smaller emergencies prior to Katrina, but the hurricane marked the fi rst time the NRP was used for a catastrophic event. Complicating matters further, FEMA headquarters and its 10 regions diff 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 ict among regions and even between managers within a FEMA region and at headquarters occurred frequently (Olasky 2006; Sylves 2006).</t>
  </si>
  <si>
    <t>Public Administration Review - 2010 - McGuire - What if Hurricane Katrina Hit in 2020 The Need for Strategic Management of (1).pdf</t>
  </si>
  <si>
    <t>It identifies NRP as a specific plan that didn't work as well as conflict among regions. It asks for discontinuous change but implicitly.</t>
  </si>
  <si>
    <t>AnmolRationale_August12!row 56 (Latest Anmol August 12 re-evaluation)</t>
  </si>
  <si>
    <t>AnmolRationale_August12!row 56</t>
  </si>
  <si>
    <t>AnmolRationale_August12!r56 (G031; anmol): Yes [SELECTED] | PAR_Anmol_June27!r2 (G031; anmol): Yes</t>
  </si>
  <si>
    <t>AnmolRationale_August12!r56[G031]; PAR_Anmol_June27!r2[G031]</t>
  </si>
  <si>
    <t>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 ective bureaucratic agencies are characterized by well-established procedures, eff ective leadership, and clear objectives. An early assessment suggests that problems associated with all three of these bureaucratic characteristics weakened governmental eff orts to respond quickly and eff 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t>
  </si>
  <si>
    <t>Target: Laws &amp; Policies, Target: Leadership, Target: Misclleanous (culture, communication norms, or inter-agency coordination), Unlearning</t>
  </si>
  <si>
    <t>Identifies lack of strategic management, coordination and collaboration as failures requiring discontinuous reform.</t>
  </si>
  <si>
    <t>AnmolRationale_August12!row 57 (Latest Anmol August 12 re-evaluation)</t>
  </si>
  <si>
    <t>AnmolRationale_August12!row 57</t>
  </si>
  <si>
    <t>Multiple labelers (anmol, prerana); parent-passage labeler rule yields anmol. Long parent span contains multiple component paragraphs; kept parent and removed child duplicate.</t>
  </si>
  <si>
    <t>Kept parent span G032; removed child group(s) G029. Parent passage labeler retained. Also consolidated repeated annotations across source sheets.</t>
  </si>
  <si>
    <t>AnmolRationale_August12!r57 (G032; anmol): Yes [SELECTED] | PAR_Prerana_July17!r1 (G029; prerana): Yes | PAR_Anmol_June27!r3 (G032; anmol): Yes</t>
  </si>
  <si>
    <t>AnmolRationale_August12!r57[G032]; PAR_Anmol_June27!r3[G032]; PAR_Prerana_July17!r1[G029]</t>
  </si>
  <si>
    <t>PAR-003</t>
  </si>
  <si>
    <t>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 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 ective strategic management of disasters necessarily must focus on all issues and phases.</t>
  </si>
  <si>
    <t>Target: Misclleanous (culture, communication norms, or inter-agency coordination), Unlearning</t>
  </si>
  <si>
    <t>It clearly reject excessive focus on one phase of emergency mgmt and calls for focus on others.</t>
  </si>
  <si>
    <t>AnmolRationale_August12!row 58 (Latest Anmol August 12 re-evaluation)</t>
  </si>
  <si>
    <t>AnmolRationale_August12!row 58</t>
  </si>
  <si>
    <t>AnmolRationale_August12!r58 (G033; anmol): Yes [SELECTED] | PAR_Anmol_June27!r4 (G033; anmol): Yes</t>
  </si>
  <si>
    <t>AnmolRationale_August12!r58[G033]; PAR_Anmol_June27!r4[G033]</t>
  </si>
  <si>
    <t>PAR-004</t>
  </si>
  <si>
    <t>Historically, major hurricanes have left in their wake fresh congressional enactments that enlarged the federal role in disaster response, and Katrina was no diff erent. One of the fi rst major casualties of the emergency management infrastructure overhaul was the National Response Plan. It was deemed diffi cult to understand and implement; at more than 400 pages, overly complicated and bureaucratic; and generally confusing (Birkland and Waterman 2008). Its development had eff ectively excluded the participation of nonfederal stakeholders, such as states and localities, and suff ered from limited comment periods for all parties, including federal partners and the public.</t>
  </si>
  <si>
    <t>Target: Laws &amp; Policies, Target: Misclleanous (culture, communication norms, or inter-agency coordination), Unlearning</t>
  </si>
  <si>
    <t>Identifies national response plan as problematic and long and indicates subtraction/consciness. Rejects govt led approach for more collaborataive approach.</t>
  </si>
  <si>
    <t>AnmolRationale_August12!row 59 (Latest Anmol August 12 re-evaluation)</t>
  </si>
  <si>
    <t>AnmolRationale_August12!row 59</t>
  </si>
  <si>
    <t>Multiple labelers (anmol, prerana); exact-duplicate priority yields anmol.</t>
  </si>
  <si>
    <t>AnmolRationale_August12!r59 (G034; anmol): Yes [SELECTED] | PAR_Prerana_July17!r4 (G034; prerana): Yes | PAR_Anmol_June27!r5 (G034; anmol): Yes</t>
  </si>
  <si>
    <t>AnmolRationale_August12!r59[G034]; PAR_Anmol_June27!r5[G034]; PAR_Prerana_July17!r4[G034]</t>
  </si>
  <si>
    <t>PAR-005</t>
  </si>
  <si>
    <t>In response to the post-Katrina legislation and perceived problems with the implementation of the NRP, the Department of Homeland Security substantially revised the plan, with more involvement from stakeholders, and reissued it in 2008 as the National Response Framework. In its fi nal form, the National Response Framework is part of an overall national strategy for homeland security, attempting to build adaptability and fl exibility into response eff orts by setting up a general framework rather than a specifi c prescription. Its intent is to provide the doctrine and guiding principles for a unifi ed response at all levels of government for all types of hazards, but to give users some latitude as to how they choose to respond.</t>
  </si>
  <si>
    <t>Unlearning; Target: Laws, Plans &amp; Policies; Agency: Department of Homeland Security</t>
  </si>
  <si>
    <t>Prior framework identified as problematic; deliberate revision and replacement with a new framework.</t>
  </si>
  <si>
    <t>PAR_Prerana_July17!row 7 (Latest available record by sheet chronology)</t>
  </si>
  <si>
    <t>PAR_Prerana_July17!row 7</t>
  </si>
  <si>
    <t>PAR_Prerana_July17!r7 (G030; prerana): Yes [SELECTED]</t>
  </si>
  <si>
    <t>PAR_Prerana_July17!r7[G030]</t>
  </si>
  <si>
    <t>PAR-006</t>
  </si>
  <si>
    <t>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t>
  </si>
  <si>
    <t>Target: Laws &amp; Policies, Unlearning</t>
  </si>
  <si>
    <t>It identifies a clear fault in NRP and assumptions around stakeholder communication, capacity and responsibility. It asks for a change in thinking of strategic capacity.</t>
  </si>
  <si>
    <t>AnmolRationale_August12!row 60 (Latest Anmol August 12 re-evaluation)</t>
  </si>
  <si>
    <t>AnmolRationale_August12!row 60</t>
  </si>
  <si>
    <t>AnmolRationale_August12!r60 (G035; anmol): Yes [SELECTED] | PAR_Prerana_July17!r11 (G035; prerana): Yes | PAR_Anmol_June27!r6 (G035; anmol): Yes</t>
  </si>
  <si>
    <t>AnmolRationale_August12!r60[G035]; PAR_Anmol_June27!r6[G035]; PAR_Prerana_July17!r11[G035]</t>
  </si>
  <si>
    <t>PAR-007</t>
  </si>
  <si>
    <t>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 us, a necessary but sometimes diffi cult balance, the merging of hierarchy and collaborative networks, is present in emergency management.</t>
  </si>
  <si>
    <t>Target: Leadership, Target: Misclleanous (culture, communication norms, or inter-agency coordination), Unlearning</t>
  </si>
  <si>
    <t>It calls for abandoning or at least reforming top-down management for a more balanced and collborative networked approach.</t>
  </si>
  <si>
    <t>AnmolRationale_August12!row 61 (Latest Anmol August 12 re-evaluation)</t>
  </si>
  <si>
    <t>AnmolRationale_August12!row 61</t>
  </si>
  <si>
    <t>AnmolRationale_August12!r61 (G036; anmol): Yes [SELECTED] | PAR_Anmol_June27!r7 (G036; anmol): Yes</t>
  </si>
  <si>
    <t>AnmolRationale_August12!r61[G036]; PAR_Anmol_June27!r7[G036]</t>
  </si>
  <si>
    <t>PAR-008</t>
  </si>
  <si>
    <t>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t>
  </si>
  <si>
    <t>Target: Capacity, Unlearning</t>
  </si>
  <si>
    <t>This points technology related unlearning. The earlier assumption that needs to be abandoned is that gis related tools is widley accessible and usable than before. Also, abandoning the assumption that externally oriented mgmt and networkign and collaboration is a soft skill.</t>
  </si>
  <si>
    <t>AnmolRationale_August12!row 62 (Latest Anmol August 12 re-evaluation)</t>
  </si>
  <si>
    <t>AnmolRationale_August12!row 62</t>
  </si>
  <si>
    <t>Source span contains more than one paragraph; verify paragraph boundary.</t>
  </si>
  <si>
    <t>AnmolRationale_August12!r62 (G037; anmol): Yes [SELECTED] | PAR_Anmol_June27!r8 (G037; anmol): Yes</t>
  </si>
  <si>
    <t>AnmolRationale_August12!r62[G037]; PAR_Anmol_June27!r8[G037]</t>
  </si>
  <si>
    <t>Code</t>
  </si>
  <si>
    <t>Definition</t>
  </si>
  <si>
    <t>Detection Logic</t>
  </si>
  <si>
    <t>Examples</t>
  </si>
  <si>
    <t>Positive Clarification</t>
  </si>
  <si>
    <t>Negative Clarification</t>
  </si>
  <si>
    <t>Step 1 -- Binary classification based on unlearning definition</t>
  </si>
  <si>
    <t>Unlearning (Yes/No)</t>
  </si>
  <si>
    <t>Does the text explicitly identify a prior policy, assumption, practice, or technical system as inadequate or harmful — AND call for its removal, replacement, or fundamental rethinking?
If YES → code as Unlearning; proceed to Step 2.
If NO  → do not code; stop here.</t>
  </si>
  <si>
    <t>"[Keep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
— EPA Report
(Prior assumption explicitly rejected; new approach mandated.)</t>
  </si>
  <si>
    <t>Code when the text:
• Names a specific prior assumption, policy, practice, or system as the source of failure.
• Explicitly calls for abandoning, replacing, dismantling, or fundamentally rethinking it.
• Frames the departure from past practice as necessary — not merely aspirational.</t>
  </si>
  <si>
    <t>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t>
  </si>
  <si>
    <t>STEP 2 — TARGET OF UNLEARNING (assign one per passage)</t>
  </si>
  <si>
    <t>Target (Leadership)</t>
  </si>
  <si>
    <t>The text questions or redefines the role, authority, or responsibilities of a specific leadership position (e.g., DHS Secretary, FEMA Director, POTUS) in disaster management — not merely who occupies the role, but whether the role itself is fit for purpose.</t>
  </si>
  <si>
    <t>Does the text call for redefining or redistributing leadership authority — not just replacing the person in the role?</t>
  </si>
  <si>
    <t>"[A] single individual directly responsible and accountable to the President must be designated to act as the central focal point to lead and coordinate the overall federal response…"
 — GAO
 (Prior distributed-authority model is rejected in favour of unified accountability.)</t>
  </si>
  <si>
    <t>Code when the text:
 • Calls into question whether an existing leadership structure is capable of managing catastrophic events.
 • Proposes redistributing, consolidating, or redefining authority at the leadership level.
 • Frames past leadership arrangements as a root cause of failure.</t>
  </si>
  <si>
    <t>DO NOT code if:
 • The text recommends appointing a new person to an existing, unchanged role.
 • Minor reporting-line adjustments are proposed without questioning the underlying authority structure.
 • Leadership is mentioned only as context, not as the object of change.</t>
  </si>
  <si>
    <t>Target (laws, plans and policies)</t>
  </si>
  <si>
    <t>The text calls for terminating, replacing, or fundamentally revising a law, regulation, plan, or formal policy that is now seen as harmful, unjust, or structurally inadequate.</t>
  </si>
  <si>
    <t>Does the text identify a specific law, plan, or policy as harmful or obsolete — and call for its elimination or replacement?</t>
  </si>
  <si>
    <t>"Removing statutory restrictions on DOD authority to activate Reserve units for catastrophic disaster relief."
 — GAO 
 (Existing statutory constraint identified as harmful; removal explicitly recommended.)</t>
  </si>
  <si>
    <t>Code when the text:
 • Calls for eliminating or replacing a specific statute, executive order, plan, or doctrine.
 • Frames an existing legal or policy arrangement as a root cause of failure.
 • Proposes dismantling a governance structure, not merely amending it at the margins.</t>
  </si>
  <si>
    <t>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t>
  </si>
  <si>
    <t>Target (capabilities)</t>
  </si>
  <si>
    <t>The text identifies a technical system — model, map, software, infrastructure, training protocol, or engineering standard, assessing damage, citizen service, communications, exercise  — as built on obsolete assumptions and calls for its recalibration or replacement.</t>
  </si>
  <si>
    <t>Does the text identify a specific technical system as misaligned with catastrophic or climate-amplified risk — and call for its revision or replacement?</t>
  </si>
  <si>
    <t>"We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t>
  </si>
  <si>
    <t>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t>
  </si>
  <si>
    <t>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t>
  </si>
  <si>
    <t>Target (funds and resource allocation)</t>
  </si>
  <si>
    <t>The text calls for changing how disaster funds are allocated, distributed, or governed — not merely requesting more funding, but questioning the rules or structures that govern resource flow.</t>
  </si>
  <si>
    <t>Does the text identify the existing funds management structure as inadequate — and call for changing how resources are allocated or governed?</t>
  </si>
  <si>
    <t>"Federal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t>
  </si>
  <si>
    <t>Code when the text:
 • Calls for changing the rules, structures, or authorities governing funds distribution.
 • Identifies an existing allocation logic as a source of inequity or failure.
 • Proposes dismantling or replacing a resource governance mechanism.</t>
  </si>
  <si>
    <t>DO NOT code if:
 • The text only requests additional funding without questioning how existing funds are managed.
 • A new grant programme is added without any existing allocation logic being rejected.
 • Funds management approach remains substantively unchanged.</t>
  </si>
  <si>
    <t>Target (misclleanous) organizational culture, communication norms, or inter-agency coordination logics, role of stakehodlers not captured above</t>
  </si>
  <si>
    <t>The text calls for unlearning in a domain not captured above — such as inter-agency coordination norms, communication protocols, or organisational culture — where a specific prior assumption or practice is explicitly rejected.</t>
  </si>
  <si>
    <t>Does the text call for discarding a prior assumption or practice in a domain not covered by the four targets above?</t>
  </si>
  <si>
    <t>Use sparingly. Flag for team discussion if used more than 10% of coded passages.</t>
  </si>
  <si>
    <t>Code when the text:
 • Explicitly rejects a prior norm or practice in coordination, culture, or communication.
 • Cannot reasonably be assigned to any of the four primary targets.</t>
  </si>
  <si>
    <t>DO NOT use as a default catch-all. If the passage is ambiguous across targets, assign the closest primary target and note the ambiguity. Reserve this code for genuinely novel domains.
 Flag all uses of this code for inter-coder discussion.</t>
  </si>
  <si>
    <t>STEP 3 — STAKEHOLDER / AGENCY (assign one per passage)</t>
  </si>
  <si>
    <t>Government Agency</t>
  </si>
  <si>
    <t>The specific federal agency, sub-unit, or institutional actor identified in the passage as the subject of unlearning — i.e., the entity whose prior assumption or practice is being rejected.</t>
  </si>
  <si>
    <t>Does the text name a specific agency, office, or sub-unit as the actor whose prior practice must change?</t>
  </si>
  <si>
    <t>"[O]ther factors such as leadership and resources may be more important to FEMA future success than organizational placement."
 — GAO
 (FEMA named as the agency whose organisational logic is under scrutiny.)</t>
  </si>
  <si>
    <t>Code when the text:
 • Names a specific government agency, office, or legal mechanism as the subject of change.
 • Code at the most specific level mentioned (e.g., 'FEMA Operations Division', not just 'FEMA').</t>
  </si>
  <si>
    <t>DO NOT code the agency calling for change (e.g., GAO recommending FEMA reform) — code only the agency whose practices are the object of unlearning.</t>
  </si>
  <si>
    <t>CODING PROCEDURE &amp; UNIT OF ANALYSIS</t>
  </si>
  <si>
    <t>Unit of Analysis</t>
  </si>
  <si>
    <t>Code at the paragraph level. Do not split a paragraph across multiple codes.</t>
  </si>
  <si>
    <t>Does the paragraph as a whole constitute an instance of unlearning?</t>
  </si>
  <si>
    <t>If a paragraph contains both diagnostic language and a call for change, code the paragraph as Unlearning (Yes).</t>
  </si>
  <si>
    <t>Code the entire paragraph — do not extract individual sentences.</t>
  </si>
  <si>
    <t>If the paragraph only diagnoses a problem without calling for change, do NOT code as unlearning.</t>
  </si>
  <si>
    <t>ICA Protocol</t>
  </si>
  <si>
    <t>Each coder assigns: (1) Unlearning Yes/No, (2) Target, (3) Agency. Disagreements on any dimension are flagged and resolved by majority or adjudication.</t>
  </si>
  <si>
    <t>—</t>
  </si>
  <si>
    <t>Target: Miscellaneous and boundary-case passages should be flagged for team discussion before finalising.</t>
  </si>
  <si>
    <t>Record all disagreements and resolutions in the ICA log.</t>
  </si>
  <si>
    <t>Do not adjudicate privately — all boundary cases go to the full team.</t>
  </si>
  <si>
    <t>Revised codebook — Pillars replaced by Targets | Depth &amp; Nature dimensions removed | Paragraph-level coding | Boundary cases flagged for team adjudication</t>
  </si>
  <si>
    <r>
      <rPr>
        <b/>
        <sz val="11"/>
        <color theme="1"/>
        <rFont val="Arial"/>
      </rPr>
      <t>Objective:</t>
    </r>
    <r>
      <rPr>
        <sz val="11"/>
        <color theme="1"/>
        <rFont val="Arial"/>
      </rPr>
      <t xml:space="preser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t>
    </r>
  </si>
  <si>
    <r>
      <rPr>
        <sz val="10"/>
        <color theme="1"/>
        <rFont val="Arial"/>
      </rPr>
      <t xml:space="preserve">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t>
    </r>
    <r>
      <rPr>
        <b/>
        <sz val="10"/>
        <color theme="1"/>
        <rFont val="Arial"/>
      </rPr>
      <t>Intentionality</t>
    </r>
    <r>
      <rPr>
        <sz val="10"/>
        <color theme="1"/>
        <rFont val="Arial"/>
      </rPr>
      <t xml:space="preserve"> speaks to the motivation: unlearning is deliberate and purposeful, rather than passive forgetting. 
</t>
    </r>
    <r>
      <rPr>
        <b/>
        <sz val="10"/>
        <color theme="1"/>
        <rFont val="Arial"/>
      </rPr>
      <t>Subtraction</t>
    </r>
    <r>
      <rPr>
        <sz val="10"/>
        <color theme="1"/>
        <rFont val="Arial"/>
      </rPr>
      <t xml:space="preserve"> speaks to the direction: unlearning focuses on reassessing or discarding what is already known or taken for granted, acknowledging that past knowledge is now obsolete. It removes rather than adds.
</t>
    </r>
    <r>
      <rPr>
        <b/>
        <sz val="10"/>
        <color theme="1"/>
        <rFont val="Arial"/>
      </rPr>
      <t>Discontinuity</t>
    </r>
    <r>
      <rPr>
        <sz val="10"/>
        <color theme="1"/>
        <rFont val="Arial"/>
      </rPr>
      <t xml:space="preserve"> speaks to the magnitude: unlearning entails a fundamental departure from inherited assumptions, often involving shifts in worldview, norms, objectives and approaches. It's a rupture, not an adjustment.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</si>
</sst>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font>
      <sz val="11"/>
      <name val="Carlito"/>
    </font>
    <font>
      <b/>
      <sz val="10"/>
      <color rgb="FFFFFFFF"/>
      <name val="Carlito"/>
    </font>
    <font>
      <sz val="9"/>
      <color rgb="FF1F1F1F"/>
      <name val="Carlito"/>
    </font>
    <font>
      <sz val="9"/>
      <name val="Carlito"/>
    </font>
    <font>
      <b/>
      <sz val="9"/>
      <name val="Carlito"/>
    </font>
    <font>
      <b/>
      <sz val="9"/>
      <color rgb="FF7F6000"/>
      <name val="Carlito"/>
    </font>
    <font>
      <b/>
      <sz val="9"/>
      <color rgb="FF17365D"/>
      <name val="Carlito"/>
    </font>
    <font>
      <sz val="8"/>
      <name val="Carlito"/>
    </font>
    <font>
      <b/>
      <sz val="8"/>
      <color rgb="FF17365D"/>
      <name val="Carlito"/>
    </font>
    <font>
      <sz val="9"/>
      <color rgb="FF1F1F1F"/>
      <name val="Carlito"/>
    </font>
    <font>
      <sz val="10"/>
      <color rgb="FF000000"/>
      <name val="Calibri"/>
      <scheme val="minor"/>
    </font>
    <font>
      <b/>
      <sz val="11"/>
      <color theme="1"/>
      <name val="Arial"/>
    </font>
    <font>
      <sz val="11"/>
      <color theme="1"/>
      <name val="Arial"/>
    </font>
    <font>
      <sz val="10"/>
      <color theme="1"/>
      <name val="Arial"/>
    </font>
    <font>
      <sz val="10"/>
      <color theme="1"/>
      <name val="Calibri"/>
      <scheme val="minor"/>
    </font>
    <font>
      <sz val="10"/>
      <name val="Arial"/>
    </font>
    <font>
      <b/>
      <sz val="12"/>
      <color theme="1"/>
      <name val="Calibri"/>
      <scheme val="minor"/>
    </font>
    <font>
      <b/>
      <sz val="10"/>
      <color theme="1"/>
      <name val="Calibri"/>
      <scheme val="minor"/>
    </font>
    <font>
      <b/>
      <sz val="10"/>
      <color theme="1"/>
      <name val="Arial"/>
    </font>
  </fonts>
  <fills count="9">
    <fill>
      <patternFill patternType="none"/>
    </fill>
    <fill>
      <patternFill patternType="gray125"/>
    </fill>
    <fill>
      <patternFill patternType="solid">
        <fgColor rgb="FF17365D"/>
      </patternFill>
    </fill>
    <fill>
      <patternFill patternType="solid">
        <fgColor rgb="FFDDEBF7"/>
      </patternFill>
    </fill>
    <fill>
      <patternFill patternType="solid">
        <fgColor rgb="FFFFF2CC"/>
      </patternFill>
    </fill>
    <fill>
      <patternFill patternType="solid">
        <fgColor rgb="FFD9E2F3"/>
      </patternFill>
    </fill>
    <fill>
      <patternFill patternType="solid">
        <fgColor rgb="FFFFFFFF"/>
      </patternFill>
    </fill>
    <fill>
      <patternFill patternType="solid">
        <fgColor rgb="FFD9EAD3"/>
        <bgColor rgb="FFD9EAD3"/>
      </patternFill>
    </fill>
    <fill>
      <patternFill patternType="solid">
        <fgColor rgb="FFFFFF00"/>
        <bgColor rgb="FFFFFF00"/>
      </patternFill>
    </fill>
  </fills>
  <borders count="15">
    <border>
      <left/>
      <right/>
      <top/>
      <bottom/>
      <diagonal/>
    </border>
    <border>
      <left/>
      <right/>
      <top/>
      <bottom/>
      <diagonal/>
    </border>
    <border>
      <left/>
      <right/>
      <top/>
      <bottom style="thin">
        <color rgb="FFFFFFFF"/>
      </bottom>
      <diagonal/>
    </border>
    <border>
      <left/>
      <right style="thin">
        <color rgb="FFA6A6A6"/>
      </right>
      <top/>
      <bottom style="thin">
        <color rgb="FFFFFFFF"/>
      </bottom>
      <diagonal/>
    </border>
    <border>
      <left/>
      <right style="hair">
        <color rgb="FFD9E2F3"/>
      </right>
      <top/>
      <bottom/>
      <diagonal/>
    </border>
    <border>
      <left/>
      <right/>
      <top/>
      <bottom style="hair">
        <color rgb="FFD9E2F3"/>
      </bottom>
      <diagonal/>
    </border>
    <border>
      <left/>
      <right style="hair">
        <color rgb="FFD9E2F3"/>
      </right>
      <top/>
      <bottom style="hair">
        <color rgb="FFD9E2F3"/>
      </bottom>
      <diagonal/>
    </border>
    <border>
      <left/>
      <right style="thin">
        <color rgb="FFD9E2F3"/>
      </right>
      <top/>
      <bottom/>
      <diagonal/>
    </border>
    <border>
      <left/>
      <right/>
      <top/>
      <bottom style="thin">
        <color rgb="FFD9E2F3"/>
      </bottom>
      <diagonal/>
    </border>
    <border>
      <left/>
      <right style="thin">
        <color rgb="FFD9E2F3"/>
      </right>
      <top/>
      <bottom style="thin">
        <color rgb="FFD9E2F3"/>
      </bottom>
      <diagonal/>
    </border>
    <border>
      <left/>
      <right/>
      <top/>
      <bottom style="thin">
        <color rgb="FFA6A6A6"/>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0" fillId="0" borderId="1"/>
  </cellStyleXfs>
  <cellXfs count="56">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0" xfId="0" applyFont="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3" borderId="0" xfId="0" applyFont="1" applyFill="1" applyAlignment="1">
      <alignment vertical="top" wrapText="1"/>
    </xf>
    <xf numFmtId="0" fontId="2" fillId="3" borderId="4" xfId="0" applyFont="1" applyFill="1" applyBorder="1" applyAlignment="1">
      <alignment vertical="top" wrapText="1"/>
    </xf>
    <xf numFmtId="0" fontId="2" fillId="3" borderId="0" xfId="0" applyFont="1" applyFill="1" applyAlignment="1">
      <alignment horizontal="center" vertical="top" wrapText="1"/>
    </xf>
    <xf numFmtId="0" fontId="2" fillId="0" borderId="0" xfId="0" applyFont="1" applyAlignment="1">
      <alignment horizontal="center" vertical="top" wrapText="1"/>
    </xf>
    <xf numFmtId="0" fontId="2" fillId="0" borderId="5" xfId="0" applyFont="1" applyBorder="1" applyAlignment="1">
      <alignment horizontal="center" vertical="top" wrapText="1"/>
    </xf>
    <xf numFmtId="1" fontId="2" fillId="3" borderId="0" xfId="0" applyNumberFormat="1" applyFont="1" applyFill="1" applyAlignment="1">
      <alignment horizontal="center" vertical="top" wrapText="1"/>
    </xf>
    <xf numFmtId="1" fontId="2" fillId="0" borderId="0" xfId="0" applyNumberFormat="1" applyFont="1" applyAlignment="1">
      <alignment horizontal="center" vertical="top" wrapText="1"/>
    </xf>
    <xf numFmtId="1" fontId="2" fillId="0" borderId="5" xfId="0" applyNumberFormat="1" applyFont="1" applyBorder="1" applyAlignment="1">
      <alignment horizontal="center" vertical="top" wrapText="1"/>
    </xf>
    <xf numFmtId="0" fontId="3" fillId="0" borderId="7" xfId="0" applyFont="1" applyBorder="1" applyAlignment="1">
      <alignment vertical="top" wrapText="1"/>
    </xf>
    <xf numFmtId="0" fontId="3" fillId="0" borderId="9" xfId="0" applyFont="1" applyBorder="1" applyAlignment="1">
      <alignment vertical="top" wrapText="1"/>
    </xf>
    <xf numFmtId="0" fontId="4" fillId="0" borderId="0" xfId="0" applyFont="1" applyAlignment="1">
      <alignment vertical="top" wrapText="1"/>
    </xf>
    <xf numFmtId="0" fontId="4" fillId="0" borderId="8" xfId="0" applyFont="1" applyBorder="1" applyAlignment="1">
      <alignment vertical="top" wrapText="1"/>
    </xf>
    <xf numFmtId="0" fontId="3" fillId="0" borderId="0" xfId="0" applyFont="1" applyAlignment="1">
      <alignment horizontal="center" vertical="top" wrapText="1"/>
    </xf>
    <xf numFmtId="0" fontId="3" fillId="0" borderId="8" xfId="0" applyFont="1" applyBorder="1" applyAlignment="1">
      <alignment horizontal="center" vertical="top" wrapText="1"/>
    </xf>
    <xf numFmtId="0" fontId="6" fillId="5" borderId="10" xfId="0" applyFont="1" applyFill="1" applyBorder="1" applyAlignment="1">
      <alignment horizontal="center" vertical="center" wrapText="1"/>
    </xf>
    <xf numFmtId="0" fontId="3" fillId="0" borderId="0" xfId="0" applyFont="1" applyAlignment="1">
      <alignment horizontal="center"/>
    </xf>
    <xf numFmtId="0" fontId="3" fillId="0" borderId="8" xfId="0" applyFont="1" applyBorder="1" applyAlignment="1">
      <alignment horizont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0" xfId="0" applyFont="1" applyAlignment="1">
      <alignment horizontal="left" vertical="center"/>
    </xf>
    <xf numFmtId="0" fontId="3" fillId="0" borderId="8" xfId="0" applyFont="1" applyBorder="1" applyAlignment="1">
      <alignment horizontal="left" vertical="center"/>
    </xf>
    <xf numFmtId="0" fontId="6" fillId="5" borderId="0" xfId="0" applyFont="1" applyFill="1" applyAlignment="1">
      <alignment horizontal="center"/>
    </xf>
    <xf numFmtId="0" fontId="3" fillId="0" borderId="0" xfId="0" applyFont="1" applyAlignment="1">
      <alignment horizontal="left"/>
    </xf>
    <xf numFmtId="0" fontId="3" fillId="0" borderId="8" xfId="0" applyFont="1" applyBorder="1" applyAlignment="1">
      <alignment horizontal="left"/>
    </xf>
    <xf numFmtId="0" fontId="6" fillId="5" borderId="0" xfId="0" applyFont="1" applyFill="1" applyAlignment="1">
      <alignment horizontal="center" vertical="center" wrapText="1"/>
    </xf>
    <xf numFmtId="0" fontId="7" fillId="0" borderId="0" xfId="0" applyFont="1" applyAlignment="1">
      <alignment vertical="top" wrapText="1"/>
    </xf>
    <xf numFmtId="0" fontId="7" fillId="0" borderId="4" xfId="0" applyFont="1" applyBorder="1" applyAlignment="1">
      <alignmen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8" fillId="5" borderId="0" xfId="0" applyFont="1" applyFill="1" applyAlignment="1">
      <alignment horizontal="center" vertical="center" wrapText="1"/>
    </xf>
    <xf numFmtId="0" fontId="9" fillId="6" borderId="8" xfId="0" applyFont="1" applyFill="1" applyBorder="1" applyAlignment="1">
      <alignment horizontal="left" vertical="center"/>
    </xf>
    <xf numFmtId="0" fontId="9" fillId="6" borderId="8" xfId="0" applyFont="1" applyFill="1" applyBorder="1" applyAlignment="1">
      <alignment horizontal="center" vertic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5" fillId="4" borderId="0" xfId="0" applyFont="1" applyFill="1" applyAlignment="1">
      <alignment horizontal="left" vertical="center" wrapText="1"/>
    </xf>
    <xf numFmtId="0" fontId="10" fillId="0" borderId="1" xfId="1"/>
    <xf numFmtId="0" fontId="16" fillId="0" borderId="11" xfId="1" applyFont="1" applyBorder="1" applyAlignment="1">
      <alignment horizontal="center" vertical="center" wrapText="1"/>
    </xf>
    <xf numFmtId="0" fontId="14" fillId="0" borderId="11" xfId="1" applyFont="1" applyBorder="1" applyAlignment="1">
      <alignment horizontal="center" vertical="center" wrapText="1"/>
    </xf>
    <xf numFmtId="0" fontId="14" fillId="7" borderId="11" xfId="1" applyFont="1" applyFill="1" applyBorder="1" applyAlignment="1">
      <alignment horizontal="center" vertical="center" wrapText="1"/>
    </xf>
    <xf numFmtId="0" fontId="14" fillId="7" borderId="1" xfId="1" applyFont="1" applyFill="1"/>
    <xf numFmtId="0" fontId="14" fillId="0" borderId="1" xfId="1" applyFont="1" applyAlignment="1">
      <alignment horizontal="center" vertical="center"/>
    </xf>
    <xf numFmtId="0" fontId="14" fillId="8" borderId="12" xfId="1" applyFont="1" applyFill="1" applyBorder="1" applyAlignment="1">
      <alignment horizontal="center" vertical="center" wrapText="1"/>
    </xf>
    <xf numFmtId="0" fontId="15" fillId="0" borderId="13" xfId="1" applyFont="1" applyBorder="1"/>
    <xf numFmtId="0" fontId="15" fillId="0" borderId="14" xfId="1" applyFont="1" applyBorder="1"/>
    <xf numFmtId="0" fontId="14" fillId="0" borderId="12" xfId="1" applyFont="1" applyBorder="1" applyAlignment="1">
      <alignment horizontal="center" vertical="center" wrapText="1"/>
    </xf>
    <xf numFmtId="0" fontId="16" fillId="8" borderId="12" xfId="1" applyFont="1" applyFill="1" applyBorder="1" applyAlignment="1">
      <alignment horizontal="center" vertical="center" wrapText="1"/>
    </xf>
    <xf numFmtId="0" fontId="17" fillId="8" borderId="12" xfId="1" applyFont="1" applyFill="1" applyBorder="1" applyAlignment="1">
      <alignment horizontal="center" vertical="center" wrapText="1"/>
    </xf>
  </cellXfs>
  <cellStyles count="2">
    <cellStyle name="Normal" xfId="0" builtinId="0"/>
    <cellStyle name="Normal 2" xfId="1" xr:uid="{CEF3745A-4F68-4A73-A4F9-D3B0D85A3155}"/>
  </cellStyles>
  <dxfs count="27">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7F6000"/>
      </font>
      <fill>
        <patternFill patternType="solid">
          <bgColor rgb="FFFFF2CC"/>
        </patternFill>
      </fill>
    </dxf>
    <dxf>
      <font>
        <b/>
        <color rgb="FF9C0006"/>
      </font>
      <fill>
        <patternFill patternType="solid">
          <bgColor rgb="FFFCE4D6"/>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ont>
        <b/>
        <color rgb="FF9C6500"/>
      </font>
      <fill>
        <patternFill patternType="solid">
          <bgColor rgb="FFFFF2CC"/>
        </patternFill>
      </fill>
    </dxf>
    <dxf>
      <font>
        <b/>
        <color rgb="FF9C0006"/>
      </font>
      <fill>
        <patternFill patternType="solid">
          <bgColor rgb="FFFCE4D6"/>
        </patternFill>
      </fill>
    </dxf>
    <dxf>
      <font>
        <b/>
        <color rgb="FF006100"/>
      </font>
      <fill>
        <patternFill patternType="solid">
          <bgColor rgb="FFE2F0D9"/>
        </patternFill>
      </fill>
    </dxf>
    <dxf>
      <font>
        <b/>
        <color rgb="FF9C0006"/>
      </font>
      <fill>
        <patternFill patternType="solid">
          <bgColor rgb="FFFCE4D6"/>
        </patternFill>
      </fill>
    </dxf>
    <dxf>
      <font>
        <b/>
        <color rgb="FF006100"/>
      </font>
      <fill>
        <patternFill patternType="solid">
          <bgColor rgb="FFE2F0D9"/>
        </patternFill>
      </fill>
    </dxf>
    <dxf>
      <fill>
        <patternFill patternType="solid">
          <bgColor rgb="FFE4DFEC"/>
        </patternFill>
      </fill>
    </dxf>
    <dxf>
      <fill>
        <patternFill patternType="solid">
          <bgColor rgb="FFFFF9E6"/>
        </patternFill>
      </fill>
    </dxf>
  </dxfs>
  <tableStyles count="1" defaultTableStyle="TableStyleMedium2" defaultPivotStyle="PivotStyleLight16">
    <tableStyle name="Decision Rules-style" pivot="0" count="4" xr9:uid="{AFD59B4B-61E2-4CC2-8D12-A15FD4C9F433}">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GPTTestTable" displayName="GPTTestTable" ref="A1:AA77" totalsRowShown="0">
  <tableColumns count="27">
    <tableColumn id="1" xr3:uid="{00000000-0010-0000-0000-000001000000}" name="Passage_ID"/>
    <tableColumn id="2" xr3:uid="{00000000-0010-0000-0000-000002000000}" name="Original_Number"/>
    <tableColumn id="3" xr3:uid="{00000000-0010-0000-0000-000003000000}" name="Reference"/>
    <tableColumn id="4" xr3:uid="{00000000-0010-0000-0000-000004000000}" name="Text_Content"/>
    <tableColumn id="5" xr3:uid="{00000000-0010-0000-0000-000005000000}" name="Document"/>
    <tableColumn id="6" xr3:uid="{00000000-0010-0000-0000-000006000000}" name="Source_File"/>
    <tableColumn id="7" xr3:uid="{00000000-0010-0000-0000-000007000000}" name="old_gold_unlearning"/>
    <tableColumn id="8" xr3:uid="{00000000-0010-0000-0000-000008000000}" name="old_gold_binary"/>
    <tableColumn id="9" xr3:uid="{00000000-0010-0000-0000-000009000000}" name="new_gold_unlearning"/>
    <tableColumn id="10" xr3:uid="{00000000-0010-0000-0000-00000A000000}" name="new_gold_binary"/>
    <tableColumn id="11" xr3:uid="{00000000-0010-0000-0000-00000B000000}" name="anmol_unlearning"/>
    <tableColumn id="12" xr3:uid="{00000000-0010-0000-0000-00000C000000}" name="prerana_unlearning"/>
    <tableColumn id="13" xr3:uid="{00000000-0010-0000-0000-00000D000000}" name="kyle_unlearning"/>
    <tableColumn id="14" xr3:uid="{00000000-0010-0000-0000-00000E000000}" name="Original_Labeler"/>
    <tableColumn id="15" xr3:uid="{00000000-0010-0000-0000-00000F000000}" name="Selected_Codes"/>
    <tableColumn id="16" xr3:uid="{00000000-0010-0000-0000-000010000000}" name="Adjudication_Rationale"/>
    <tableColumn id="17" xr3:uid="{00000000-0010-0000-0000-000011000000}" name="Latest_Label_Source"/>
    <tableColumn id="18" xr3:uid="{00000000-0010-0000-0000-000012000000}" name="Rationale_Source"/>
    <tableColumn id="19" xr3:uid="{00000000-0010-0000-0000-000013000000}" name="Review_Flag"/>
    <tableColumn id="20" xr3:uid="{00000000-0010-0000-0000-000014000000}" name="Review_Issue"/>
    <tableColumn id="21" xr3:uid="{00000000-0010-0000-0000-000015000000}" name="Gold_Change"/>
    <tableColumn id="22" xr3:uid="{00000000-0010-0000-0000-000016000000}" name="Duplicate_Type"/>
    <tableColumn id="23" xr3:uid="{00000000-0010-0000-0000-000017000000}" name="Dedup_Action"/>
    <tableColumn id="24" xr3:uid="{00000000-0010-0000-0000-000018000000}" name="Text_Cleaning_Notes"/>
    <tableColumn id="25" xr3:uid="{00000000-0010-0000-0000-000019000000}" name="Label_History"/>
    <tableColumn id="26" xr3:uid="{00000000-0010-0000-0000-00001A000000}" name="Source_Records"/>
    <tableColumn id="27" xr3:uid="{00000000-0010-0000-0000-00001B000000}" name="Leakage_Chec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EPAReevaluationAudit" displayName="EPAReevaluationAudit" ref="AC16:AK32" totalsRowShown="0">
  <tableColumns count="9">
    <tableColumn id="1" xr3:uid="{00000000-0010-0000-0100-000001000000}" name="Source_Annotation"/>
    <tableColumn id="2" xr3:uid="{00000000-0010-0000-0100-000002000000}" name="Source_Row"/>
    <tableColumn id="3" xr3:uid="{00000000-0010-0000-0100-000003000000}" name="Kept_Passage_ID"/>
    <tableColumn id="4" xr3:uid="{00000000-0010-0000-0100-000004000000}" name="Previous_Prerana"/>
    <tableColumn id="5" xr3:uid="{00000000-0010-0000-0100-000005000000}" name="Latest_Prerana"/>
    <tableColumn id="6" xr3:uid="{00000000-0010-0000-0100-000006000000}" name="old_gold_unlearning"/>
    <tableColumn id="7" xr3:uid="{00000000-0010-0000-0100-000007000000}" name="new_gold_unlearning"/>
    <tableColumn id="8" xr3:uid="{00000000-0010-0000-0100-000008000000}" name="Gold_Change"/>
    <tableColumn id="9" xr3:uid="{00000000-0010-0000-0100-000009000000}" name="Verification_No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ExclusionAudit" displayName="ExclusionAudit" ref="AC36:AN61" totalsRowShown="0">
  <tableColumns count="12">
    <tableColumn id="1" xr3:uid="{00000000-0010-0000-0200-000001000000}" name="Excluded_Group_ID"/>
    <tableColumn id="2" xr3:uid="{00000000-0010-0000-0200-000002000000}" name="Document"/>
    <tableColumn id="3" xr3:uid="{00000000-0010-0000-0200-000003000000}" name="Original_Number(s)"/>
    <tableColumn id="4" xr3:uid="{00000000-0010-0000-0200-000004000000}" name="Reference(s)"/>
    <tableColumn id="5" xr3:uid="{00000000-0010-0000-0200-000005000000}" name="Excluded_Text"/>
    <tableColumn id="6" xr3:uid="{00000000-0010-0000-0200-000006000000}" name="Exclusion_Category"/>
    <tableColumn id="7" xr3:uid="{00000000-0010-0000-0200-000007000000}" name="Exclusion_Reason"/>
    <tableColumn id="8" xr3:uid="{00000000-0010-0000-0200-000008000000}" name="Kept_Passage_ID"/>
    <tableColumn id="9" xr3:uid="{00000000-0010-0000-0200-000009000000}" name="Historical_Labels"/>
    <tableColumn id="10" xr3:uid="{00000000-0010-0000-0200-00000A000000}" name="Historical_Labelers"/>
    <tableColumn id="11" xr3:uid="{00000000-0010-0000-0200-00000B000000}" name="Source_Records"/>
    <tableColumn id="12" xr3:uid="{00000000-0010-0000-0200-00000C000000}" name="Latest_Up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7"/>
  <sheetViews>
    <sheetView workbookViewId="0"/>
  </sheetViews>
  <sheetFormatPr defaultRowHeight="14"/>
  <cols>
    <col min="1" max="1" width="13" customWidth="1"/>
    <col min="2" max="2" width="15" customWidth="1"/>
    <col min="3" max="3" width="10" customWidth="1"/>
    <col min="4" max="4" width="62" customWidth="1"/>
    <col min="5" max="6" width="20" customWidth="1"/>
    <col min="7" max="7" width="18" customWidth="1"/>
    <col min="8" max="8" width="14" customWidth="1"/>
    <col min="9" max="9" width="18" customWidth="1"/>
    <col min="10" max="10" width="14" customWidth="1"/>
    <col min="11" max="11" width="18" customWidth="1"/>
    <col min="12" max="12" width="20" customWidth="1"/>
    <col min="13" max="13" width="18" customWidth="1"/>
    <col min="14" max="14" width="15" customWidth="1"/>
    <col min="15" max="15" width="34" customWidth="1"/>
    <col min="16" max="16" width="56" customWidth="1"/>
    <col min="17" max="17" width="38" customWidth="1"/>
    <col min="18" max="18" width="32" customWidth="1"/>
    <col min="19" max="19" width="12" customWidth="1"/>
    <col min="20" max="20" width="58" customWidth="1"/>
    <col min="21" max="21" width="24" customWidth="1"/>
    <col min="22" max="22" width="25" customWidth="1"/>
    <col min="23" max="23" width="44" customWidth="1"/>
    <col min="24" max="24" width="38" customWidth="1"/>
    <col min="25" max="25" width="76" customWidth="1"/>
    <col min="26" max="26" width="56" customWidth="1"/>
    <col min="27" max="27" width="38" customWidth="1"/>
    <col min="28" max="28" width="3" customWidth="1"/>
    <col min="29" max="29" width="13" customWidth="1"/>
    <col min="30" max="31" width="18" customWidth="1"/>
    <col min="32" max="32" width="12" customWidth="1"/>
    <col min="33" max="33" width="62" customWidth="1"/>
    <col min="34" max="34" width="24" customWidth="1"/>
    <col min="35" max="35" width="52" customWidth="1"/>
    <col min="36" max="36" width="15" customWidth="1"/>
    <col min="37" max="37" width="18" customWidth="1"/>
    <col min="38" max="38" width="20" customWidth="1"/>
    <col min="39" max="39" width="44" customWidth="1"/>
    <col min="40" max="40" width="48" customWidth="1"/>
  </cols>
  <sheetData>
    <row r="1" spans="1:40" ht="24"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C1" s="41" t="s">
        <v>27</v>
      </c>
      <c r="AD1" s="41"/>
      <c r="AE1" s="42"/>
      <c r="AG1" s="41" t="s">
        <v>28</v>
      </c>
      <c r="AH1" s="41"/>
      <c r="AI1" s="41"/>
      <c r="AJ1" s="41"/>
      <c r="AK1" s="41"/>
      <c r="AL1" s="41"/>
      <c r="AM1" s="41"/>
      <c r="AN1" s="42"/>
    </row>
    <row r="2" spans="1:40" ht="36" customHeight="1">
      <c r="A2" s="7" t="s">
        <v>29</v>
      </c>
      <c r="B2" s="7" t="s">
        <v>30</v>
      </c>
      <c r="C2" s="7" t="s">
        <v>31</v>
      </c>
      <c r="D2" s="7" t="s">
        <v>32</v>
      </c>
      <c r="E2" s="7" t="s">
        <v>33</v>
      </c>
      <c r="F2" s="7" t="s">
        <v>34</v>
      </c>
      <c r="G2" s="9" t="s">
        <v>35</v>
      </c>
      <c r="H2" s="12">
        <v>1</v>
      </c>
      <c r="I2" s="9" t="s">
        <v>35</v>
      </c>
      <c r="J2" s="12">
        <v>1</v>
      </c>
      <c r="K2" s="9" t="s">
        <v>35</v>
      </c>
      <c r="L2" s="9"/>
      <c r="M2" s="9" t="s">
        <v>35</v>
      </c>
      <c r="N2" s="9" t="s">
        <v>36</v>
      </c>
      <c r="O2" s="7" t="s">
        <v>37</v>
      </c>
      <c r="P2" s="7" t="s">
        <v>38</v>
      </c>
      <c r="Q2" s="7" t="s">
        <v>39</v>
      </c>
      <c r="R2" s="7" t="s">
        <v>40</v>
      </c>
      <c r="S2" s="9" t="s">
        <v>35</v>
      </c>
      <c r="T2" s="7" t="s">
        <v>41</v>
      </c>
      <c r="U2" s="7"/>
      <c r="V2" s="7" t="s">
        <v>42</v>
      </c>
      <c r="W2" s="7" t="s">
        <v>43</v>
      </c>
      <c r="X2" s="7"/>
      <c r="Y2" s="7" t="s">
        <v>44</v>
      </c>
      <c r="Z2" s="7" t="s">
        <v>45</v>
      </c>
      <c r="AA2" s="8" t="s">
        <v>46</v>
      </c>
      <c r="AC2" s="17" t="s">
        <v>47</v>
      </c>
      <c r="AD2" s="19">
        <f>COUNTA($A$2:$A$77)</f>
        <v>76</v>
      </c>
      <c r="AE2" s="15" t="s">
        <v>48</v>
      </c>
      <c r="AG2" s="21" t="s">
        <v>4</v>
      </c>
      <c r="AH2" s="21" t="s">
        <v>49</v>
      </c>
      <c r="AI2" s="21" t="s">
        <v>50</v>
      </c>
      <c r="AJ2" s="21" t="s">
        <v>51</v>
      </c>
      <c r="AK2" s="21" t="s">
        <v>52</v>
      </c>
      <c r="AL2" s="21" t="s">
        <v>53</v>
      </c>
      <c r="AM2" s="21" t="s">
        <v>54</v>
      </c>
      <c r="AN2" s="21" t="s">
        <v>55</v>
      </c>
    </row>
    <row r="3" spans="1:40" ht="36" customHeight="1">
      <c r="A3" s="3" t="s">
        <v>56</v>
      </c>
      <c r="B3" s="3" t="s">
        <v>57</v>
      </c>
      <c r="C3" s="3" t="s">
        <v>31</v>
      </c>
      <c r="D3" s="3" t="s">
        <v>58</v>
      </c>
      <c r="E3" s="3" t="s">
        <v>33</v>
      </c>
      <c r="F3" s="3" t="s">
        <v>34</v>
      </c>
      <c r="G3" s="10" t="s">
        <v>35</v>
      </c>
      <c r="H3" s="13">
        <v>1</v>
      </c>
      <c r="I3" s="10" t="s">
        <v>35</v>
      </c>
      <c r="J3" s="13">
        <v>1</v>
      </c>
      <c r="K3" s="10" t="s">
        <v>35</v>
      </c>
      <c r="L3" s="10"/>
      <c r="M3" s="10" t="s">
        <v>35</v>
      </c>
      <c r="N3" s="10" t="s">
        <v>36</v>
      </c>
      <c r="O3" s="3" t="s">
        <v>59</v>
      </c>
      <c r="P3" s="3" t="s">
        <v>60</v>
      </c>
      <c r="Q3" s="3" t="s">
        <v>61</v>
      </c>
      <c r="R3" s="3" t="s">
        <v>62</v>
      </c>
      <c r="S3" s="10" t="s">
        <v>35</v>
      </c>
      <c r="T3" s="3" t="s">
        <v>41</v>
      </c>
      <c r="U3" s="3"/>
      <c r="V3" s="3" t="s">
        <v>42</v>
      </c>
      <c r="W3" s="3" t="s">
        <v>43</v>
      </c>
      <c r="X3" s="3"/>
      <c r="Y3" s="3" t="s">
        <v>63</v>
      </c>
      <c r="Z3" s="3" t="s">
        <v>64</v>
      </c>
      <c r="AA3" s="4" t="s">
        <v>46</v>
      </c>
      <c r="AC3" s="17" t="s">
        <v>65</v>
      </c>
      <c r="AD3" s="19">
        <f>COUNTIF($G$2:$G$77,"Yes")</f>
        <v>54</v>
      </c>
      <c r="AE3" s="15" t="s">
        <v>66</v>
      </c>
      <c r="AG3" s="28" t="s">
        <v>33</v>
      </c>
      <c r="AH3" s="24">
        <f>COUNTIF($E$2:$E$77,AG3)</f>
        <v>28</v>
      </c>
      <c r="AI3" s="24">
        <f>COUNTIFS($E$2:$E$77,AG3,$G$2:$G$77,"Yes")</f>
        <v>22</v>
      </c>
      <c r="AJ3" s="24">
        <f>COUNTIFS($E$2:$E$77,AG3,$G$2:$G$77,"No")</f>
        <v>6</v>
      </c>
      <c r="AK3" s="24">
        <f>COUNTIFS($E$2:$E$77,AG3,$I$2:$I$77,"Yes")</f>
        <v>22</v>
      </c>
      <c r="AL3" s="24">
        <f>COUNTIFS($E$2:$E$77,AG3,$I$2:$I$77,"No")</f>
        <v>6</v>
      </c>
      <c r="AM3" s="24">
        <f>COUNTIFS($E$2:$E$77,AG3,$S$2:$S$77,"Yes")</f>
        <v>28</v>
      </c>
      <c r="AN3" s="25">
        <f>SUMPRODUCT(--($E$2:$E$77=AG3),--($G$2:$G$77&lt;&gt;$I$2:$I$77))</f>
        <v>0</v>
      </c>
    </row>
    <row r="4" spans="1:40" ht="36" customHeight="1">
      <c r="A4" s="7" t="s">
        <v>67</v>
      </c>
      <c r="B4" s="7" t="s">
        <v>68</v>
      </c>
      <c r="C4" s="7" t="s">
        <v>69</v>
      </c>
      <c r="D4" s="7" t="s">
        <v>70</v>
      </c>
      <c r="E4" s="7" t="s">
        <v>33</v>
      </c>
      <c r="F4" s="7" t="s">
        <v>34</v>
      </c>
      <c r="G4" s="9" t="s">
        <v>35</v>
      </c>
      <c r="H4" s="12">
        <v>1</v>
      </c>
      <c r="I4" s="9" t="s">
        <v>35</v>
      </c>
      <c r="J4" s="12">
        <v>1</v>
      </c>
      <c r="K4" s="9" t="s">
        <v>35</v>
      </c>
      <c r="L4" s="9"/>
      <c r="M4" s="9" t="s">
        <v>35</v>
      </c>
      <c r="N4" s="9" t="s">
        <v>36</v>
      </c>
      <c r="O4" s="7" t="s">
        <v>71</v>
      </c>
      <c r="P4" s="7" t="s">
        <v>72</v>
      </c>
      <c r="Q4" s="7" t="s">
        <v>73</v>
      </c>
      <c r="R4" s="7" t="s">
        <v>74</v>
      </c>
      <c r="S4" s="9" t="s">
        <v>35</v>
      </c>
      <c r="T4" s="7" t="s">
        <v>41</v>
      </c>
      <c r="U4" s="7"/>
      <c r="V4" s="7" t="s">
        <v>42</v>
      </c>
      <c r="W4" s="7" t="s">
        <v>43</v>
      </c>
      <c r="X4" s="7"/>
      <c r="Y4" s="7" t="s">
        <v>75</v>
      </c>
      <c r="Z4" s="7" t="s">
        <v>76</v>
      </c>
      <c r="AA4" s="8" t="s">
        <v>46</v>
      </c>
      <c r="AC4" s="17" t="s">
        <v>77</v>
      </c>
      <c r="AD4" s="19">
        <f>COUNTIF($G$2:$G$77,"No")</f>
        <v>22</v>
      </c>
      <c r="AE4" s="15" t="s">
        <v>78</v>
      </c>
      <c r="AG4" s="28" t="s">
        <v>79</v>
      </c>
      <c r="AH4" s="24">
        <f>COUNTIF($E$2:$E$77,AG4)</f>
        <v>7</v>
      </c>
      <c r="AI4" s="24">
        <f>COUNTIFS($E$2:$E$77,AG4,$G$2:$G$77,"Yes")</f>
        <v>6</v>
      </c>
      <c r="AJ4" s="24">
        <f>COUNTIFS($E$2:$E$77,AG4,$G$2:$G$77,"No")</f>
        <v>1</v>
      </c>
      <c r="AK4" s="24">
        <f>COUNTIFS($E$2:$E$77,AG4,$I$2:$I$77,"Yes")</f>
        <v>6</v>
      </c>
      <c r="AL4" s="24">
        <f>COUNTIFS($E$2:$E$77,AG4,$I$2:$I$77,"No")</f>
        <v>1</v>
      </c>
      <c r="AM4" s="24">
        <f>COUNTIFS($E$2:$E$77,AG4,$S$2:$S$77,"Yes")</f>
        <v>6</v>
      </c>
      <c r="AN4" s="25">
        <f>SUMPRODUCT(--($E$2:$E$77=AG4),--($G$2:$G$77&lt;&gt;$I$2:$I$77))</f>
        <v>0</v>
      </c>
    </row>
    <row r="5" spans="1:40" ht="36" customHeight="1">
      <c r="A5" s="3" t="s">
        <v>80</v>
      </c>
      <c r="B5" s="3" t="s">
        <v>81</v>
      </c>
      <c r="C5" s="3" t="s">
        <v>69</v>
      </c>
      <c r="D5" s="3" t="s">
        <v>82</v>
      </c>
      <c r="E5" s="3" t="s">
        <v>33</v>
      </c>
      <c r="F5" s="3" t="s">
        <v>34</v>
      </c>
      <c r="G5" s="10" t="s">
        <v>35</v>
      </c>
      <c r="H5" s="13">
        <v>1</v>
      </c>
      <c r="I5" s="10" t="s">
        <v>35</v>
      </c>
      <c r="J5" s="13">
        <v>1</v>
      </c>
      <c r="K5" s="10" t="s">
        <v>35</v>
      </c>
      <c r="L5" s="10"/>
      <c r="M5" s="10" t="s">
        <v>35</v>
      </c>
      <c r="N5" s="10" t="s">
        <v>36</v>
      </c>
      <c r="O5" s="3" t="s">
        <v>83</v>
      </c>
      <c r="P5" s="3" t="s">
        <v>84</v>
      </c>
      <c r="Q5" s="3" t="s">
        <v>85</v>
      </c>
      <c r="R5" s="3" t="s">
        <v>86</v>
      </c>
      <c r="S5" s="10" t="s">
        <v>35</v>
      </c>
      <c r="T5" s="3" t="s">
        <v>41</v>
      </c>
      <c r="U5" s="3"/>
      <c r="V5" s="3" t="s">
        <v>87</v>
      </c>
      <c r="W5" s="3" t="s">
        <v>88</v>
      </c>
      <c r="X5" s="3"/>
      <c r="Y5" s="3" t="s">
        <v>89</v>
      </c>
      <c r="Z5" s="3" t="s">
        <v>90</v>
      </c>
      <c r="AA5" s="4" t="s">
        <v>46</v>
      </c>
      <c r="AC5" s="17" t="s">
        <v>91</v>
      </c>
      <c r="AD5" s="19">
        <f>COUNTIF($I$2:$I$77,"Yes")</f>
        <v>46</v>
      </c>
      <c r="AE5" s="15" t="s">
        <v>92</v>
      </c>
      <c r="AG5" s="28" t="s">
        <v>93</v>
      </c>
      <c r="AH5" s="24">
        <f>COUNTIF($E$2:$E$77,AG5)</f>
        <v>22</v>
      </c>
      <c r="AI5" s="24">
        <f>COUNTIFS($E$2:$E$77,AG5,$G$2:$G$77,"Yes")</f>
        <v>13</v>
      </c>
      <c r="AJ5" s="24">
        <f>COUNTIFS($E$2:$E$77,AG5,$G$2:$G$77,"No")</f>
        <v>9</v>
      </c>
      <c r="AK5" s="24">
        <f>COUNTIFS($E$2:$E$77,AG5,$I$2:$I$77,"Yes")</f>
        <v>5</v>
      </c>
      <c r="AL5" s="24">
        <f>COUNTIFS($E$2:$E$77,AG5,$I$2:$I$77,"No")</f>
        <v>17</v>
      </c>
      <c r="AM5" s="24">
        <f>COUNTIFS($E$2:$E$77,AG5,$S$2:$S$77,"Yes")</f>
        <v>21</v>
      </c>
      <c r="AN5" s="25">
        <f>SUMPRODUCT(--($E$2:$E$77=AG5),--($G$2:$G$77&lt;&gt;$I$2:$I$77))</f>
        <v>10</v>
      </c>
    </row>
    <row r="6" spans="1:40" ht="36" customHeight="1">
      <c r="A6" s="7" t="s">
        <v>94</v>
      </c>
      <c r="B6" s="7" t="s">
        <v>95</v>
      </c>
      <c r="C6" s="7" t="s">
        <v>69</v>
      </c>
      <c r="D6" s="7" t="s">
        <v>96</v>
      </c>
      <c r="E6" s="7" t="s">
        <v>33</v>
      </c>
      <c r="F6" s="7" t="s">
        <v>34</v>
      </c>
      <c r="G6" s="9" t="s">
        <v>35</v>
      </c>
      <c r="H6" s="12">
        <v>1</v>
      </c>
      <c r="I6" s="9" t="s">
        <v>35</v>
      </c>
      <c r="J6" s="12">
        <v>1</v>
      </c>
      <c r="K6" s="9" t="s">
        <v>35</v>
      </c>
      <c r="L6" s="9"/>
      <c r="M6" s="9" t="s">
        <v>35</v>
      </c>
      <c r="N6" s="9" t="s">
        <v>36</v>
      </c>
      <c r="O6" s="7" t="s">
        <v>97</v>
      </c>
      <c r="P6" s="7" t="s">
        <v>98</v>
      </c>
      <c r="Q6" s="7" t="s">
        <v>99</v>
      </c>
      <c r="R6" s="7" t="s">
        <v>100</v>
      </c>
      <c r="S6" s="9" t="s">
        <v>35</v>
      </c>
      <c r="T6" s="7" t="s">
        <v>41</v>
      </c>
      <c r="U6" s="7"/>
      <c r="V6" s="7" t="s">
        <v>42</v>
      </c>
      <c r="W6" s="7" t="s">
        <v>43</v>
      </c>
      <c r="X6" s="7"/>
      <c r="Y6" s="7" t="s">
        <v>101</v>
      </c>
      <c r="Z6" s="7" t="s">
        <v>102</v>
      </c>
      <c r="AA6" s="8" t="s">
        <v>46</v>
      </c>
      <c r="AC6" s="17" t="s">
        <v>103</v>
      </c>
      <c r="AD6" s="19">
        <f>COUNTIF($I$2:$I$77,"No")</f>
        <v>30</v>
      </c>
      <c r="AE6" s="15" t="s">
        <v>92</v>
      </c>
      <c r="AG6" s="28" t="s">
        <v>104</v>
      </c>
      <c r="AH6" s="24">
        <f>COUNTIF($E$2:$E$77,AG6)</f>
        <v>11</v>
      </c>
      <c r="AI6" s="24">
        <f>COUNTIFS($E$2:$E$77,AG6,$G$2:$G$77,"Yes")</f>
        <v>5</v>
      </c>
      <c r="AJ6" s="24">
        <f>COUNTIFS($E$2:$E$77,AG6,$G$2:$G$77,"No")</f>
        <v>6</v>
      </c>
      <c r="AK6" s="24">
        <f>COUNTIFS($E$2:$E$77,AG6,$I$2:$I$77,"Yes")</f>
        <v>5</v>
      </c>
      <c r="AL6" s="24">
        <f>COUNTIFS($E$2:$E$77,AG6,$I$2:$I$77,"No")</f>
        <v>6</v>
      </c>
      <c r="AM6" s="24">
        <f>COUNTIFS($E$2:$E$77,AG6,$S$2:$S$77,"Yes")</f>
        <v>11</v>
      </c>
      <c r="AN6" s="25">
        <f>SUMPRODUCT(--($E$2:$E$77=AG6),--($G$2:$G$77&lt;&gt;$I$2:$I$77))</f>
        <v>0</v>
      </c>
    </row>
    <row r="7" spans="1:40" ht="36" customHeight="1">
      <c r="A7" s="3" t="s">
        <v>105</v>
      </c>
      <c r="B7" s="3" t="s">
        <v>106</v>
      </c>
      <c r="C7" s="3" t="s">
        <v>69</v>
      </c>
      <c r="D7" s="3" t="s">
        <v>107</v>
      </c>
      <c r="E7" s="3" t="s">
        <v>33</v>
      </c>
      <c r="F7" s="3" t="s">
        <v>34</v>
      </c>
      <c r="G7" s="10" t="s">
        <v>108</v>
      </c>
      <c r="H7" s="13">
        <v>0</v>
      </c>
      <c r="I7" s="10" t="s">
        <v>108</v>
      </c>
      <c r="J7" s="13">
        <v>0</v>
      </c>
      <c r="K7" s="10" t="s">
        <v>108</v>
      </c>
      <c r="L7" s="10"/>
      <c r="M7" s="10" t="s">
        <v>35</v>
      </c>
      <c r="N7" s="10" t="s">
        <v>36</v>
      </c>
      <c r="O7" s="3" t="s">
        <v>109</v>
      </c>
      <c r="P7" s="3" t="s">
        <v>110</v>
      </c>
      <c r="Q7" s="3" t="s">
        <v>111</v>
      </c>
      <c r="R7" s="3" t="s">
        <v>112</v>
      </c>
      <c r="S7" s="10" t="s">
        <v>35</v>
      </c>
      <c r="T7" s="3" t="s">
        <v>113</v>
      </c>
      <c r="U7" s="3"/>
      <c r="V7" s="3" t="s">
        <v>42</v>
      </c>
      <c r="W7" s="3" t="s">
        <v>43</v>
      </c>
      <c r="X7" s="3"/>
      <c r="Y7" s="3" t="s">
        <v>114</v>
      </c>
      <c r="Z7" s="3" t="s">
        <v>115</v>
      </c>
      <c r="AA7" s="4" t="s">
        <v>46</v>
      </c>
      <c r="AC7" s="17" t="s">
        <v>116</v>
      </c>
      <c r="AD7" s="19">
        <f>SUMPRODUCT(--($G$2:$G$77&lt;&gt;$I$2:$I$77))</f>
        <v>10</v>
      </c>
      <c r="AE7" s="15" t="s">
        <v>117</v>
      </c>
      <c r="AG7" s="29" t="s">
        <v>118</v>
      </c>
      <c r="AH7" s="26">
        <f>COUNTIF($E$2:$E$77,AG7)</f>
        <v>8</v>
      </c>
      <c r="AI7" s="26">
        <f>COUNTIFS($E$2:$E$77,AG7,$G$2:$G$77,"Yes")</f>
        <v>8</v>
      </c>
      <c r="AJ7" s="26">
        <f>COUNTIFS($E$2:$E$77,AG7,$G$2:$G$77,"No")</f>
        <v>0</v>
      </c>
      <c r="AK7" s="26">
        <f>COUNTIFS($E$2:$E$77,AG7,$I$2:$I$77,"Yes")</f>
        <v>8</v>
      </c>
      <c r="AL7" s="26">
        <f>COUNTIFS($E$2:$E$77,AG7,$I$2:$I$77,"No")</f>
        <v>0</v>
      </c>
      <c r="AM7" s="26">
        <f>COUNTIFS($E$2:$E$77,AG7,$S$2:$S$77,"Yes")</f>
        <v>4</v>
      </c>
      <c r="AN7" s="27">
        <f>SUMPRODUCT(--($E$2:$E$77=AG7),--($G$2:$G$77&lt;&gt;$I$2:$I$77))</f>
        <v>0</v>
      </c>
    </row>
    <row r="8" spans="1:40" ht="36" customHeight="1">
      <c r="A8" s="7" t="s">
        <v>119</v>
      </c>
      <c r="B8" s="7" t="s">
        <v>120</v>
      </c>
      <c r="C8" s="7" t="s">
        <v>121</v>
      </c>
      <c r="D8" s="7" t="s">
        <v>122</v>
      </c>
      <c r="E8" s="7" t="s">
        <v>33</v>
      </c>
      <c r="F8" s="7" t="s">
        <v>34</v>
      </c>
      <c r="G8" s="9" t="s">
        <v>108</v>
      </c>
      <c r="H8" s="12">
        <v>0</v>
      </c>
      <c r="I8" s="9" t="s">
        <v>108</v>
      </c>
      <c r="J8" s="12">
        <v>0</v>
      </c>
      <c r="K8" s="9" t="s">
        <v>108</v>
      </c>
      <c r="L8" s="9"/>
      <c r="M8" s="9" t="s">
        <v>35</v>
      </c>
      <c r="N8" s="9" t="s">
        <v>36</v>
      </c>
      <c r="O8" s="7" t="s">
        <v>123</v>
      </c>
      <c r="P8" s="7" t="s">
        <v>124</v>
      </c>
      <c r="Q8" s="7" t="s">
        <v>125</v>
      </c>
      <c r="R8" s="7" t="s">
        <v>126</v>
      </c>
      <c r="S8" s="9" t="s">
        <v>35</v>
      </c>
      <c r="T8" s="7" t="s">
        <v>127</v>
      </c>
      <c r="U8" s="7"/>
      <c r="V8" s="7" t="s">
        <v>87</v>
      </c>
      <c r="W8" s="7" t="s">
        <v>128</v>
      </c>
      <c r="X8" s="7"/>
      <c r="Y8" s="7" t="s">
        <v>129</v>
      </c>
      <c r="Z8" s="7" t="s">
        <v>130</v>
      </c>
      <c r="AA8" s="8" t="s">
        <v>46</v>
      </c>
      <c r="AC8" s="17" t="s">
        <v>131</v>
      </c>
      <c r="AD8" s="19">
        <f>COUNTIF($S$2:$S$77,"Yes")</f>
        <v>70</v>
      </c>
      <c r="AE8" s="15" t="s">
        <v>132</v>
      </c>
    </row>
    <row r="9" spans="1:40" ht="36" customHeight="1">
      <c r="A9" s="3" t="s">
        <v>133</v>
      </c>
      <c r="B9" s="3" t="s">
        <v>134</v>
      </c>
      <c r="C9" s="3" t="s">
        <v>135</v>
      </c>
      <c r="D9" s="3" t="s">
        <v>136</v>
      </c>
      <c r="E9" s="3" t="s">
        <v>33</v>
      </c>
      <c r="F9" s="3" t="s">
        <v>34</v>
      </c>
      <c r="G9" s="10" t="s">
        <v>108</v>
      </c>
      <c r="H9" s="13">
        <v>0</v>
      </c>
      <c r="I9" s="10" t="s">
        <v>108</v>
      </c>
      <c r="J9" s="13">
        <v>0</v>
      </c>
      <c r="K9" s="10" t="s">
        <v>108</v>
      </c>
      <c r="L9" s="10"/>
      <c r="M9" s="10" t="s">
        <v>35</v>
      </c>
      <c r="N9" s="10" t="s">
        <v>36</v>
      </c>
      <c r="O9" s="3" t="s">
        <v>137</v>
      </c>
      <c r="P9" s="3" t="s">
        <v>138</v>
      </c>
      <c r="Q9" s="3" t="s">
        <v>139</v>
      </c>
      <c r="R9" s="3" t="s">
        <v>140</v>
      </c>
      <c r="S9" s="10" t="s">
        <v>35</v>
      </c>
      <c r="T9" s="3" t="s">
        <v>141</v>
      </c>
      <c r="U9" s="3"/>
      <c r="V9" s="3" t="s">
        <v>42</v>
      </c>
      <c r="W9" s="3" t="s">
        <v>43</v>
      </c>
      <c r="X9" s="3"/>
      <c r="Y9" s="3" t="s">
        <v>142</v>
      </c>
      <c r="Z9" s="3" t="s">
        <v>143</v>
      </c>
      <c r="AA9" s="4" t="s">
        <v>46</v>
      </c>
      <c r="AC9" s="17" t="s">
        <v>144</v>
      </c>
      <c r="AD9" s="19">
        <f>COUNTBLANK($N$2:$N$77)</f>
        <v>2</v>
      </c>
      <c r="AE9" s="15" t="s">
        <v>145</v>
      </c>
      <c r="AG9" s="41" t="s">
        <v>146</v>
      </c>
      <c r="AH9" s="41"/>
      <c r="AI9" s="41"/>
      <c r="AJ9" s="41"/>
      <c r="AK9" s="41"/>
      <c r="AL9" s="41"/>
      <c r="AM9" s="41"/>
      <c r="AN9" s="42"/>
    </row>
    <row r="10" spans="1:40" ht="36" customHeight="1">
      <c r="A10" s="7" t="s">
        <v>147</v>
      </c>
      <c r="B10" s="7" t="s">
        <v>148</v>
      </c>
      <c r="C10" s="7" t="s">
        <v>135</v>
      </c>
      <c r="D10" s="7" t="s">
        <v>149</v>
      </c>
      <c r="E10" s="7" t="s">
        <v>33</v>
      </c>
      <c r="F10" s="7" t="s">
        <v>34</v>
      </c>
      <c r="G10" s="9" t="s">
        <v>35</v>
      </c>
      <c r="H10" s="12">
        <v>1</v>
      </c>
      <c r="I10" s="9" t="s">
        <v>35</v>
      </c>
      <c r="J10" s="12">
        <v>1</v>
      </c>
      <c r="K10" s="9" t="s">
        <v>35</v>
      </c>
      <c r="L10" s="9"/>
      <c r="M10" s="9" t="s">
        <v>35</v>
      </c>
      <c r="N10" s="9" t="s">
        <v>36</v>
      </c>
      <c r="O10" s="7" t="s">
        <v>150</v>
      </c>
      <c r="P10" s="7" t="s">
        <v>151</v>
      </c>
      <c r="Q10" s="7" t="s">
        <v>152</v>
      </c>
      <c r="R10" s="7" t="s">
        <v>153</v>
      </c>
      <c r="S10" s="9" t="s">
        <v>35</v>
      </c>
      <c r="T10" s="7" t="s">
        <v>41</v>
      </c>
      <c r="U10" s="7"/>
      <c r="V10" s="7" t="s">
        <v>42</v>
      </c>
      <c r="W10" s="7" t="s">
        <v>43</v>
      </c>
      <c r="X10" s="7"/>
      <c r="Y10" s="7" t="s">
        <v>154</v>
      </c>
      <c r="Z10" s="7" t="s">
        <v>155</v>
      </c>
      <c r="AA10" s="8" t="s">
        <v>46</v>
      </c>
      <c r="AC10" s="18" t="s">
        <v>156</v>
      </c>
      <c r="AD10" s="20">
        <f>COUNTA($AC$37:$AC$61)</f>
        <v>25</v>
      </c>
      <c r="AE10" s="16" t="s">
        <v>157</v>
      </c>
      <c r="AG10" s="30" t="s">
        <v>158</v>
      </c>
      <c r="AH10" s="30" t="s">
        <v>159</v>
      </c>
      <c r="AI10" s="30" t="s">
        <v>35</v>
      </c>
      <c r="AJ10" s="30" t="s">
        <v>108</v>
      </c>
    </row>
    <row r="11" spans="1:40" ht="14.65" customHeight="1">
      <c r="A11" s="3" t="s">
        <v>160</v>
      </c>
      <c r="B11" s="3" t="s">
        <v>161</v>
      </c>
      <c r="C11" s="3" t="s">
        <v>135</v>
      </c>
      <c r="D11" s="3" t="s">
        <v>162</v>
      </c>
      <c r="E11" s="3" t="s">
        <v>33</v>
      </c>
      <c r="F11" s="3" t="s">
        <v>34</v>
      </c>
      <c r="G11" s="10" t="s">
        <v>108</v>
      </c>
      <c r="H11" s="13">
        <v>0</v>
      </c>
      <c r="I11" s="10" t="s">
        <v>108</v>
      </c>
      <c r="J11" s="13">
        <v>0</v>
      </c>
      <c r="K11" s="10" t="s">
        <v>108</v>
      </c>
      <c r="L11" s="10"/>
      <c r="M11" s="10" t="s">
        <v>35</v>
      </c>
      <c r="N11" s="10" t="s">
        <v>36</v>
      </c>
      <c r="O11" s="3" t="s">
        <v>163</v>
      </c>
      <c r="P11" s="3" t="s">
        <v>164</v>
      </c>
      <c r="Q11" s="3" t="s">
        <v>165</v>
      </c>
      <c r="R11" s="3" t="s">
        <v>166</v>
      </c>
      <c r="S11" s="10" t="s">
        <v>35</v>
      </c>
      <c r="T11" s="3" t="s">
        <v>167</v>
      </c>
      <c r="U11" s="3"/>
      <c r="V11" s="3" t="s">
        <v>42</v>
      </c>
      <c r="W11" s="3" t="s">
        <v>43</v>
      </c>
      <c r="X11" s="3"/>
      <c r="Y11" s="3" t="s">
        <v>168</v>
      </c>
      <c r="Z11" s="3" t="s">
        <v>169</v>
      </c>
      <c r="AA11" s="4" t="s">
        <v>46</v>
      </c>
      <c r="AC11" s="18" t="s">
        <v>170</v>
      </c>
      <c r="AD11" s="20">
        <f>COUNTIF($B$2:$B$77,"EPA-Re:P4")+COUNTIF($B$2:$B$77,"EPA-Re:P5")</f>
        <v>2</v>
      </c>
      <c r="AE11" s="16" t="s">
        <v>171</v>
      </c>
      <c r="AG11" s="31" t="s">
        <v>36</v>
      </c>
      <c r="AH11" s="22">
        <f>COUNTA($K$2:$K$77)</f>
        <v>53</v>
      </c>
      <c r="AI11" s="22">
        <f>COUNTIF($K$2:$K$77,"Yes")</f>
        <v>39</v>
      </c>
      <c r="AJ11" s="22">
        <f>COUNTIF($K$2:$K$77,"No")</f>
        <v>14</v>
      </c>
    </row>
    <row r="12" spans="1:40" ht="14.65" customHeight="1">
      <c r="A12" s="7" t="s">
        <v>172</v>
      </c>
      <c r="B12" s="7" t="s">
        <v>173</v>
      </c>
      <c r="C12" s="7" t="s">
        <v>135</v>
      </c>
      <c r="D12" s="7" t="s">
        <v>174</v>
      </c>
      <c r="E12" s="7" t="s">
        <v>33</v>
      </c>
      <c r="F12" s="7" t="s">
        <v>34</v>
      </c>
      <c r="G12" s="9" t="s">
        <v>35</v>
      </c>
      <c r="H12" s="12">
        <v>1</v>
      </c>
      <c r="I12" s="9" t="s">
        <v>35</v>
      </c>
      <c r="J12" s="12">
        <v>1</v>
      </c>
      <c r="K12" s="9" t="s">
        <v>35</v>
      </c>
      <c r="L12" s="9"/>
      <c r="M12" s="9" t="s">
        <v>35</v>
      </c>
      <c r="N12" s="9" t="s">
        <v>36</v>
      </c>
      <c r="O12" s="7" t="s">
        <v>97</v>
      </c>
      <c r="P12" s="7" t="s">
        <v>175</v>
      </c>
      <c r="Q12" s="7" t="s">
        <v>176</v>
      </c>
      <c r="R12" s="7" t="s">
        <v>177</v>
      </c>
      <c r="S12" s="9" t="s">
        <v>35</v>
      </c>
      <c r="T12" s="7" t="s">
        <v>41</v>
      </c>
      <c r="U12" s="7"/>
      <c r="V12" s="7" t="s">
        <v>42</v>
      </c>
      <c r="W12" s="7" t="s">
        <v>43</v>
      </c>
      <c r="X12" s="7"/>
      <c r="Y12" s="7" t="s">
        <v>178</v>
      </c>
      <c r="Z12" s="7" t="s">
        <v>179</v>
      </c>
      <c r="AA12" s="8" t="s">
        <v>46</v>
      </c>
      <c r="AC12" s="39"/>
      <c r="AD12" s="39"/>
      <c r="AE12" s="39"/>
      <c r="AF12" s="39"/>
      <c r="AG12" s="39" t="s">
        <v>180</v>
      </c>
      <c r="AH12" s="40">
        <f>COUNTA($L$2:$L$77)</f>
        <v>18</v>
      </c>
      <c r="AI12" s="40">
        <f>COUNTIF($L$2:$L$77,"Yes")</f>
        <v>5</v>
      </c>
      <c r="AJ12" s="40">
        <f>COUNTIF($L$2:$L$77,"No")</f>
        <v>13</v>
      </c>
      <c r="AK12" s="39"/>
      <c r="AL12" s="39"/>
      <c r="AM12" s="39"/>
      <c r="AN12" s="39"/>
    </row>
    <row r="13" spans="1:40" ht="14.65" customHeight="1">
      <c r="A13" s="3" t="s">
        <v>181</v>
      </c>
      <c r="B13" s="3" t="s">
        <v>182</v>
      </c>
      <c r="C13" s="3" t="s">
        <v>183</v>
      </c>
      <c r="D13" s="3" t="s">
        <v>184</v>
      </c>
      <c r="E13" s="3" t="s">
        <v>33</v>
      </c>
      <c r="F13" s="3" t="s">
        <v>34</v>
      </c>
      <c r="G13" s="10" t="s">
        <v>35</v>
      </c>
      <c r="H13" s="13">
        <v>1</v>
      </c>
      <c r="I13" s="10" t="s">
        <v>35</v>
      </c>
      <c r="J13" s="13">
        <v>1</v>
      </c>
      <c r="K13" s="10" t="s">
        <v>35</v>
      </c>
      <c r="L13" s="10"/>
      <c r="M13" s="10" t="s">
        <v>35</v>
      </c>
      <c r="N13" s="10" t="s">
        <v>36</v>
      </c>
      <c r="O13" s="3" t="s">
        <v>185</v>
      </c>
      <c r="P13" s="3" t="s">
        <v>186</v>
      </c>
      <c r="Q13" s="3" t="s">
        <v>187</v>
      </c>
      <c r="R13" s="3" t="s">
        <v>188</v>
      </c>
      <c r="S13" s="10" t="s">
        <v>35</v>
      </c>
      <c r="T13" s="3" t="s">
        <v>189</v>
      </c>
      <c r="U13" s="3"/>
      <c r="V13" s="3" t="s">
        <v>42</v>
      </c>
      <c r="W13" s="3" t="s">
        <v>43</v>
      </c>
      <c r="X13" s="3"/>
      <c r="Y13" s="3" t="s">
        <v>190</v>
      </c>
      <c r="Z13" s="3" t="s">
        <v>191</v>
      </c>
      <c r="AA13" s="4" t="s">
        <v>46</v>
      </c>
      <c r="AG13" s="32" t="s">
        <v>192</v>
      </c>
      <c r="AH13" s="23">
        <f>COUNTA($M$2:$M$77)</f>
        <v>51</v>
      </c>
      <c r="AI13" s="23">
        <f>COUNTIF($M$2:$M$77,"Yes")</f>
        <v>46</v>
      </c>
      <c r="AJ13" s="23">
        <f>COUNTIF($M$2:$M$77,"No")</f>
        <v>5</v>
      </c>
    </row>
    <row r="14" spans="1:40" ht="40" customHeight="1">
      <c r="A14" s="7" t="s">
        <v>193</v>
      </c>
      <c r="B14" s="7" t="s">
        <v>194</v>
      </c>
      <c r="C14" s="7" t="s">
        <v>195</v>
      </c>
      <c r="D14" s="7" t="s">
        <v>196</v>
      </c>
      <c r="E14" s="7" t="s">
        <v>33</v>
      </c>
      <c r="F14" s="7" t="s">
        <v>34</v>
      </c>
      <c r="G14" s="9" t="s">
        <v>35</v>
      </c>
      <c r="H14" s="12">
        <v>1</v>
      </c>
      <c r="I14" s="9" t="s">
        <v>35</v>
      </c>
      <c r="J14" s="12">
        <v>1</v>
      </c>
      <c r="K14" s="9" t="s">
        <v>35</v>
      </c>
      <c r="L14" s="9"/>
      <c r="M14" s="9" t="s">
        <v>35</v>
      </c>
      <c r="N14" s="9" t="s">
        <v>36</v>
      </c>
      <c r="O14" s="7" t="s">
        <v>197</v>
      </c>
      <c r="P14" s="7" t="s">
        <v>198</v>
      </c>
      <c r="Q14" s="7" t="s">
        <v>199</v>
      </c>
      <c r="R14" s="7" t="s">
        <v>200</v>
      </c>
      <c r="S14" s="9" t="s">
        <v>35</v>
      </c>
      <c r="T14" s="7" t="s">
        <v>189</v>
      </c>
      <c r="U14" s="7"/>
      <c r="V14" s="7" t="s">
        <v>42</v>
      </c>
      <c r="W14" s="7" t="s">
        <v>43</v>
      </c>
      <c r="X14" s="7"/>
      <c r="Y14" s="7" t="s">
        <v>201</v>
      </c>
      <c r="Z14" s="7" t="s">
        <v>202</v>
      </c>
      <c r="AA14" s="8" t="s">
        <v>46</v>
      </c>
      <c r="AC14" s="43" t="s">
        <v>203</v>
      </c>
      <c r="AD14" s="43"/>
      <c r="AE14" s="43"/>
      <c r="AF14" s="43"/>
      <c r="AG14" s="43"/>
      <c r="AH14" s="43"/>
      <c r="AI14" s="43"/>
      <c r="AJ14" s="43"/>
      <c r="AK14" s="43"/>
      <c r="AL14" s="43"/>
      <c r="AM14" s="43"/>
      <c r="AN14" s="43"/>
    </row>
    <row r="15" spans="1:40" ht="36" customHeight="1">
      <c r="A15" s="3" t="s">
        <v>204</v>
      </c>
      <c r="B15" s="3" t="s">
        <v>205</v>
      </c>
      <c r="C15" s="3" t="s">
        <v>206</v>
      </c>
      <c r="D15" s="3" t="s">
        <v>207</v>
      </c>
      <c r="E15" s="3" t="s">
        <v>33</v>
      </c>
      <c r="F15" s="3" t="s">
        <v>34</v>
      </c>
      <c r="G15" s="10" t="s">
        <v>35</v>
      </c>
      <c r="H15" s="13">
        <v>1</v>
      </c>
      <c r="I15" s="10" t="s">
        <v>35</v>
      </c>
      <c r="J15" s="13">
        <v>1</v>
      </c>
      <c r="K15" s="10" t="s">
        <v>35</v>
      </c>
      <c r="L15" s="10"/>
      <c r="M15" s="10" t="s">
        <v>35</v>
      </c>
      <c r="N15" s="10" t="s">
        <v>36</v>
      </c>
      <c r="O15" s="3" t="s">
        <v>208</v>
      </c>
      <c r="P15" s="3" t="s">
        <v>209</v>
      </c>
      <c r="Q15" s="3" t="s">
        <v>210</v>
      </c>
      <c r="R15" s="3" t="s">
        <v>211</v>
      </c>
      <c r="S15" s="10" t="s">
        <v>35</v>
      </c>
      <c r="T15" s="3" t="s">
        <v>41</v>
      </c>
      <c r="U15" s="3"/>
      <c r="V15" s="3" t="s">
        <v>42</v>
      </c>
      <c r="W15" s="3" t="s">
        <v>43</v>
      </c>
      <c r="X15" s="3"/>
      <c r="Y15" s="3" t="s">
        <v>212</v>
      </c>
      <c r="Z15" s="3" t="s">
        <v>213</v>
      </c>
      <c r="AA15" s="4" t="s">
        <v>46</v>
      </c>
      <c r="AC15" s="41" t="s">
        <v>214</v>
      </c>
      <c r="AD15" s="41"/>
      <c r="AE15" s="41"/>
      <c r="AF15" s="41"/>
      <c r="AG15" s="41"/>
      <c r="AH15" s="41"/>
      <c r="AI15" s="41"/>
      <c r="AJ15" s="41"/>
      <c r="AK15" s="42"/>
    </row>
    <row r="16" spans="1:40" ht="36" customHeight="1">
      <c r="A16" s="7" t="s">
        <v>215</v>
      </c>
      <c r="B16" s="7" t="s">
        <v>216</v>
      </c>
      <c r="C16" s="7" t="s">
        <v>217</v>
      </c>
      <c r="D16" s="7" t="s">
        <v>218</v>
      </c>
      <c r="E16" s="7" t="s">
        <v>33</v>
      </c>
      <c r="F16" s="7" t="s">
        <v>34</v>
      </c>
      <c r="G16" s="9" t="s">
        <v>35</v>
      </c>
      <c r="H16" s="12">
        <v>1</v>
      </c>
      <c r="I16" s="9" t="s">
        <v>35</v>
      </c>
      <c r="J16" s="12">
        <v>1</v>
      </c>
      <c r="K16" s="9" t="s">
        <v>35</v>
      </c>
      <c r="L16" s="9"/>
      <c r="M16" s="9" t="s">
        <v>35</v>
      </c>
      <c r="N16" s="9" t="s">
        <v>36</v>
      </c>
      <c r="O16" s="7" t="s">
        <v>219</v>
      </c>
      <c r="P16" s="7" t="s">
        <v>220</v>
      </c>
      <c r="Q16" s="7" t="s">
        <v>221</v>
      </c>
      <c r="R16" s="7" t="s">
        <v>222</v>
      </c>
      <c r="S16" s="9" t="s">
        <v>35</v>
      </c>
      <c r="T16" s="7" t="s">
        <v>41</v>
      </c>
      <c r="U16" s="7"/>
      <c r="V16" s="7" t="s">
        <v>42</v>
      </c>
      <c r="W16" s="7" t="s">
        <v>43</v>
      </c>
      <c r="X16" s="7"/>
      <c r="Y16" s="7" t="s">
        <v>223</v>
      </c>
      <c r="Z16" s="7" t="s">
        <v>224</v>
      </c>
      <c r="AA16" s="8" t="s">
        <v>46</v>
      </c>
      <c r="AC16" s="33" t="s">
        <v>225</v>
      </c>
      <c r="AD16" s="33" t="s">
        <v>226</v>
      </c>
      <c r="AE16" s="33" t="s">
        <v>227</v>
      </c>
      <c r="AF16" s="33" t="s">
        <v>228</v>
      </c>
      <c r="AG16" s="33" t="s">
        <v>229</v>
      </c>
      <c r="AH16" s="33" t="s">
        <v>6</v>
      </c>
      <c r="AI16" s="33" t="s">
        <v>8</v>
      </c>
      <c r="AJ16" s="33" t="s">
        <v>20</v>
      </c>
      <c r="AK16" s="33" t="s">
        <v>230</v>
      </c>
    </row>
    <row r="17" spans="1:37" ht="26.65" customHeight="1">
      <c r="A17" s="3" t="s">
        <v>231</v>
      </c>
      <c r="B17" s="3" t="s">
        <v>232</v>
      </c>
      <c r="C17" s="3" t="s">
        <v>233</v>
      </c>
      <c r="D17" s="3" t="s">
        <v>234</v>
      </c>
      <c r="E17" s="3" t="s">
        <v>33</v>
      </c>
      <c r="F17" s="3" t="s">
        <v>34</v>
      </c>
      <c r="G17" s="10" t="s">
        <v>108</v>
      </c>
      <c r="H17" s="13">
        <v>0</v>
      </c>
      <c r="I17" s="10" t="s">
        <v>108</v>
      </c>
      <c r="J17" s="13">
        <v>0</v>
      </c>
      <c r="K17" s="10" t="s">
        <v>108</v>
      </c>
      <c r="L17" s="10"/>
      <c r="M17" s="10" t="s">
        <v>35</v>
      </c>
      <c r="N17" s="10" t="s">
        <v>36</v>
      </c>
      <c r="O17" s="3" t="s">
        <v>235</v>
      </c>
      <c r="P17" s="3" t="s">
        <v>236</v>
      </c>
      <c r="Q17" s="3" t="s">
        <v>237</v>
      </c>
      <c r="R17" s="3" t="s">
        <v>238</v>
      </c>
      <c r="S17" s="10" t="s">
        <v>35</v>
      </c>
      <c r="T17" s="3" t="s">
        <v>239</v>
      </c>
      <c r="U17" s="3"/>
      <c r="V17" s="3" t="s">
        <v>42</v>
      </c>
      <c r="W17" s="3" t="s">
        <v>43</v>
      </c>
      <c r="X17" s="3"/>
      <c r="Y17" s="3" t="s">
        <v>240</v>
      </c>
      <c r="Z17" s="3" t="s">
        <v>241</v>
      </c>
      <c r="AA17" s="4" t="s">
        <v>46</v>
      </c>
      <c r="AC17" s="34" t="s">
        <v>242</v>
      </c>
      <c r="AD17" s="34">
        <v>7</v>
      </c>
      <c r="AE17" s="34" t="s">
        <v>243</v>
      </c>
      <c r="AF17" s="34" t="s">
        <v>35</v>
      </c>
      <c r="AG17" s="34" t="s">
        <v>108</v>
      </c>
      <c r="AH17" s="34" t="s">
        <v>35</v>
      </c>
      <c r="AI17" s="34" t="s">
        <v>108</v>
      </c>
      <c r="AJ17" s="34" t="s">
        <v>244</v>
      </c>
      <c r="AK17" s="35" t="s">
        <v>245</v>
      </c>
    </row>
    <row r="18" spans="1:37" ht="26.65" customHeight="1">
      <c r="A18" s="7" t="s">
        <v>246</v>
      </c>
      <c r="B18" s="7" t="s">
        <v>247</v>
      </c>
      <c r="C18" s="7" t="s">
        <v>248</v>
      </c>
      <c r="D18" s="7" t="s">
        <v>249</v>
      </c>
      <c r="E18" s="7" t="s">
        <v>33</v>
      </c>
      <c r="F18" s="7" t="s">
        <v>34</v>
      </c>
      <c r="G18" s="9" t="s">
        <v>35</v>
      </c>
      <c r="H18" s="12">
        <v>1</v>
      </c>
      <c r="I18" s="9" t="s">
        <v>35</v>
      </c>
      <c r="J18" s="12">
        <v>1</v>
      </c>
      <c r="K18" s="9" t="s">
        <v>35</v>
      </c>
      <c r="L18" s="9"/>
      <c r="M18" s="9" t="s">
        <v>35</v>
      </c>
      <c r="N18" s="9" t="s">
        <v>36</v>
      </c>
      <c r="O18" s="7" t="s">
        <v>250</v>
      </c>
      <c r="P18" s="7" t="s">
        <v>251</v>
      </c>
      <c r="Q18" s="7" t="s">
        <v>252</v>
      </c>
      <c r="R18" s="7" t="s">
        <v>253</v>
      </c>
      <c r="S18" s="9" t="s">
        <v>35</v>
      </c>
      <c r="T18" s="7" t="s">
        <v>254</v>
      </c>
      <c r="U18" s="7"/>
      <c r="V18" s="7" t="s">
        <v>87</v>
      </c>
      <c r="W18" s="7" t="s">
        <v>255</v>
      </c>
      <c r="X18" s="7"/>
      <c r="Y18" s="7" t="s">
        <v>256</v>
      </c>
      <c r="Z18" s="7" t="s">
        <v>257</v>
      </c>
      <c r="AA18" s="8" t="s">
        <v>46</v>
      </c>
      <c r="AC18" s="34" t="s">
        <v>258</v>
      </c>
      <c r="AD18" s="34">
        <v>8</v>
      </c>
      <c r="AE18" s="34" t="s">
        <v>259</v>
      </c>
      <c r="AF18" s="34" t="s">
        <v>35</v>
      </c>
      <c r="AG18" s="34" t="s">
        <v>108</v>
      </c>
      <c r="AH18" s="34" t="s">
        <v>108</v>
      </c>
      <c r="AI18" s="34" t="s">
        <v>108</v>
      </c>
      <c r="AJ18" s="34" t="s">
        <v>260</v>
      </c>
      <c r="AK18" s="35" t="s">
        <v>261</v>
      </c>
    </row>
    <row r="19" spans="1:37" ht="26.65" customHeight="1">
      <c r="A19" s="3" t="s">
        <v>262</v>
      </c>
      <c r="B19" s="3" t="s">
        <v>263</v>
      </c>
      <c r="C19" s="3" t="s">
        <v>264</v>
      </c>
      <c r="D19" s="3" t="s">
        <v>265</v>
      </c>
      <c r="E19" s="3" t="s">
        <v>33</v>
      </c>
      <c r="F19" s="3" t="s">
        <v>34</v>
      </c>
      <c r="G19" s="10" t="s">
        <v>35</v>
      </c>
      <c r="H19" s="13">
        <v>1</v>
      </c>
      <c r="I19" s="10" t="s">
        <v>35</v>
      </c>
      <c r="J19" s="13">
        <v>1</v>
      </c>
      <c r="K19" s="10" t="s">
        <v>35</v>
      </c>
      <c r="L19" s="10"/>
      <c r="M19" s="10" t="s">
        <v>35</v>
      </c>
      <c r="N19" s="10" t="s">
        <v>36</v>
      </c>
      <c r="O19" s="3" t="s">
        <v>250</v>
      </c>
      <c r="P19" s="3" t="s">
        <v>266</v>
      </c>
      <c r="Q19" s="3" t="s">
        <v>267</v>
      </c>
      <c r="R19" s="3" t="s">
        <v>268</v>
      </c>
      <c r="S19" s="10" t="s">
        <v>35</v>
      </c>
      <c r="T19" s="3" t="s">
        <v>41</v>
      </c>
      <c r="U19" s="3"/>
      <c r="V19" s="3" t="s">
        <v>42</v>
      </c>
      <c r="W19" s="3" t="s">
        <v>43</v>
      </c>
      <c r="X19" s="3"/>
      <c r="Y19" s="3" t="s">
        <v>269</v>
      </c>
      <c r="Z19" s="3" t="s">
        <v>270</v>
      </c>
      <c r="AA19" s="4" t="s">
        <v>46</v>
      </c>
      <c r="AC19" s="34" t="s">
        <v>271</v>
      </c>
      <c r="AD19" s="34">
        <v>9</v>
      </c>
      <c r="AE19" s="34" t="s">
        <v>259</v>
      </c>
      <c r="AF19" s="34" t="s">
        <v>35</v>
      </c>
      <c r="AG19" s="34" t="s">
        <v>108</v>
      </c>
      <c r="AH19" s="34" t="s">
        <v>108</v>
      </c>
      <c r="AI19" s="34" t="s">
        <v>108</v>
      </c>
      <c r="AJ19" s="34" t="s">
        <v>260</v>
      </c>
      <c r="AK19" s="35" t="s">
        <v>261</v>
      </c>
    </row>
    <row r="20" spans="1:37" ht="26.65" customHeight="1">
      <c r="A20" s="7" t="s">
        <v>272</v>
      </c>
      <c r="B20" s="7" t="s">
        <v>273</v>
      </c>
      <c r="C20" s="7" t="s">
        <v>274</v>
      </c>
      <c r="D20" s="7" t="s">
        <v>275</v>
      </c>
      <c r="E20" s="7" t="s">
        <v>33</v>
      </c>
      <c r="F20" s="7" t="s">
        <v>34</v>
      </c>
      <c r="G20" s="9" t="s">
        <v>35</v>
      </c>
      <c r="H20" s="12">
        <v>1</v>
      </c>
      <c r="I20" s="9" t="s">
        <v>35</v>
      </c>
      <c r="J20" s="12">
        <v>1</v>
      </c>
      <c r="K20" s="9" t="s">
        <v>35</v>
      </c>
      <c r="L20" s="9"/>
      <c r="M20" s="9" t="s">
        <v>35</v>
      </c>
      <c r="N20" s="9" t="s">
        <v>36</v>
      </c>
      <c r="O20" s="7" t="s">
        <v>276</v>
      </c>
      <c r="P20" s="7" t="s">
        <v>277</v>
      </c>
      <c r="Q20" s="7" t="s">
        <v>278</v>
      </c>
      <c r="R20" s="7" t="s">
        <v>279</v>
      </c>
      <c r="S20" s="9" t="s">
        <v>35</v>
      </c>
      <c r="T20" s="7" t="s">
        <v>41</v>
      </c>
      <c r="U20" s="7"/>
      <c r="V20" s="7" t="s">
        <v>42</v>
      </c>
      <c r="W20" s="7" t="s">
        <v>43</v>
      </c>
      <c r="X20" s="7"/>
      <c r="Y20" s="7" t="s">
        <v>280</v>
      </c>
      <c r="Z20" s="7" t="s">
        <v>281</v>
      </c>
      <c r="AA20" s="8" t="s">
        <v>46</v>
      </c>
      <c r="AC20" s="34" t="s">
        <v>282</v>
      </c>
      <c r="AD20" s="34">
        <v>10</v>
      </c>
      <c r="AE20" s="34" t="s">
        <v>259</v>
      </c>
      <c r="AF20" s="34" t="s">
        <v>108</v>
      </c>
      <c r="AG20" s="34" t="s">
        <v>108</v>
      </c>
      <c r="AH20" s="34" t="s">
        <v>108</v>
      </c>
      <c r="AI20" s="34" t="s">
        <v>108</v>
      </c>
      <c r="AJ20" s="34" t="s">
        <v>260</v>
      </c>
      <c r="AK20" s="35" t="s">
        <v>261</v>
      </c>
    </row>
    <row r="21" spans="1:37" ht="26.65" customHeight="1">
      <c r="A21" s="3" t="s">
        <v>283</v>
      </c>
      <c r="B21" s="3" t="s">
        <v>284</v>
      </c>
      <c r="C21" s="3" t="s">
        <v>285</v>
      </c>
      <c r="D21" s="3" t="s">
        <v>286</v>
      </c>
      <c r="E21" s="3" t="s">
        <v>33</v>
      </c>
      <c r="F21" s="3" t="s">
        <v>34</v>
      </c>
      <c r="G21" s="10" t="s">
        <v>35</v>
      </c>
      <c r="H21" s="13">
        <v>1</v>
      </c>
      <c r="I21" s="10" t="s">
        <v>35</v>
      </c>
      <c r="J21" s="13">
        <v>1</v>
      </c>
      <c r="K21" s="10" t="s">
        <v>35</v>
      </c>
      <c r="L21" s="10"/>
      <c r="M21" s="10" t="s">
        <v>35</v>
      </c>
      <c r="N21" s="10" t="s">
        <v>36</v>
      </c>
      <c r="O21" s="3" t="s">
        <v>287</v>
      </c>
      <c r="P21" s="3" t="s">
        <v>288</v>
      </c>
      <c r="Q21" s="3" t="s">
        <v>289</v>
      </c>
      <c r="R21" s="3" t="s">
        <v>290</v>
      </c>
      <c r="S21" s="10" t="s">
        <v>35</v>
      </c>
      <c r="T21" s="3" t="s">
        <v>291</v>
      </c>
      <c r="U21" s="3"/>
      <c r="V21" s="3" t="s">
        <v>42</v>
      </c>
      <c r="W21" s="3" t="s">
        <v>43</v>
      </c>
      <c r="X21" s="3"/>
      <c r="Y21" s="3" t="s">
        <v>292</v>
      </c>
      <c r="Z21" s="3" t="s">
        <v>293</v>
      </c>
      <c r="AA21" s="4" t="s">
        <v>46</v>
      </c>
      <c r="AC21" s="34" t="s">
        <v>294</v>
      </c>
      <c r="AD21" s="34">
        <v>11</v>
      </c>
      <c r="AE21" s="34" t="s">
        <v>295</v>
      </c>
      <c r="AF21" s="34" t="s">
        <v>35</v>
      </c>
      <c r="AG21" s="34" t="s">
        <v>108</v>
      </c>
      <c r="AH21" s="34" t="s">
        <v>35</v>
      </c>
      <c r="AI21" s="34" t="s">
        <v>108</v>
      </c>
      <c r="AJ21" s="34" t="s">
        <v>244</v>
      </c>
      <c r="AK21" s="35"/>
    </row>
    <row r="22" spans="1:37" ht="26.65" customHeight="1">
      <c r="A22" s="7" t="s">
        <v>296</v>
      </c>
      <c r="B22" s="7" t="s">
        <v>297</v>
      </c>
      <c r="C22" s="7" t="s">
        <v>285</v>
      </c>
      <c r="D22" s="7" t="s">
        <v>298</v>
      </c>
      <c r="E22" s="7" t="s">
        <v>33</v>
      </c>
      <c r="F22" s="7" t="s">
        <v>34</v>
      </c>
      <c r="G22" s="9" t="s">
        <v>35</v>
      </c>
      <c r="H22" s="12">
        <v>1</v>
      </c>
      <c r="I22" s="9" t="s">
        <v>35</v>
      </c>
      <c r="J22" s="12">
        <v>1</v>
      </c>
      <c r="K22" s="9" t="s">
        <v>35</v>
      </c>
      <c r="L22" s="9"/>
      <c r="M22" s="9" t="s">
        <v>35</v>
      </c>
      <c r="N22" s="9" t="s">
        <v>36</v>
      </c>
      <c r="O22" s="7" t="s">
        <v>299</v>
      </c>
      <c r="P22" s="7" t="s">
        <v>300</v>
      </c>
      <c r="Q22" s="7" t="s">
        <v>301</v>
      </c>
      <c r="R22" s="7" t="s">
        <v>302</v>
      </c>
      <c r="S22" s="9" t="s">
        <v>35</v>
      </c>
      <c r="T22" s="7" t="s">
        <v>41</v>
      </c>
      <c r="U22" s="7"/>
      <c r="V22" s="7" t="s">
        <v>42</v>
      </c>
      <c r="W22" s="7" t="s">
        <v>43</v>
      </c>
      <c r="X22" s="7"/>
      <c r="Y22" s="7" t="s">
        <v>303</v>
      </c>
      <c r="Z22" s="7" t="s">
        <v>304</v>
      </c>
      <c r="AA22" s="8" t="s">
        <v>46</v>
      </c>
      <c r="AC22" s="34" t="s">
        <v>305</v>
      </c>
      <c r="AD22" s="34">
        <v>12</v>
      </c>
      <c r="AE22" s="34" t="s">
        <v>306</v>
      </c>
      <c r="AF22" s="34" t="s">
        <v>35</v>
      </c>
      <c r="AG22" s="34" t="s">
        <v>108</v>
      </c>
      <c r="AH22" s="34" t="s">
        <v>35</v>
      </c>
      <c r="AI22" s="34" t="s">
        <v>108</v>
      </c>
      <c r="AJ22" s="34" t="s">
        <v>244</v>
      </c>
      <c r="AK22" s="35"/>
    </row>
    <row r="23" spans="1:37" ht="26.65" customHeight="1">
      <c r="A23" s="3" t="s">
        <v>307</v>
      </c>
      <c r="B23" s="3" t="s">
        <v>308</v>
      </c>
      <c r="C23" s="3" t="s">
        <v>309</v>
      </c>
      <c r="D23" s="3" t="s">
        <v>310</v>
      </c>
      <c r="E23" s="3" t="s">
        <v>33</v>
      </c>
      <c r="F23" s="3" t="s">
        <v>34</v>
      </c>
      <c r="G23" s="10" t="s">
        <v>35</v>
      </c>
      <c r="H23" s="13">
        <v>1</v>
      </c>
      <c r="I23" s="10" t="s">
        <v>35</v>
      </c>
      <c r="J23" s="13">
        <v>1</v>
      </c>
      <c r="K23" s="10" t="s">
        <v>35</v>
      </c>
      <c r="L23" s="10"/>
      <c r="M23" s="10" t="s">
        <v>35</v>
      </c>
      <c r="N23" s="10" t="s">
        <v>36</v>
      </c>
      <c r="O23" s="3" t="s">
        <v>311</v>
      </c>
      <c r="P23" s="3" t="s">
        <v>312</v>
      </c>
      <c r="Q23" s="3" t="s">
        <v>313</v>
      </c>
      <c r="R23" s="3" t="s">
        <v>314</v>
      </c>
      <c r="S23" s="10" t="s">
        <v>35</v>
      </c>
      <c r="T23" s="3" t="s">
        <v>315</v>
      </c>
      <c r="U23" s="3"/>
      <c r="V23" s="3" t="s">
        <v>42</v>
      </c>
      <c r="W23" s="3" t="s">
        <v>43</v>
      </c>
      <c r="X23" s="3"/>
      <c r="Y23" s="3" t="s">
        <v>316</v>
      </c>
      <c r="Z23" s="3" t="s">
        <v>317</v>
      </c>
      <c r="AA23" s="4" t="s">
        <v>46</v>
      </c>
      <c r="AC23" s="34" t="s">
        <v>318</v>
      </c>
      <c r="AD23" s="34">
        <v>13</v>
      </c>
      <c r="AE23" s="34" t="s">
        <v>319</v>
      </c>
      <c r="AF23" s="34" t="s">
        <v>35</v>
      </c>
      <c r="AG23" s="34" t="s">
        <v>108</v>
      </c>
      <c r="AH23" s="34" t="s">
        <v>108</v>
      </c>
      <c r="AI23" s="34" t="s">
        <v>108</v>
      </c>
      <c r="AJ23" s="34" t="s">
        <v>320</v>
      </c>
      <c r="AK23" s="35" t="s">
        <v>321</v>
      </c>
    </row>
    <row r="24" spans="1:37" ht="26.65" customHeight="1">
      <c r="A24" s="7" t="s">
        <v>322</v>
      </c>
      <c r="B24" s="7" t="s">
        <v>323</v>
      </c>
      <c r="C24" s="7" t="s">
        <v>324</v>
      </c>
      <c r="D24" s="7" t="s">
        <v>325</v>
      </c>
      <c r="E24" s="7" t="s">
        <v>33</v>
      </c>
      <c r="F24" s="7" t="s">
        <v>34</v>
      </c>
      <c r="G24" s="9" t="s">
        <v>35</v>
      </c>
      <c r="H24" s="12">
        <v>1</v>
      </c>
      <c r="I24" s="9" t="s">
        <v>35</v>
      </c>
      <c r="J24" s="12">
        <v>1</v>
      </c>
      <c r="K24" s="9" t="s">
        <v>35</v>
      </c>
      <c r="L24" s="9"/>
      <c r="M24" s="9" t="s">
        <v>35</v>
      </c>
      <c r="N24" s="9" t="s">
        <v>36</v>
      </c>
      <c r="O24" s="7" t="s">
        <v>326</v>
      </c>
      <c r="P24" s="7" t="s">
        <v>327</v>
      </c>
      <c r="Q24" s="7" t="s">
        <v>328</v>
      </c>
      <c r="R24" s="7" t="s">
        <v>329</v>
      </c>
      <c r="S24" s="9" t="s">
        <v>35</v>
      </c>
      <c r="T24" s="7" t="s">
        <v>330</v>
      </c>
      <c r="U24" s="7"/>
      <c r="V24" s="7" t="s">
        <v>42</v>
      </c>
      <c r="W24" s="7" t="s">
        <v>43</v>
      </c>
      <c r="X24" s="7"/>
      <c r="Y24" s="7" t="s">
        <v>331</v>
      </c>
      <c r="Z24" s="7" t="s">
        <v>332</v>
      </c>
      <c r="AA24" s="8" t="s">
        <v>333</v>
      </c>
      <c r="AC24" s="34" t="s">
        <v>334</v>
      </c>
      <c r="AD24" s="34">
        <v>14</v>
      </c>
      <c r="AE24" s="34" t="s">
        <v>335</v>
      </c>
      <c r="AF24" s="34" t="s">
        <v>35</v>
      </c>
      <c r="AG24" s="34" t="s">
        <v>108</v>
      </c>
      <c r="AH24" s="34" t="s">
        <v>35</v>
      </c>
      <c r="AI24" s="34" t="s">
        <v>108</v>
      </c>
      <c r="AJ24" s="34" t="s">
        <v>244</v>
      </c>
      <c r="AK24" s="35" t="s">
        <v>336</v>
      </c>
    </row>
    <row r="25" spans="1:37" ht="26.65" customHeight="1">
      <c r="A25" s="3" t="s">
        <v>337</v>
      </c>
      <c r="B25" s="3" t="s">
        <v>338</v>
      </c>
      <c r="C25" s="3" t="s">
        <v>339</v>
      </c>
      <c r="D25" s="3" t="s">
        <v>340</v>
      </c>
      <c r="E25" s="3" t="s">
        <v>33</v>
      </c>
      <c r="F25" s="3" t="s">
        <v>34</v>
      </c>
      <c r="G25" s="10" t="s">
        <v>35</v>
      </c>
      <c r="H25" s="13">
        <v>1</v>
      </c>
      <c r="I25" s="10" t="s">
        <v>35</v>
      </c>
      <c r="J25" s="13">
        <v>1</v>
      </c>
      <c r="K25" s="10" t="s">
        <v>35</v>
      </c>
      <c r="L25" s="10"/>
      <c r="M25" s="10" t="s">
        <v>35</v>
      </c>
      <c r="N25" s="10" t="s">
        <v>36</v>
      </c>
      <c r="O25" s="3" t="s">
        <v>250</v>
      </c>
      <c r="P25" s="3" t="s">
        <v>341</v>
      </c>
      <c r="Q25" s="3" t="s">
        <v>342</v>
      </c>
      <c r="R25" s="3" t="s">
        <v>343</v>
      </c>
      <c r="S25" s="10" t="s">
        <v>35</v>
      </c>
      <c r="T25" s="3" t="s">
        <v>41</v>
      </c>
      <c r="U25" s="3"/>
      <c r="V25" s="3" t="s">
        <v>42</v>
      </c>
      <c r="W25" s="3" t="s">
        <v>43</v>
      </c>
      <c r="X25" s="3"/>
      <c r="Y25" s="3" t="s">
        <v>344</v>
      </c>
      <c r="Z25" s="3" t="s">
        <v>345</v>
      </c>
      <c r="AA25" s="4" t="s">
        <v>46</v>
      </c>
      <c r="AC25" s="34" t="s">
        <v>346</v>
      </c>
      <c r="AD25" s="34">
        <v>15</v>
      </c>
      <c r="AE25" s="34" t="s">
        <v>347</v>
      </c>
      <c r="AF25" s="34" t="s">
        <v>35</v>
      </c>
      <c r="AG25" s="34" t="s">
        <v>108</v>
      </c>
      <c r="AH25" s="34" t="s">
        <v>108</v>
      </c>
      <c r="AI25" s="34" t="s">
        <v>108</v>
      </c>
      <c r="AJ25" s="34" t="s">
        <v>348</v>
      </c>
      <c r="AK25" s="35" t="s">
        <v>349</v>
      </c>
    </row>
    <row r="26" spans="1:37" ht="26.65" customHeight="1">
      <c r="A26" s="7" t="s">
        <v>350</v>
      </c>
      <c r="B26" s="7" t="s">
        <v>351</v>
      </c>
      <c r="C26" s="7" t="s">
        <v>352</v>
      </c>
      <c r="D26" s="7" t="s">
        <v>353</v>
      </c>
      <c r="E26" s="7" t="s">
        <v>33</v>
      </c>
      <c r="F26" s="7" t="s">
        <v>34</v>
      </c>
      <c r="G26" s="9" t="s">
        <v>35</v>
      </c>
      <c r="H26" s="12">
        <v>1</v>
      </c>
      <c r="I26" s="9" t="s">
        <v>35</v>
      </c>
      <c r="J26" s="12">
        <v>1</v>
      </c>
      <c r="K26" s="9" t="s">
        <v>35</v>
      </c>
      <c r="L26" s="9"/>
      <c r="M26" s="9" t="s">
        <v>35</v>
      </c>
      <c r="N26" s="9" t="s">
        <v>36</v>
      </c>
      <c r="O26" s="7" t="s">
        <v>354</v>
      </c>
      <c r="P26" s="7" t="s">
        <v>355</v>
      </c>
      <c r="Q26" s="7" t="s">
        <v>356</v>
      </c>
      <c r="R26" s="7" t="s">
        <v>357</v>
      </c>
      <c r="S26" s="9" t="s">
        <v>35</v>
      </c>
      <c r="T26" s="7" t="s">
        <v>41</v>
      </c>
      <c r="U26" s="7"/>
      <c r="V26" s="7" t="s">
        <v>42</v>
      </c>
      <c r="W26" s="7" t="s">
        <v>43</v>
      </c>
      <c r="X26" s="7"/>
      <c r="Y26" s="7" t="s">
        <v>358</v>
      </c>
      <c r="Z26" s="7" t="s">
        <v>359</v>
      </c>
      <c r="AA26" s="8" t="s">
        <v>46</v>
      </c>
      <c r="AC26" s="34" t="s">
        <v>360</v>
      </c>
      <c r="AD26" s="34">
        <v>16</v>
      </c>
      <c r="AE26" s="34" t="s">
        <v>361</v>
      </c>
      <c r="AF26" s="34" t="s">
        <v>35</v>
      </c>
      <c r="AG26" s="34" t="s">
        <v>108</v>
      </c>
      <c r="AH26" s="34" t="s">
        <v>35</v>
      </c>
      <c r="AI26" s="34" t="s">
        <v>108</v>
      </c>
      <c r="AJ26" s="34" t="s">
        <v>244</v>
      </c>
      <c r="AK26" s="35"/>
    </row>
    <row r="27" spans="1:37" ht="26.65" customHeight="1">
      <c r="A27" s="3" t="s">
        <v>362</v>
      </c>
      <c r="B27" s="3" t="s">
        <v>363</v>
      </c>
      <c r="C27" s="3" t="s">
        <v>364</v>
      </c>
      <c r="D27" s="3" t="s">
        <v>365</v>
      </c>
      <c r="E27" s="3" t="s">
        <v>33</v>
      </c>
      <c r="F27" s="3" t="s">
        <v>34</v>
      </c>
      <c r="G27" s="10" t="s">
        <v>108</v>
      </c>
      <c r="H27" s="13">
        <v>0</v>
      </c>
      <c r="I27" s="10" t="s">
        <v>108</v>
      </c>
      <c r="J27" s="13">
        <v>0</v>
      </c>
      <c r="K27" s="10" t="s">
        <v>108</v>
      </c>
      <c r="L27" s="10"/>
      <c r="M27" s="10" t="s">
        <v>35</v>
      </c>
      <c r="N27" s="10" t="s">
        <v>36</v>
      </c>
      <c r="O27" s="3" t="s">
        <v>208</v>
      </c>
      <c r="P27" s="3" t="s">
        <v>366</v>
      </c>
      <c r="Q27" s="3" t="s">
        <v>367</v>
      </c>
      <c r="R27" s="3" t="s">
        <v>368</v>
      </c>
      <c r="S27" s="10" t="s">
        <v>35</v>
      </c>
      <c r="T27" s="3" t="s">
        <v>369</v>
      </c>
      <c r="U27" s="3"/>
      <c r="V27" s="3" t="s">
        <v>42</v>
      </c>
      <c r="W27" s="3" t="s">
        <v>43</v>
      </c>
      <c r="X27" s="3"/>
      <c r="Y27" s="3" t="s">
        <v>370</v>
      </c>
      <c r="Z27" s="3" t="s">
        <v>371</v>
      </c>
      <c r="AA27" s="4" t="s">
        <v>46</v>
      </c>
      <c r="AC27" s="34" t="s">
        <v>372</v>
      </c>
      <c r="AD27" s="34">
        <v>17</v>
      </c>
      <c r="AE27" s="34" t="s">
        <v>373</v>
      </c>
      <c r="AF27" s="34" t="s">
        <v>35</v>
      </c>
      <c r="AG27" s="34" t="s">
        <v>108</v>
      </c>
      <c r="AH27" s="34" t="s">
        <v>35</v>
      </c>
      <c r="AI27" s="34" t="s">
        <v>108</v>
      </c>
      <c r="AJ27" s="34" t="s">
        <v>244</v>
      </c>
      <c r="AK27" s="35" t="s">
        <v>374</v>
      </c>
    </row>
    <row r="28" spans="1:37" ht="26.65" customHeight="1">
      <c r="A28" s="7" t="s">
        <v>375</v>
      </c>
      <c r="B28" s="7" t="s">
        <v>376</v>
      </c>
      <c r="C28" s="7" t="s">
        <v>377</v>
      </c>
      <c r="D28" s="7" t="s">
        <v>378</v>
      </c>
      <c r="E28" s="7" t="s">
        <v>33</v>
      </c>
      <c r="F28" s="7" t="s">
        <v>34</v>
      </c>
      <c r="G28" s="9" t="s">
        <v>35</v>
      </c>
      <c r="H28" s="12">
        <v>1</v>
      </c>
      <c r="I28" s="9" t="s">
        <v>35</v>
      </c>
      <c r="J28" s="12">
        <v>1</v>
      </c>
      <c r="K28" s="9" t="s">
        <v>35</v>
      </c>
      <c r="L28" s="9"/>
      <c r="M28" s="9" t="s">
        <v>35</v>
      </c>
      <c r="N28" s="9" t="s">
        <v>36</v>
      </c>
      <c r="O28" s="7" t="s">
        <v>379</v>
      </c>
      <c r="P28" s="7" t="s">
        <v>380</v>
      </c>
      <c r="Q28" s="7" t="s">
        <v>381</v>
      </c>
      <c r="R28" s="7" t="s">
        <v>382</v>
      </c>
      <c r="S28" s="9" t="s">
        <v>35</v>
      </c>
      <c r="T28" s="7" t="s">
        <v>41</v>
      </c>
      <c r="U28" s="7"/>
      <c r="V28" s="7" t="s">
        <v>42</v>
      </c>
      <c r="W28" s="7" t="s">
        <v>43</v>
      </c>
      <c r="X28" s="7"/>
      <c r="Y28" s="7" t="s">
        <v>383</v>
      </c>
      <c r="Z28" s="7" t="s">
        <v>384</v>
      </c>
      <c r="AA28" s="8" t="s">
        <v>46</v>
      </c>
      <c r="AC28" s="34" t="s">
        <v>385</v>
      </c>
      <c r="AD28" s="34">
        <v>18</v>
      </c>
      <c r="AE28" s="34" t="s">
        <v>386</v>
      </c>
      <c r="AF28" s="34" t="s">
        <v>35</v>
      </c>
      <c r="AG28" s="34" t="s">
        <v>108</v>
      </c>
      <c r="AH28" s="34" t="s">
        <v>35</v>
      </c>
      <c r="AI28" s="34" t="s">
        <v>108</v>
      </c>
      <c r="AJ28" s="34" t="s">
        <v>244</v>
      </c>
      <c r="AK28" s="35"/>
    </row>
    <row r="29" spans="1:37" ht="26.65" customHeight="1">
      <c r="A29" s="3" t="s">
        <v>387</v>
      </c>
      <c r="B29" s="3" t="s">
        <v>388</v>
      </c>
      <c r="C29" s="3" t="s">
        <v>389</v>
      </c>
      <c r="D29" s="3" t="s">
        <v>390</v>
      </c>
      <c r="E29" s="3" t="s">
        <v>33</v>
      </c>
      <c r="F29" s="3" t="s">
        <v>34</v>
      </c>
      <c r="G29" s="10" t="s">
        <v>35</v>
      </c>
      <c r="H29" s="13">
        <v>1</v>
      </c>
      <c r="I29" s="10" t="s">
        <v>35</v>
      </c>
      <c r="J29" s="13">
        <v>1</v>
      </c>
      <c r="K29" s="10" t="s">
        <v>35</v>
      </c>
      <c r="L29" s="10"/>
      <c r="M29" s="10" t="s">
        <v>35</v>
      </c>
      <c r="N29" s="10" t="s">
        <v>36</v>
      </c>
      <c r="O29" s="3" t="s">
        <v>250</v>
      </c>
      <c r="P29" s="3" t="s">
        <v>391</v>
      </c>
      <c r="Q29" s="3" t="s">
        <v>392</v>
      </c>
      <c r="R29" s="3" t="s">
        <v>393</v>
      </c>
      <c r="S29" s="10" t="s">
        <v>35</v>
      </c>
      <c r="T29" s="3" t="s">
        <v>41</v>
      </c>
      <c r="U29" s="3"/>
      <c r="V29" s="3" t="s">
        <v>42</v>
      </c>
      <c r="W29" s="3" t="s">
        <v>43</v>
      </c>
      <c r="X29" s="3"/>
      <c r="Y29" s="3" t="s">
        <v>394</v>
      </c>
      <c r="Z29" s="3" t="s">
        <v>395</v>
      </c>
      <c r="AA29" s="4" t="s">
        <v>46</v>
      </c>
      <c r="AC29" s="34" t="s">
        <v>396</v>
      </c>
      <c r="AD29" s="34">
        <v>19</v>
      </c>
      <c r="AE29" s="34" t="s">
        <v>397</v>
      </c>
      <c r="AF29" s="34" t="s">
        <v>35</v>
      </c>
      <c r="AG29" s="34" t="s">
        <v>108</v>
      </c>
      <c r="AH29" s="34" t="s">
        <v>35</v>
      </c>
      <c r="AI29" s="34" t="s">
        <v>108</v>
      </c>
      <c r="AJ29" s="34" t="s">
        <v>244</v>
      </c>
      <c r="AK29" s="35" t="s">
        <v>374</v>
      </c>
    </row>
    <row r="30" spans="1:37" ht="26.65" customHeight="1">
      <c r="A30" s="7" t="s">
        <v>398</v>
      </c>
      <c r="B30" s="7" t="s">
        <v>399</v>
      </c>
      <c r="C30" s="7" t="s">
        <v>400</v>
      </c>
      <c r="D30" s="7" t="s">
        <v>401</v>
      </c>
      <c r="E30" s="7" t="s">
        <v>79</v>
      </c>
      <c r="F30" s="7" t="s">
        <v>402</v>
      </c>
      <c r="G30" s="9" t="s">
        <v>35</v>
      </c>
      <c r="H30" s="12">
        <v>1</v>
      </c>
      <c r="I30" s="9" t="s">
        <v>35</v>
      </c>
      <c r="J30" s="12">
        <v>1</v>
      </c>
      <c r="K30" s="9"/>
      <c r="L30" s="9"/>
      <c r="M30" s="9" t="s">
        <v>35</v>
      </c>
      <c r="N30" s="9" t="s">
        <v>192</v>
      </c>
      <c r="O30" s="7" t="s">
        <v>403</v>
      </c>
      <c r="P30" s="7"/>
      <c r="Q30" s="7" t="s">
        <v>404</v>
      </c>
      <c r="R30" s="7"/>
      <c r="S30" s="9" t="s">
        <v>35</v>
      </c>
      <c r="T30" s="7" t="s">
        <v>405</v>
      </c>
      <c r="U30" s="7"/>
      <c r="V30" s="7" t="s">
        <v>42</v>
      </c>
      <c r="W30" s="7" t="s">
        <v>43</v>
      </c>
      <c r="X30" s="7"/>
      <c r="Y30" s="7" t="s">
        <v>406</v>
      </c>
      <c r="Z30" s="7" t="s">
        <v>407</v>
      </c>
      <c r="AA30" s="8" t="s">
        <v>46</v>
      </c>
      <c r="AC30" s="34" t="s">
        <v>408</v>
      </c>
      <c r="AD30" s="34">
        <v>20</v>
      </c>
      <c r="AE30" s="34" t="s">
        <v>409</v>
      </c>
      <c r="AF30" s="34" t="s">
        <v>35</v>
      </c>
      <c r="AG30" s="34" t="s">
        <v>108</v>
      </c>
      <c r="AH30" s="34" t="s">
        <v>35</v>
      </c>
      <c r="AI30" s="34" t="s">
        <v>108</v>
      </c>
      <c r="AJ30" s="34" t="s">
        <v>244</v>
      </c>
      <c r="AK30" s="35" t="s">
        <v>374</v>
      </c>
    </row>
    <row r="31" spans="1:37" ht="26.65" customHeight="1">
      <c r="A31" s="3" t="s">
        <v>410</v>
      </c>
      <c r="B31" s="3" t="s">
        <v>411</v>
      </c>
      <c r="C31" s="3" t="s">
        <v>412</v>
      </c>
      <c r="D31" s="3" t="s">
        <v>413</v>
      </c>
      <c r="E31" s="3" t="s">
        <v>79</v>
      </c>
      <c r="F31" s="3" t="s">
        <v>402</v>
      </c>
      <c r="G31" s="10" t="s">
        <v>35</v>
      </c>
      <c r="H31" s="13">
        <v>1</v>
      </c>
      <c r="I31" s="10" t="s">
        <v>35</v>
      </c>
      <c r="J31" s="13">
        <v>1</v>
      </c>
      <c r="K31" s="10" t="s">
        <v>35</v>
      </c>
      <c r="L31" s="10"/>
      <c r="M31" s="10"/>
      <c r="N31" s="10" t="s">
        <v>36</v>
      </c>
      <c r="O31" s="3" t="s">
        <v>414</v>
      </c>
      <c r="P31" s="3" t="s">
        <v>415</v>
      </c>
      <c r="Q31" s="3" t="s">
        <v>416</v>
      </c>
      <c r="R31" s="3" t="s">
        <v>417</v>
      </c>
      <c r="S31" s="10" t="s">
        <v>108</v>
      </c>
      <c r="T31" s="3"/>
      <c r="U31" s="3"/>
      <c r="V31" s="3" t="s">
        <v>418</v>
      </c>
      <c r="W31" s="3"/>
      <c r="X31" s="3"/>
      <c r="Y31" s="3" t="s">
        <v>419</v>
      </c>
      <c r="Z31" s="3" t="s">
        <v>420</v>
      </c>
      <c r="AA31" s="4" t="s">
        <v>46</v>
      </c>
      <c r="AC31" s="34" t="s">
        <v>421</v>
      </c>
      <c r="AD31" s="34">
        <v>3</v>
      </c>
      <c r="AE31" s="34" t="s">
        <v>422</v>
      </c>
      <c r="AF31" s="34"/>
      <c r="AG31" s="34" t="s">
        <v>108</v>
      </c>
      <c r="AH31" s="34" t="s">
        <v>108</v>
      </c>
      <c r="AI31" s="34" t="s">
        <v>108</v>
      </c>
      <c r="AJ31" s="34" t="s">
        <v>423</v>
      </c>
      <c r="AK31" s="35" t="s">
        <v>424</v>
      </c>
    </row>
    <row r="32" spans="1:37" ht="26.65" customHeight="1">
      <c r="A32" s="7" t="s">
        <v>425</v>
      </c>
      <c r="B32" s="7" t="s">
        <v>426</v>
      </c>
      <c r="C32" s="7" t="s">
        <v>412</v>
      </c>
      <c r="D32" s="7" t="s">
        <v>427</v>
      </c>
      <c r="E32" s="7" t="s">
        <v>79</v>
      </c>
      <c r="F32" s="7" t="s">
        <v>402</v>
      </c>
      <c r="G32" s="9" t="s">
        <v>108</v>
      </c>
      <c r="H32" s="12">
        <v>0</v>
      </c>
      <c r="I32" s="9" t="s">
        <v>108</v>
      </c>
      <c r="J32" s="12">
        <v>0</v>
      </c>
      <c r="K32" s="9"/>
      <c r="L32" s="9"/>
      <c r="M32" s="9" t="s">
        <v>108</v>
      </c>
      <c r="N32" s="9" t="s">
        <v>192</v>
      </c>
      <c r="O32" s="7" t="s">
        <v>428</v>
      </c>
      <c r="P32" s="7"/>
      <c r="Q32" s="7" t="s">
        <v>429</v>
      </c>
      <c r="R32" s="7"/>
      <c r="S32" s="9" t="s">
        <v>35</v>
      </c>
      <c r="T32" s="7" t="s">
        <v>430</v>
      </c>
      <c r="U32" s="7"/>
      <c r="V32" s="7" t="s">
        <v>87</v>
      </c>
      <c r="W32" s="7" t="s">
        <v>431</v>
      </c>
      <c r="X32" s="7"/>
      <c r="Y32" s="7" t="s">
        <v>432</v>
      </c>
      <c r="Z32" s="7" t="s">
        <v>433</v>
      </c>
      <c r="AA32" s="8" t="s">
        <v>46</v>
      </c>
      <c r="AC32" s="36" t="s">
        <v>434</v>
      </c>
      <c r="AD32" s="36">
        <v>4</v>
      </c>
      <c r="AE32" s="36" t="s">
        <v>435</v>
      </c>
      <c r="AF32" s="36"/>
      <c r="AG32" s="36" t="s">
        <v>35</v>
      </c>
      <c r="AH32" s="36" t="s">
        <v>108</v>
      </c>
      <c r="AI32" s="36" t="s">
        <v>35</v>
      </c>
      <c r="AJ32" s="36" t="s">
        <v>436</v>
      </c>
      <c r="AK32" s="37" t="s">
        <v>437</v>
      </c>
    </row>
    <row r="33" spans="1:40" ht="36" customHeight="1">
      <c r="A33" s="3" t="s">
        <v>438</v>
      </c>
      <c r="B33" s="3" t="s">
        <v>439</v>
      </c>
      <c r="C33" s="3" t="s">
        <v>440</v>
      </c>
      <c r="D33" s="3" t="s">
        <v>441</v>
      </c>
      <c r="E33" s="3" t="s">
        <v>79</v>
      </c>
      <c r="F33" s="3" t="s">
        <v>402</v>
      </c>
      <c r="G33" s="10" t="s">
        <v>35</v>
      </c>
      <c r="H33" s="13">
        <v>1</v>
      </c>
      <c r="I33" s="10" t="s">
        <v>35</v>
      </c>
      <c r="J33" s="13">
        <v>1</v>
      </c>
      <c r="K33" s="10"/>
      <c r="L33" s="10"/>
      <c r="M33" s="10" t="s">
        <v>35</v>
      </c>
      <c r="N33" s="10" t="s">
        <v>192</v>
      </c>
      <c r="O33" s="3" t="s">
        <v>442</v>
      </c>
      <c r="P33" s="3"/>
      <c r="Q33" s="3" t="s">
        <v>443</v>
      </c>
      <c r="R33" s="3"/>
      <c r="S33" s="10" t="s">
        <v>35</v>
      </c>
      <c r="T33" s="3" t="s">
        <v>405</v>
      </c>
      <c r="U33" s="3"/>
      <c r="V33" s="3" t="s">
        <v>42</v>
      </c>
      <c r="W33" s="3" t="s">
        <v>43</v>
      </c>
      <c r="X33" s="3" t="s">
        <v>444</v>
      </c>
      <c r="Y33" s="3" t="s">
        <v>445</v>
      </c>
      <c r="Z33" s="3" t="s">
        <v>446</v>
      </c>
      <c r="AA33" s="4" t="s">
        <v>46</v>
      </c>
    </row>
    <row r="34" spans="1:40" ht="36" customHeight="1">
      <c r="A34" s="7" t="s">
        <v>447</v>
      </c>
      <c r="B34" s="7" t="s">
        <v>448</v>
      </c>
      <c r="C34" s="7" t="s">
        <v>31</v>
      </c>
      <c r="D34" s="7" t="s">
        <v>449</v>
      </c>
      <c r="E34" s="7" t="s">
        <v>79</v>
      </c>
      <c r="F34" s="7" t="s">
        <v>402</v>
      </c>
      <c r="G34" s="9" t="s">
        <v>35</v>
      </c>
      <c r="H34" s="12">
        <v>1</v>
      </c>
      <c r="I34" s="9" t="s">
        <v>35</v>
      </c>
      <c r="J34" s="12">
        <v>1</v>
      </c>
      <c r="K34" s="9" t="s">
        <v>35</v>
      </c>
      <c r="L34" s="9"/>
      <c r="M34" s="9" t="s">
        <v>35</v>
      </c>
      <c r="N34" s="9" t="s">
        <v>36</v>
      </c>
      <c r="O34" s="7" t="s">
        <v>97</v>
      </c>
      <c r="P34" s="7" t="s">
        <v>450</v>
      </c>
      <c r="Q34" s="7" t="s">
        <v>451</v>
      </c>
      <c r="R34" s="7" t="s">
        <v>452</v>
      </c>
      <c r="S34" s="9" t="s">
        <v>35</v>
      </c>
      <c r="T34" s="7" t="s">
        <v>41</v>
      </c>
      <c r="U34" s="7"/>
      <c r="V34" s="7" t="s">
        <v>42</v>
      </c>
      <c r="W34" s="7" t="s">
        <v>43</v>
      </c>
      <c r="X34" s="7"/>
      <c r="Y34" s="7" t="s">
        <v>453</v>
      </c>
      <c r="Z34" s="7" t="s">
        <v>454</v>
      </c>
      <c r="AA34" s="8" t="s">
        <v>46</v>
      </c>
    </row>
    <row r="35" spans="1:40" ht="36" customHeight="1">
      <c r="A35" s="3" t="s">
        <v>455</v>
      </c>
      <c r="B35" s="3" t="s">
        <v>456</v>
      </c>
      <c r="C35" s="3" t="s">
        <v>69</v>
      </c>
      <c r="D35" s="3" t="s">
        <v>457</v>
      </c>
      <c r="E35" s="3" t="s">
        <v>79</v>
      </c>
      <c r="F35" s="3" t="s">
        <v>402</v>
      </c>
      <c r="G35" s="10" t="s">
        <v>35</v>
      </c>
      <c r="H35" s="13">
        <v>1</v>
      </c>
      <c r="I35" s="10" t="s">
        <v>35</v>
      </c>
      <c r="J35" s="13">
        <v>1</v>
      </c>
      <c r="K35" s="10"/>
      <c r="L35" s="10"/>
      <c r="M35" s="10" t="s">
        <v>35</v>
      </c>
      <c r="N35" s="10" t="s">
        <v>192</v>
      </c>
      <c r="O35" s="3" t="s">
        <v>442</v>
      </c>
      <c r="P35" s="3"/>
      <c r="Q35" s="3" t="s">
        <v>458</v>
      </c>
      <c r="R35" s="3"/>
      <c r="S35" s="10" t="s">
        <v>35</v>
      </c>
      <c r="T35" s="3" t="s">
        <v>405</v>
      </c>
      <c r="U35" s="3"/>
      <c r="V35" s="3" t="s">
        <v>42</v>
      </c>
      <c r="W35" s="3" t="s">
        <v>43</v>
      </c>
      <c r="X35" s="3"/>
      <c r="Y35" s="3" t="s">
        <v>459</v>
      </c>
      <c r="Z35" s="3" t="s">
        <v>460</v>
      </c>
      <c r="AA35" s="4" t="s">
        <v>46</v>
      </c>
      <c r="AC35" s="41" t="s">
        <v>461</v>
      </c>
      <c r="AD35" s="41"/>
      <c r="AE35" s="41"/>
      <c r="AF35" s="41"/>
      <c r="AG35" s="41"/>
      <c r="AH35" s="41"/>
      <c r="AI35" s="41"/>
      <c r="AJ35" s="41"/>
      <c r="AK35" s="41"/>
      <c r="AL35" s="41"/>
      <c r="AM35" s="41"/>
      <c r="AN35" s="42"/>
    </row>
    <row r="36" spans="1:40" ht="36" customHeight="1">
      <c r="A36" s="7" t="s">
        <v>462</v>
      </c>
      <c r="B36" s="7" t="s">
        <v>463</v>
      </c>
      <c r="C36" s="7" t="s">
        <v>121</v>
      </c>
      <c r="D36" s="7" t="s">
        <v>464</v>
      </c>
      <c r="E36" s="7" t="s">
        <v>79</v>
      </c>
      <c r="F36" s="7" t="s">
        <v>402</v>
      </c>
      <c r="G36" s="9" t="s">
        <v>35</v>
      </c>
      <c r="H36" s="12">
        <v>1</v>
      </c>
      <c r="I36" s="9" t="s">
        <v>35</v>
      </c>
      <c r="J36" s="12">
        <v>1</v>
      </c>
      <c r="K36" s="9" t="s">
        <v>35</v>
      </c>
      <c r="L36" s="9"/>
      <c r="M36" s="9" t="s">
        <v>35</v>
      </c>
      <c r="N36" s="9" t="s">
        <v>36</v>
      </c>
      <c r="O36" s="7" t="s">
        <v>71</v>
      </c>
      <c r="P36" s="7" t="s">
        <v>465</v>
      </c>
      <c r="Q36" s="7" t="s">
        <v>466</v>
      </c>
      <c r="R36" s="7" t="s">
        <v>467</v>
      </c>
      <c r="S36" s="9" t="s">
        <v>35</v>
      </c>
      <c r="T36" s="7" t="s">
        <v>41</v>
      </c>
      <c r="U36" s="7"/>
      <c r="V36" s="7" t="s">
        <v>42</v>
      </c>
      <c r="W36" s="7" t="s">
        <v>43</v>
      </c>
      <c r="X36" s="7" t="s">
        <v>444</v>
      </c>
      <c r="Y36" s="7" t="s">
        <v>468</v>
      </c>
      <c r="Z36" s="7" t="s">
        <v>469</v>
      </c>
      <c r="AA36" s="8" t="s">
        <v>46</v>
      </c>
      <c r="AC36" s="38" t="s">
        <v>470</v>
      </c>
      <c r="AD36" s="38" t="s">
        <v>4</v>
      </c>
      <c r="AE36" s="38" t="s">
        <v>471</v>
      </c>
      <c r="AF36" s="38" t="s">
        <v>472</v>
      </c>
      <c r="AG36" s="38" t="s">
        <v>473</v>
      </c>
      <c r="AH36" s="38" t="s">
        <v>474</v>
      </c>
      <c r="AI36" s="38" t="s">
        <v>475</v>
      </c>
      <c r="AJ36" s="38" t="s">
        <v>227</v>
      </c>
      <c r="AK36" s="38" t="s">
        <v>476</v>
      </c>
      <c r="AL36" s="38" t="s">
        <v>477</v>
      </c>
      <c r="AM36" s="38" t="s">
        <v>25</v>
      </c>
      <c r="AN36" s="38" t="s">
        <v>478</v>
      </c>
    </row>
    <row r="37" spans="1:40" ht="32" customHeight="1">
      <c r="A37" s="3" t="s">
        <v>479</v>
      </c>
      <c r="B37" s="3" t="s">
        <v>480</v>
      </c>
      <c r="C37" s="3" t="s">
        <v>481</v>
      </c>
      <c r="D37" s="3" t="s">
        <v>482</v>
      </c>
      <c r="E37" s="3" t="s">
        <v>93</v>
      </c>
      <c r="F37" s="3" t="s">
        <v>93</v>
      </c>
      <c r="G37" s="10" t="s">
        <v>108</v>
      </c>
      <c r="H37" s="13">
        <v>0</v>
      </c>
      <c r="I37" s="10" t="s">
        <v>108</v>
      </c>
      <c r="J37" s="13">
        <v>0</v>
      </c>
      <c r="K37" s="10" t="s">
        <v>108</v>
      </c>
      <c r="L37" s="10"/>
      <c r="M37" s="10"/>
      <c r="N37" s="10" t="s">
        <v>36</v>
      </c>
      <c r="O37" s="3" t="s">
        <v>483</v>
      </c>
      <c r="P37" s="3" t="s">
        <v>484</v>
      </c>
      <c r="Q37" s="3" t="s">
        <v>485</v>
      </c>
      <c r="R37" s="3" t="s">
        <v>486</v>
      </c>
      <c r="S37" s="10" t="s">
        <v>35</v>
      </c>
      <c r="T37" s="3" t="s">
        <v>487</v>
      </c>
      <c r="U37" s="3"/>
      <c r="V37" s="3" t="s">
        <v>42</v>
      </c>
      <c r="W37" s="3" t="s">
        <v>43</v>
      </c>
      <c r="X37" s="3"/>
      <c r="Y37" s="3" t="s">
        <v>488</v>
      </c>
      <c r="Z37" s="3" t="s">
        <v>489</v>
      </c>
      <c r="AA37" s="4" t="s">
        <v>46</v>
      </c>
      <c r="AC37" s="34" t="s">
        <v>490</v>
      </c>
      <c r="AD37" s="34" t="s">
        <v>93</v>
      </c>
      <c r="AE37" s="34" t="s">
        <v>318</v>
      </c>
      <c r="AF37" s="34" t="s">
        <v>491</v>
      </c>
      <c r="AG37" s="34" t="s">
        <v>492</v>
      </c>
      <c r="AH37" s="34" t="s">
        <v>493</v>
      </c>
      <c r="AI37" s="34" t="s">
        <v>494</v>
      </c>
      <c r="AJ37" s="34" t="s">
        <v>319</v>
      </c>
      <c r="AK37" s="34" t="s">
        <v>35</v>
      </c>
      <c r="AL37" s="34" t="s">
        <v>180</v>
      </c>
      <c r="AM37" s="34" t="s">
        <v>495</v>
      </c>
      <c r="AN37" s="35" t="s">
        <v>496</v>
      </c>
    </row>
    <row r="38" spans="1:40" ht="32" customHeight="1">
      <c r="A38" s="7" t="s">
        <v>422</v>
      </c>
      <c r="B38" s="7" t="s">
        <v>421</v>
      </c>
      <c r="C38" s="7" t="s">
        <v>400</v>
      </c>
      <c r="D38" s="7" t="s">
        <v>497</v>
      </c>
      <c r="E38" s="7" t="s">
        <v>93</v>
      </c>
      <c r="F38" s="7" t="s">
        <v>93</v>
      </c>
      <c r="G38" s="9" t="s">
        <v>108</v>
      </c>
      <c r="H38" s="12">
        <v>0</v>
      </c>
      <c r="I38" s="9" t="s">
        <v>108</v>
      </c>
      <c r="J38" s="12">
        <v>0</v>
      </c>
      <c r="K38" s="9"/>
      <c r="L38" s="9" t="s">
        <v>108</v>
      </c>
      <c r="M38" s="9"/>
      <c r="N38" s="9" t="s">
        <v>180</v>
      </c>
      <c r="O38" s="7" t="s">
        <v>498</v>
      </c>
      <c r="P38" s="7" t="s">
        <v>499</v>
      </c>
      <c r="Q38" s="7" t="s">
        <v>500</v>
      </c>
      <c r="R38" s="7" t="s">
        <v>501</v>
      </c>
      <c r="S38" s="9" t="s">
        <v>35</v>
      </c>
      <c r="T38" s="7" t="s">
        <v>502</v>
      </c>
      <c r="U38" s="7" t="s">
        <v>423</v>
      </c>
      <c r="V38" s="7" t="s">
        <v>418</v>
      </c>
      <c r="W38" s="7" t="s">
        <v>503</v>
      </c>
      <c r="X38" s="7"/>
      <c r="Y38" s="7" t="s">
        <v>504</v>
      </c>
      <c r="Z38" s="7" t="s">
        <v>505</v>
      </c>
      <c r="AA38" s="8" t="s">
        <v>506</v>
      </c>
      <c r="AC38" s="34" t="s">
        <v>507</v>
      </c>
      <c r="AD38" s="34" t="s">
        <v>93</v>
      </c>
      <c r="AE38" s="34" t="s">
        <v>508</v>
      </c>
      <c r="AF38" s="34" t="s">
        <v>491</v>
      </c>
      <c r="AG38" s="34" t="s">
        <v>509</v>
      </c>
      <c r="AH38" s="34" t="s">
        <v>493</v>
      </c>
      <c r="AI38" s="34" t="s">
        <v>510</v>
      </c>
      <c r="AJ38" s="34" t="s">
        <v>319</v>
      </c>
      <c r="AK38" s="34" t="s">
        <v>35</v>
      </c>
      <c r="AL38" s="34" t="s">
        <v>192</v>
      </c>
      <c r="AM38" s="34" t="s">
        <v>511</v>
      </c>
      <c r="AN38" s="35"/>
    </row>
    <row r="39" spans="1:40" ht="32" customHeight="1">
      <c r="A39" s="3" t="s">
        <v>435</v>
      </c>
      <c r="B39" s="3" t="s">
        <v>434</v>
      </c>
      <c r="C39" s="3" t="s">
        <v>412</v>
      </c>
      <c r="D39" s="3" t="s">
        <v>512</v>
      </c>
      <c r="E39" s="3" t="s">
        <v>93</v>
      </c>
      <c r="F39" s="3" t="s">
        <v>93</v>
      </c>
      <c r="G39" s="10" t="s">
        <v>108</v>
      </c>
      <c r="H39" s="13">
        <v>0</v>
      </c>
      <c r="I39" s="10" t="s">
        <v>35</v>
      </c>
      <c r="J39" s="13">
        <v>1</v>
      </c>
      <c r="K39" s="10"/>
      <c r="L39" s="10" t="s">
        <v>35</v>
      </c>
      <c r="M39" s="10"/>
      <c r="N39" s="10" t="s">
        <v>180</v>
      </c>
      <c r="O39" s="3" t="s">
        <v>513</v>
      </c>
      <c r="P39" s="3" t="s">
        <v>514</v>
      </c>
      <c r="Q39" s="3" t="s">
        <v>515</v>
      </c>
      <c r="R39" s="3" t="s">
        <v>516</v>
      </c>
      <c r="S39" s="10" t="s">
        <v>35</v>
      </c>
      <c r="T39" s="3" t="s">
        <v>517</v>
      </c>
      <c r="U39" s="3" t="s">
        <v>436</v>
      </c>
      <c r="V39" s="3" t="s">
        <v>418</v>
      </c>
      <c r="W39" s="3" t="s">
        <v>503</v>
      </c>
      <c r="X39" s="3"/>
      <c r="Y39" s="3" t="s">
        <v>518</v>
      </c>
      <c r="Z39" s="3" t="s">
        <v>519</v>
      </c>
      <c r="AA39" s="4" t="s">
        <v>506</v>
      </c>
      <c r="AC39" s="34" t="s">
        <v>520</v>
      </c>
      <c r="AD39" s="34" t="s">
        <v>93</v>
      </c>
      <c r="AE39" s="34" t="s">
        <v>521</v>
      </c>
      <c r="AF39" s="34" t="s">
        <v>522</v>
      </c>
      <c r="AG39" s="34" t="s">
        <v>523</v>
      </c>
      <c r="AH39" s="34" t="s">
        <v>493</v>
      </c>
      <c r="AI39" s="34" t="s">
        <v>524</v>
      </c>
      <c r="AJ39" s="34" t="s">
        <v>373</v>
      </c>
      <c r="AK39" s="34" t="s">
        <v>35</v>
      </c>
      <c r="AL39" s="34" t="s">
        <v>192</v>
      </c>
      <c r="AM39" s="34" t="s">
        <v>525</v>
      </c>
      <c r="AN39" s="35"/>
    </row>
    <row r="40" spans="1:40" ht="32" customHeight="1">
      <c r="A40" s="7" t="s">
        <v>243</v>
      </c>
      <c r="B40" s="7" t="s">
        <v>242</v>
      </c>
      <c r="C40" s="7" t="s">
        <v>69</v>
      </c>
      <c r="D40" s="7" t="s">
        <v>526</v>
      </c>
      <c r="E40" s="7" t="s">
        <v>93</v>
      </c>
      <c r="F40" s="7" t="s">
        <v>93</v>
      </c>
      <c r="G40" s="9" t="s">
        <v>35</v>
      </c>
      <c r="H40" s="12">
        <v>1</v>
      </c>
      <c r="I40" s="9" t="s">
        <v>108</v>
      </c>
      <c r="J40" s="12">
        <v>0</v>
      </c>
      <c r="K40" s="9"/>
      <c r="L40" s="9" t="s">
        <v>108</v>
      </c>
      <c r="M40" s="9"/>
      <c r="N40" s="9" t="s">
        <v>180</v>
      </c>
      <c r="O40" s="7" t="s">
        <v>527</v>
      </c>
      <c r="P40" s="7" t="s">
        <v>528</v>
      </c>
      <c r="Q40" s="7" t="s">
        <v>529</v>
      </c>
      <c r="R40" s="7" t="s">
        <v>530</v>
      </c>
      <c r="S40" s="9" t="s">
        <v>35</v>
      </c>
      <c r="T40" s="7" t="s">
        <v>531</v>
      </c>
      <c r="U40" s="7" t="s">
        <v>244</v>
      </c>
      <c r="V40" s="7" t="s">
        <v>532</v>
      </c>
      <c r="W40" s="7" t="s">
        <v>533</v>
      </c>
      <c r="X40" s="7" t="s">
        <v>534</v>
      </c>
      <c r="Y40" s="7" t="s">
        <v>535</v>
      </c>
      <c r="Z40" s="7" t="s">
        <v>536</v>
      </c>
      <c r="AA40" s="8" t="s">
        <v>46</v>
      </c>
      <c r="AC40" s="34" t="s">
        <v>537</v>
      </c>
      <c r="AD40" s="34" t="s">
        <v>93</v>
      </c>
      <c r="AE40" s="34" t="s">
        <v>538</v>
      </c>
      <c r="AF40" s="34" t="s">
        <v>539</v>
      </c>
      <c r="AG40" s="34" t="s">
        <v>540</v>
      </c>
      <c r="AH40" s="34" t="s">
        <v>493</v>
      </c>
      <c r="AI40" s="34" t="s">
        <v>541</v>
      </c>
      <c r="AJ40" s="34" t="s">
        <v>397</v>
      </c>
      <c r="AK40" s="34" t="s">
        <v>35</v>
      </c>
      <c r="AL40" s="34" t="s">
        <v>192</v>
      </c>
      <c r="AM40" s="34" t="s">
        <v>542</v>
      </c>
      <c r="AN40" s="35"/>
    </row>
    <row r="41" spans="1:40" ht="32" customHeight="1">
      <c r="A41" s="3" t="s">
        <v>319</v>
      </c>
      <c r="B41" s="3" t="s">
        <v>543</v>
      </c>
      <c r="C41" s="3" t="s">
        <v>544</v>
      </c>
      <c r="D41" s="3" t="s">
        <v>545</v>
      </c>
      <c r="E41" s="3" t="s">
        <v>93</v>
      </c>
      <c r="F41" s="3" t="s">
        <v>93</v>
      </c>
      <c r="G41" s="10" t="s">
        <v>108</v>
      </c>
      <c r="H41" s="13">
        <v>0</v>
      </c>
      <c r="I41" s="10" t="s">
        <v>108</v>
      </c>
      <c r="J41" s="13">
        <v>0</v>
      </c>
      <c r="K41" s="10" t="s">
        <v>108</v>
      </c>
      <c r="L41" s="10" t="s">
        <v>108</v>
      </c>
      <c r="M41" s="10" t="s">
        <v>35</v>
      </c>
      <c r="N41" s="10" t="s">
        <v>36</v>
      </c>
      <c r="O41" s="3" t="s">
        <v>546</v>
      </c>
      <c r="P41" s="3" t="s">
        <v>547</v>
      </c>
      <c r="Q41" s="3" t="s">
        <v>548</v>
      </c>
      <c r="R41" s="3" t="s">
        <v>549</v>
      </c>
      <c r="S41" s="10" t="s">
        <v>35</v>
      </c>
      <c r="T41" s="3" t="s">
        <v>550</v>
      </c>
      <c r="U41" s="3" t="s">
        <v>320</v>
      </c>
      <c r="V41" s="3" t="s">
        <v>551</v>
      </c>
      <c r="W41" s="3" t="s">
        <v>552</v>
      </c>
      <c r="X41" s="3"/>
      <c r="Y41" s="3" t="s">
        <v>553</v>
      </c>
      <c r="Z41" s="3" t="s">
        <v>554</v>
      </c>
      <c r="AA41" s="4" t="s">
        <v>46</v>
      </c>
      <c r="AC41" s="34" t="s">
        <v>555</v>
      </c>
      <c r="AD41" s="34" t="s">
        <v>93</v>
      </c>
      <c r="AE41" s="34" t="s">
        <v>556</v>
      </c>
      <c r="AF41" s="34" t="s">
        <v>557</v>
      </c>
      <c r="AG41" s="34" t="s">
        <v>558</v>
      </c>
      <c r="AH41" s="34" t="s">
        <v>493</v>
      </c>
      <c r="AI41" s="34" t="s">
        <v>559</v>
      </c>
      <c r="AJ41" s="34" t="s">
        <v>409</v>
      </c>
      <c r="AK41" s="34" t="s">
        <v>35</v>
      </c>
      <c r="AL41" s="34" t="s">
        <v>192</v>
      </c>
      <c r="AM41" s="34" t="s">
        <v>560</v>
      </c>
      <c r="AN41" s="35"/>
    </row>
    <row r="42" spans="1:40" ht="32" customHeight="1">
      <c r="A42" s="7" t="s">
        <v>259</v>
      </c>
      <c r="B42" s="7" t="s">
        <v>282</v>
      </c>
      <c r="C42" s="7" t="s">
        <v>561</v>
      </c>
      <c r="D42" s="7" t="s">
        <v>562</v>
      </c>
      <c r="E42" s="7" t="s">
        <v>93</v>
      </c>
      <c r="F42" s="7" t="s">
        <v>93</v>
      </c>
      <c r="G42" s="9" t="s">
        <v>108</v>
      </c>
      <c r="H42" s="12">
        <v>0</v>
      </c>
      <c r="I42" s="9" t="s">
        <v>108</v>
      </c>
      <c r="J42" s="12">
        <v>0</v>
      </c>
      <c r="K42" s="9"/>
      <c r="L42" s="9" t="s">
        <v>108</v>
      </c>
      <c r="M42" s="9"/>
      <c r="N42" s="9" t="s">
        <v>180</v>
      </c>
      <c r="O42" s="7" t="s">
        <v>563</v>
      </c>
      <c r="P42" s="7" t="s">
        <v>564</v>
      </c>
      <c r="Q42" s="7" t="s">
        <v>565</v>
      </c>
      <c r="R42" s="7" t="s">
        <v>566</v>
      </c>
      <c r="S42" s="9" t="s">
        <v>35</v>
      </c>
      <c r="T42" s="7" t="s">
        <v>567</v>
      </c>
      <c r="U42" s="7" t="s">
        <v>260</v>
      </c>
      <c r="V42" s="7" t="s">
        <v>87</v>
      </c>
      <c r="W42" s="7" t="s">
        <v>568</v>
      </c>
      <c r="X42" s="7"/>
      <c r="Y42" s="7" t="s">
        <v>569</v>
      </c>
      <c r="Z42" s="7" t="s">
        <v>570</v>
      </c>
      <c r="AA42" s="8" t="s">
        <v>46</v>
      </c>
      <c r="AC42" s="34" t="s">
        <v>571</v>
      </c>
      <c r="AD42" s="34" t="s">
        <v>118</v>
      </c>
      <c r="AE42" s="34"/>
      <c r="AF42" s="34"/>
      <c r="AG42" s="34" t="s">
        <v>572</v>
      </c>
      <c r="AH42" s="34" t="s">
        <v>493</v>
      </c>
      <c r="AI42" s="34" t="s">
        <v>573</v>
      </c>
      <c r="AJ42" s="34" t="s">
        <v>574</v>
      </c>
      <c r="AK42" s="34" t="s">
        <v>35</v>
      </c>
      <c r="AL42" s="34" t="s">
        <v>180</v>
      </c>
      <c r="AM42" s="34" t="s">
        <v>575</v>
      </c>
      <c r="AN42" s="35"/>
    </row>
    <row r="43" spans="1:40" ht="32" customHeight="1">
      <c r="A43" s="3" t="s">
        <v>295</v>
      </c>
      <c r="B43" s="3" t="s">
        <v>294</v>
      </c>
      <c r="C43" s="3" t="s">
        <v>561</v>
      </c>
      <c r="D43" s="3" t="s">
        <v>576</v>
      </c>
      <c r="E43" s="3" t="s">
        <v>93</v>
      </c>
      <c r="F43" s="3" t="s">
        <v>93</v>
      </c>
      <c r="G43" s="10" t="s">
        <v>35</v>
      </c>
      <c r="H43" s="13">
        <v>1</v>
      </c>
      <c r="I43" s="10" t="s">
        <v>108</v>
      </c>
      <c r="J43" s="13">
        <v>0</v>
      </c>
      <c r="K43" s="10"/>
      <c r="L43" s="10" t="s">
        <v>108</v>
      </c>
      <c r="M43" s="10"/>
      <c r="N43" s="10" t="s">
        <v>180</v>
      </c>
      <c r="O43" s="3" t="s">
        <v>563</v>
      </c>
      <c r="P43" s="3" t="s">
        <v>577</v>
      </c>
      <c r="Q43" s="3" t="s">
        <v>578</v>
      </c>
      <c r="R43" s="3" t="s">
        <v>566</v>
      </c>
      <c r="S43" s="10" t="s">
        <v>35</v>
      </c>
      <c r="T43" s="3" t="s">
        <v>579</v>
      </c>
      <c r="U43" s="3" t="s">
        <v>244</v>
      </c>
      <c r="V43" s="3" t="s">
        <v>42</v>
      </c>
      <c r="W43" s="3" t="s">
        <v>580</v>
      </c>
      <c r="X43" s="3"/>
      <c r="Y43" s="3" t="s">
        <v>581</v>
      </c>
      <c r="Z43" s="3" t="s">
        <v>582</v>
      </c>
      <c r="AA43" s="4" t="s">
        <v>46</v>
      </c>
      <c r="AC43" s="34" t="s">
        <v>583</v>
      </c>
      <c r="AD43" s="34" t="s">
        <v>93</v>
      </c>
      <c r="AE43" s="34" t="s">
        <v>543</v>
      </c>
      <c r="AF43" s="34" t="s">
        <v>544</v>
      </c>
      <c r="AG43" s="34" t="s">
        <v>584</v>
      </c>
      <c r="AH43" s="34" t="s">
        <v>585</v>
      </c>
      <c r="AI43" s="34" t="s">
        <v>586</v>
      </c>
      <c r="AJ43" s="34" t="s">
        <v>319</v>
      </c>
      <c r="AK43" s="34" t="s">
        <v>587</v>
      </c>
      <c r="AL43" s="34" t="s">
        <v>36</v>
      </c>
      <c r="AM43" s="34" t="s">
        <v>588</v>
      </c>
      <c r="AN43" s="35"/>
    </row>
    <row r="44" spans="1:40" ht="32" customHeight="1">
      <c r="A44" s="7" t="s">
        <v>306</v>
      </c>
      <c r="B44" s="7" t="s">
        <v>305</v>
      </c>
      <c r="C44" s="7" t="s">
        <v>561</v>
      </c>
      <c r="D44" s="7" t="s">
        <v>589</v>
      </c>
      <c r="E44" s="7" t="s">
        <v>93</v>
      </c>
      <c r="F44" s="7" t="s">
        <v>93</v>
      </c>
      <c r="G44" s="9" t="s">
        <v>35</v>
      </c>
      <c r="H44" s="12">
        <v>1</v>
      </c>
      <c r="I44" s="9" t="s">
        <v>108</v>
      </c>
      <c r="J44" s="12">
        <v>0</v>
      </c>
      <c r="K44" s="9"/>
      <c r="L44" s="9" t="s">
        <v>108</v>
      </c>
      <c r="M44" s="9"/>
      <c r="N44" s="9" t="s">
        <v>180</v>
      </c>
      <c r="O44" s="7" t="s">
        <v>563</v>
      </c>
      <c r="P44" s="7" t="s">
        <v>590</v>
      </c>
      <c r="Q44" s="7" t="s">
        <v>591</v>
      </c>
      <c r="R44" s="7" t="s">
        <v>566</v>
      </c>
      <c r="S44" s="9" t="s">
        <v>35</v>
      </c>
      <c r="T44" s="7" t="s">
        <v>592</v>
      </c>
      <c r="U44" s="7" t="s">
        <v>244</v>
      </c>
      <c r="V44" s="7" t="s">
        <v>42</v>
      </c>
      <c r="W44" s="7" t="s">
        <v>580</v>
      </c>
      <c r="X44" s="7"/>
      <c r="Y44" s="7" t="s">
        <v>593</v>
      </c>
      <c r="Z44" s="7" t="s">
        <v>594</v>
      </c>
      <c r="AA44" s="8" t="s">
        <v>46</v>
      </c>
      <c r="AC44" s="34" t="s">
        <v>595</v>
      </c>
      <c r="AD44" s="34" t="s">
        <v>93</v>
      </c>
      <c r="AE44" s="34" t="s">
        <v>258</v>
      </c>
      <c r="AF44" s="34" t="s">
        <v>561</v>
      </c>
      <c r="AG44" s="34" t="s">
        <v>596</v>
      </c>
      <c r="AH44" s="34" t="s">
        <v>585</v>
      </c>
      <c r="AI44" s="34" t="s">
        <v>597</v>
      </c>
      <c r="AJ44" s="34" t="s">
        <v>259</v>
      </c>
      <c r="AK44" s="34" t="s">
        <v>35</v>
      </c>
      <c r="AL44" s="34" t="s">
        <v>180</v>
      </c>
      <c r="AM44" s="34" t="s">
        <v>598</v>
      </c>
      <c r="AN44" s="35" t="s">
        <v>599</v>
      </c>
    </row>
    <row r="45" spans="1:40" ht="32" customHeight="1">
      <c r="A45" s="3" t="s">
        <v>600</v>
      </c>
      <c r="B45" s="3" t="s">
        <v>601</v>
      </c>
      <c r="C45" s="3" t="s">
        <v>561</v>
      </c>
      <c r="D45" s="3" t="s">
        <v>602</v>
      </c>
      <c r="E45" s="3" t="s">
        <v>93</v>
      </c>
      <c r="F45" s="3" t="s">
        <v>93</v>
      </c>
      <c r="G45" s="10" t="s">
        <v>108</v>
      </c>
      <c r="H45" s="13">
        <v>0</v>
      </c>
      <c r="I45" s="10" t="s">
        <v>108</v>
      </c>
      <c r="J45" s="13">
        <v>0</v>
      </c>
      <c r="K45" s="10"/>
      <c r="L45" s="10"/>
      <c r="M45" s="10" t="s">
        <v>108</v>
      </c>
      <c r="N45" s="10" t="s">
        <v>192</v>
      </c>
      <c r="O45" s="3" t="s">
        <v>414</v>
      </c>
      <c r="P45" s="3" t="s">
        <v>603</v>
      </c>
      <c r="Q45" s="3" t="s">
        <v>604</v>
      </c>
      <c r="R45" s="3" t="s">
        <v>605</v>
      </c>
      <c r="S45" s="10" t="s">
        <v>35</v>
      </c>
      <c r="T45" s="3" t="s">
        <v>606</v>
      </c>
      <c r="U45" s="3"/>
      <c r="V45" s="3" t="s">
        <v>42</v>
      </c>
      <c r="W45" s="3" t="s">
        <v>43</v>
      </c>
      <c r="X45" s="3"/>
      <c r="Y45" s="3" t="s">
        <v>607</v>
      </c>
      <c r="Z45" s="3" t="s">
        <v>608</v>
      </c>
      <c r="AA45" s="4" t="s">
        <v>46</v>
      </c>
      <c r="AC45" s="34" t="s">
        <v>609</v>
      </c>
      <c r="AD45" s="34" t="s">
        <v>93</v>
      </c>
      <c r="AE45" s="34" t="s">
        <v>610</v>
      </c>
      <c r="AF45" s="34" t="s">
        <v>611</v>
      </c>
      <c r="AG45" s="34" t="s">
        <v>612</v>
      </c>
      <c r="AH45" s="34" t="s">
        <v>585</v>
      </c>
      <c r="AI45" s="34" t="s">
        <v>613</v>
      </c>
      <c r="AJ45" s="34" t="s">
        <v>614</v>
      </c>
      <c r="AK45" s="34" t="s">
        <v>35</v>
      </c>
      <c r="AL45" s="34" t="s">
        <v>36</v>
      </c>
      <c r="AM45" s="34" t="s">
        <v>615</v>
      </c>
      <c r="AN45" s="35"/>
    </row>
    <row r="46" spans="1:40" ht="32" customHeight="1">
      <c r="A46" s="7" t="s">
        <v>335</v>
      </c>
      <c r="B46" s="7" t="s">
        <v>334</v>
      </c>
      <c r="C46" s="7" t="s">
        <v>491</v>
      </c>
      <c r="D46" s="7" t="s">
        <v>616</v>
      </c>
      <c r="E46" s="7" t="s">
        <v>93</v>
      </c>
      <c r="F46" s="7" t="s">
        <v>93</v>
      </c>
      <c r="G46" s="9" t="s">
        <v>35</v>
      </c>
      <c r="H46" s="12">
        <v>1</v>
      </c>
      <c r="I46" s="9" t="s">
        <v>108</v>
      </c>
      <c r="J46" s="12">
        <v>0</v>
      </c>
      <c r="K46" s="9"/>
      <c r="L46" s="9" t="s">
        <v>108</v>
      </c>
      <c r="M46" s="9"/>
      <c r="N46" s="9" t="s">
        <v>180</v>
      </c>
      <c r="O46" s="7" t="s">
        <v>563</v>
      </c>
      <c r="P46" s="7" t="s">
        <v>617</v>
      </c>
      <c r="Q46" s="7" t="s">
        <v>618</v>
      </c>
      <c r="R46" s="7" t="s">
        <v>566</v>
      </c>
      <c r="S46" s="9" t="s">
        <v>35</v>
      </c>
      <c r="T46" s="7" t="s">
        <v>619</v>
      </c>
      <c r="U46" s="7" t="s">
        <v>244</v>
      </c>
      <c r="V46" s="7" t="s">
        <v>42</v>
      </c>
      <c r="W46" s="7" t="s">
        <v>580</v>
      </c>
      <c r="X46" s="7"/>
      <c r="Y46" s="7" t="s">
        <v>620</v>
      </c>
      <c r="Z46" s="7" t="s">
        <v>621</v>
      </c>
      <c r="AA46" s="8" t="s">
        <v>46</v>
      </c>
      <c r="AC46" s="34" t="s">
        <v>622</v>
      </c>
      <c r="AD46" s="34" t="s">
        <v>33</v>
      </c>
      <c r="AE46" s="34" t="s">
        <v>81</v>
      </c>
      <c r="AF46" s="34" t="s">
        <v>69</v>
      </c>
      <c r="AG46" s="34" t="s">
        <v>623</v>
      </c>
      <c r="AH46" s="34" t="s">
        <v>585</v>
      </c>
      <c r="AI46" s="34" t="s">
        <v>624</v>
      </c>
      <c r="AJ46" s="34" t="s">
        <v>80</v>
      </c>
      <c r="AK46" s="34" t="s">
        <v>35</v>
      </c>
      <c r="AL46" s="34" t="s">
        <v>192</v>
      </c>
      <c r="AM46" s="34" t="s">
        <v>625</v>
      </c>
      <c r="AN46" s="35"/>
    </row>
    <row r="47" spans="1:40" ht="32" customHeight="1">
      <c r="A47" s="3" t="s">
        <v>626</v>
      </c>
      <c r="B47" s="3" t="s">
        <v>627</v>
      </c>
      <c r="C47" s="3" t="s">
        <v>491</v>
      </c>
      <c r="D47" s="3" t="s">
        <v>628</v>
      </c>
      <c r="E47" s="3" t="s">
        <v>93</v>
      </c>
      <c r="F47" s="3" t="s">
        <v>93</v>
      </c>
      <c r="G47" s="10" t="s">
        <v>108</v>
      </c>
      <c r="H47" s="13">
        <v>0</v>
      </c>
      <c r="I47" s="10" t="s">
        <v>108</v>
      </c>
      <c r="J47" s="13">
        <v>0</v>
      </c>
      <c r="K47" s="10"/>
      <c r="L47" s="10"/>
      <c r="M47" s="10" t="s">
        <v>108</v>
      </c>
      <c r="N47" s="10" t="s">
        <v>192</v>
      </c>
      <c r="O47" s="3" t="s">
        <v>414</v>
      </c>
      <c r="P47" s="3" t="s">
        <v>629</v>
      </c>
      <c r="Q47" s="3" t="s">
        <v>630</v>
      </c>
      <c r="R47" s="3" t="s">
        <v>631</v>
      </c>
      <c r="S47" s="10" t="s">
        <v>35</v>
      </c>
      <c r="T47" s="3" t="s">
        <v>632</v>
      </c>
      <c r="U47" s="3"/>
      <c r="V47" s="3" t="s">
        <v>42</v>
      </c>
      <c r="W47" s="3" t="s">
        <v>43</v>
      </c>
      <c r="X47" s="3"/>
      <c r="Y47" s="3" t="s">
        <v>633</v>
      </c>
      <c r="Z47" s="3" t="s">
        <v>634</v>
      </c>
      <c r="AA47" s="4" t="s">
        <v>46</v>
      </c>
      <c r="AC47" s="34" t="s">
        <v>635</v>
      </c>
      <c r="AD47" s="34" t="s">
        <v>33</v>
      </c>
      <c r="AE47" s="34" t="s">
        <v>120</v>
      </c>
      <c r="AF47" s="34" t="s">
        <v>121</v>
      </c>
      <c r="AG47" s="34" t="s">
        <v>636</v>
      </c>
      <c r="AH47" s="34" t="s">
        <v>585</v>
      </c>
      <c r="AI47" s="34" t="s">
        <v>637</v>
      </c>
      <c r="AJ47" s="34" t="s">
        <v>119</v>
      </c>
      <c r="AK47" s="34" t="s">
        <v>35</v>
      </c>
      <c r="AL47" s="34" t="s">
        <v>192</v>
      </c>
      <c r="AM47" s="34" t="s">
        <v>638</v>
      </c>
      <c r="AN47" s="35"/>
    </row>
    <row r="48" spans="1:40" ht="32" customHeight="1">
      <c r="A48" s="7" t="s">
        <v>639</v>
      </c>
      <c r="B48" s="7" t="s">
        <v>640</v>
      </c>
      <c r="C48" s="7" t="s">
        <v>522</v>
      </c>
      <c r="D48" s="7" t="s">
        <v>641</v>
      </c>
      <c r="E48" s="7" t="s">
        <v>93</v>
      </c>
      <c r="F48" s="7" t="s">
        <v>93</v>
      </c>
      <c r="G48" s="9" t="s">
        <v>108</v>
      </c>
      <c r="H48" s="12">
        <v>0</v>
      </c>
      <c r="I48" s="9" t="s">
        <v>108</v>
      </c>
      <c r="J48" s="12">
        <v>0</v>
      </c>
      <c r="K48" s="9" t="s">
        <v>108</v>
      </c>
      <c r="L48" s="9"/>
      <c r="M48" s="9"/>
      <c r="N48" s="9" t="s">
        <v>36</v>
      </c>
      <c r="O48" s="7" t="s">
        <v>642</v>
      </c>
      <c r="P48" s="7" t="s">
        <v>643</v>
      </c>
      <c r="Q48" s="7" t="s">
        <v>644</v>
      </c>
      <c r="R48" s="7" t="s">
        <v>645</v>
      </c>
      <c r="S48" s="9" t="s">
        <v>35</v>
      </c>
      <c r="T48" s="7" t="s">
        <v>646</v>
      </c>
      <c r="U48" s="7"/>
      <c r="V48" s="7" t="s">
        <v>42</v>
      </c>
      <c r="W48" s="7" t="s">
        <v>43</v>
      </c>
      <c r="X48" s="7"/>
      <c r="Y48" s="7" t="s">
        <v>647</v>
      </c>
      <c r="Z48" s="7" t="s">
        <v>648</v>
      </c>
      <c r="AA48" s="8" t="s">
        <v>46</v>
      </c>
      <c r="AC48" s="34" t="s">
        <v>649</v>
      </c>
      <c r="AD48" s="34" t="s">
        <v>33</v>
      </c>
      <c r="AE48" s="34" t="s">
        <v>247</v>
      </c>
      <c r="AF48" s="34" t="s">
        <v>248</v>
      </c>
      <c r="AG48" s="34" t="s">
        <v>650</v>
      </c>
      <c r="AH48" s="34" t="s">
        <v>585</v>
      </c>
      <c r="AI48" s="34" t="s">
        <v>651</v>
      </c>
      <c r="AJ48" s="34" t="s">
        <v>246</v>
      </c>
      <c r="AK48" s="34" t="s">
        <v>35</v>
      </c>
      <c r="AL48" s="34" t="s">
        <v>192</v>
      </c>
      <c r="AM48" s="34" t="s">
        <v>652</v>
      </c>
      <c r="AN48" s="35"/>
    </row>
    <row r="49" spans="1:40" ht="32" customHeight="1">
      <c r="A49" s="3" t="s">
        <v>361</v>
      </c>
      <c r="B49" s="3" t="s">
        <v>360</v>
      </c>
      <c r="C49" s="3" t="s">
        <v>522</v>
      </c>
      <c r="D49" s="3" t="s">
        <v>653</v>
      </c>
      <c r="E49" s="3" t="s">
        <v>93</v>
      </c>
      <c r="F49" s="3" t="s">
        <v>93</v>
      </c>
      <c r="G49" s="10" t="s">
        <v>35</v>
      </c>
      <c r="H49" s="13">
        <v>1</v>
      </c>
      <c r="I49" s="10" t="s">
        <v>108</v>
      </c>
      <c r="J49" s="13">
        <v>0</v>
      </c>
      <c r="K49" s="10"/>
      <c r="L49" s="10" t="s">
        <v>108</v>
      </c>
      <c r="M49" s="10"/>
      <c r="N49" s="10" t="s">
        <v>180</v>
      </c>
      <c r="O49" s="3" t="s">
        <v>563</v>
      </c>
      <c r="P49" s="3" t="s">
        <v>654</v>
      </c>
      <c r="Q49" s="3" t="s">
        <v>655</v>
      </c>
      <c r="R49" s="3" t="s">
        <v>566</v>
      </c>
      <c r="S49" s="10" t="s">
        <v>35</v>
      </c>
      <c r="T49" s="3" t="s">
        <v>656</v>
      </c>
      <c r="U49" s="3" t="s">
        <v>244</v>
      </c>
      <c r="V49" s="3" t="s">
        <v>42</v>
      </c>
      <c r="W49" s="3" t="s">
        <v>580</v>
      </c>
      <c r="X49" s="3"/>
      <c r="Y49" s="3" t="s">
        <v>657</v>
      </c>
      <c r="Z49" s="3" t="s">
        <v>658</v>
      </c>
      <c r="AA49" s="4" t="s">
        <v>46</v>
      </c>
      <c r="AC49" s="34" t="s">
        <v>659</v>
      </c>
      <c r="AD49" s="34" t="s">
        <v>79</v>
      </c>
      <c r="AE49" s="34" t="s">
        <v>660</v>
      </c>
      <c r="AF49" s="34" t="s">
        <v>412</v>
      </c>
      <c r="AG49" s="34" t="s">
        <v>661</v>
      </c>
      <c r="AH49" s="34" t="s">
        <v>585</v>
      </c>
      <c r="AI49" s="34" t="s">
        <v>662</v>
      </c>
      <c r="AJ49" s="34" t="s">
        <v>425</v>
      </c>
      <c r="AK49" s="34" t="s">
        <v>35</v>
      </c>
      <c r="AL49" s="34" t="s">
        <v>192</v>
      </c>
      <c r="AM49" s="34" t="s">
        <v>663</v>
      </c>
      <c r="AN49" s="35"/>
    </row>
    <row r="50" spans="1:40" ht="32" customHeight="1">
      <c r="A50" s="7" t="s">
        <v>373</v>
      </c>
      <c r="B50" s="7" t="s">
        <v>372</v>
      </c>
      <c r="C50" s="7" t="s">
        <v>522</v>
      </c>
      <c r="D50" s="7" t="s">
        <v>664</v>
      </c>
      <c r="E50" s="7" t="s">
        <v>93</v>
      </c>
      <c r="F50" s="7" t="s">
        <v>93</v>
      </c>
      <c r="G50" s="9" t="s">
        <v>35</v>
      </c>
      <c r="H50" s="12">
        <v>1</v>
      </c>
      <c r="I50" s="9" t="s">
        <v>108</v>
      </c>
      <c r="J50" s="12">
        <v>0</v>
      </c>
      <c r="K50" s="9"/>
      <c r="L50" s="9" t="s">
        <v>108</v>
      </c>
      <c r="M50" s="9" t="s">
        <v>35</v>
      </c>
      <c r="N50" s="9" t="s">
        <v>180</v>
      </c>
      <c r="O50" s="7" t="s">
        <v>563</v>
      </c>
      <c r="P50" s="7" t="s">
        <v>665</v>
      </c>
      <c r="Q50" s="7" t="s">
        <v>666</v>
      </c>
      <c r="R50" s="7" t="s">
        <v>566</v>
      </c>
      <c r="S50" s="9" t="s">
        <v>35</v>
      </c>
      <c r="T50" s="7" t="s">
        <v>667</v>
      </c>
      <c r="U50" s="7" t="s">
        <v>244</v>
      </c>
      <c r="V50" s="7" t="s">
        <v>668</v>
      </c>
      <c r="W50" s="7" t="s">
        <v>669</v>
      </c>
      <c r="X50" s="7"/>
      <c r="Y50" s="7" t="s">
        <v>670</v>
      </c>
      <c r="Z50" s="7" t="s">
        <v>671</v>
      </c>
      <c r="AA50" s="8" t="s">
        <v>46</v>
      </c>
      <c r="AC50" s="34" t="s">
        <v>672</v>
      </c>
      <c r="AD50" s="34" t="s">
        <v>104</v>
      </c>
      <c r="AE50" s="34" t="s">
        <v>673</v>
      </c>
      <c r="AF50" s="34" t="s">
        <v>674</v>
      </c>
      <c r="AG50" s="34" t="s">
        <v>675</v>
      </c>
      <c r="AH50" s="34" t="s">
        <v>585</v>
      </c>
      <c r="AI50" s="34" t="s">
        <v>676</v>
      </c>
      <c r="AJ50" s="34" t="s">
        <v>677</v>
      </c>
      <c r="AK50" s="34" t="s">
        <v>108</v>
      </c>
      <c r="AL50" s="34" t="s">
        <v>192</v>
      </c>
      <c r="AM50" s="34" t="s">
        <v>678</v>
      </c>
      <c r="AN50" s="35"/>
    </row>
    <row r="51" spans="1:40" ht="32" customHeight="1">
      <c r="A51" s="3" t="s">
        <v>347</v>
      </c>
      <c r="B51" s="3" t="s">
        <v>679</v>
      </c>
      <c r="C51" s="3" t="s">
        <v>522</v>
      </c>
      <c r="D51" s="3" t="s">
        <v>680</v>
      </c>
      <c r="E51" s="3" t="s">
        <v>93</v>
      </c>
      <c r="F51" s="3" t="s">
        <v>93</v>
      </c>
      <c r="G51" s="10" t="s">
        <v>108</v>
      </c>
      <c r="H51" s="13">
        <v>0</v>
      </c>
      <c r="I51" s="10" t="s">
        <v>108</v>
      </c>
      <c r="J51" s="13">
        <v>0</v>
      </c>
      <c r="K51" s="10" t="s">
        <v>108</v>
      </c>
      <c r="L51" s="10" t="s">
        <v>108</v>
      </c>
      <c r="M51" s="10"/>
      <c r="N51" s="10" t="s">
        <v>36</v>
      </c>
      <c r="O51" s="3" t="s">
        <v>546</v>
      </c>
      <c r="P51" s="3" t="s">
        <v>681</v>
      </c>
      <c r="Q51" s="3" t="s">
        <v>682</v>
      </c>
      <c r="R51" s="3" t="s">
        <v>683</v>
      </c>
      <c r="S51" s="10" t="s">
        <v>35</v>
      </c>
      <c r="T51" s="3" t="s">
        <v>684</v>
      </c>
      <c r="U51" s="3" t="s">
        <v>348</v>
      </c>
      <c r="V51" s="3" t="s">
        <v>42</v>
      </c>
      <c r="W51" s="3" t="s">
        <v>580</v>
      </c>
      <c r="X51" s="3"/>
      <c r="Y51" s="3" t="s">
        <v>685</v>
      </c>
      <c r="Z51" s="3" t="s">
        <v>686</v>
      </c>
      <c r="AA51" s="4" t="s">
        <v>46</v>
      </c>
      <c r="AC51" s="34" t="s">
        <v>687</v>
      </c>
      <c r="AD51" s="34" t="s">
        <v>33</v>
      </c>
      <c r="AE51" s="34" t="s">
        <v>688</v>
      </c>
      <c r="AF51" s="34" t="s">
        <v>69</v>
      </c>
      <c r="AG51" s="34" t="s">
        <v>689</v>
      </c>
      <c r="AH51" s="34" t="s">
        <v>690</v>
      </c>
      <c r="AI51" s="34" t="s">
        <v>691</v>
      </c>
      <c r="AJ51" s="34"/>
      <c r="AK51" s="34" t="s">
        <v>35</v>
      </c>
      <c r="AL51" s="34" t="s">
        <v>692</v>
      </c>
      <c r="AM51" s="34" t="s">
        <v>693</v>
      </c>
      <c r="AN51" s="35"/>
    </row>
    <row r="52" spans="1:40" ht="32" customHeight="1">
      <c r="A52" s="7" t="s">
        <v>694</v>
      </c>
      <c r="B52" s="7" t="s">
        <v>695</v>
      </c>
      <c r="C52" s="7" t="s">
        <v>696</v>
      </c>
      <c r="D52" s="7" t="s">
        <v>697</v>
      </c>
      <c r="E52" s="7" t="s">
        <v>93</v>
      </c>
      <c r="F52" s="7" t="s">
        <v>93</v>
      </c>
      <c r="G52" s="9" t="s">
        <v>35</v>
      </c>
      <c r="H52" s="12">
        <v>1</v>
      </c>
      <c r="I52" s="9" t="s">
        <v>35</v>
      </c>
      <c r="J52" s="12">
        <v>1</v>
      </c>
      <c r="K52" s="9" t="s">
        <v>35</v>
      </c>
      <c r="L52" s="9"/>
      <c r="M52" s="9"/>
      <c r="N52" s="9" t="s">
        <v>36</v>
      </c>
      <c r="O52" s="7" t="s">
        <v>483</v>
      </c>
      <c r="P52" s="7" t="s">
        <v>698</v>
      </c>
      <c r="Q52" s="7" t="s">
        <v>699</v>
      </c>
      <c r="R52" s="7" t="s">
        <v>700</v>
      </c>
      <c r="S52" s="9" t="s">
        <v>35</v>
      </c>
      <c r="T52" s="7" t="s">
        <v>701</v>
      </c>
      <c r="U52" s="7"/>
      <c r="V52" s="7" t="s">
        <v>42</v>
      </c>
      <c r="W52" s="7" t="s">
        <v>43</v>
      </c>
      <c r="X52" s="7"/>
      <c r="Y52" s="7" t="s">
        <v>702</v>
      </c>
      <c r="Z52" s="7" t="s">
        <v>703</v>
      </c>
      <c r="AA52" s="8" t="s">
        <v>46</v>
      </c>
      <c r="AC52" s="34" t="s">
        <v>704</v>
      </c>
      <c r="AD52" s="34" t="s">
        <v>33</v>
      </c>
      <c r="AE52" s="34" t="s">
        <v>705</v>
      </c>
      <c r="AF52" s="34" t="s">
        <v>324</v>
      </c>
      <c r="AG52" s="34" t="s">
        <v>706</v>
      </c>
      <c r="AH52" s="34" t="s">
        <v>690</v>
      </c>
      <c r="AI52" s="34" t="s">
        <v>707</v>
      </c>
      <c r="AJ52" s="34"/>
      <c r="AK52" s="34" t="s">
        <v>35</v>
      </c>
      <c r="AL52" s="34" t="s">
        <v>692</v>
      </c>
      <c r="AM52" s="34" t="s">
        <v>708</v>
      </c>
      <c r="AN52" s="35"/>
    </row>
    <row r="53" spans="1:40" ht="32" customHeight="1">
      <c r="A53" s="3" t="s">
        <v>386</v>
      </c>
      <c r="B53" s="3" t="s">
        <v>385</v>
      </c>
      <c r="C53" s="3" t="s">
        <v>696</v>
      </c>
      <c r="D53" s="3" t="s">
        <v>709</v>
      </c>
      <c r="E53" s="3" t="s">
        <v>93</v>
      </c>
      <c r="F53" s="3" t="s">
        <v>93</v>
      </c>
      <c r="G53" s="10" t="s">
        <v>35</v>
      </c>
      <c r="H53" s="13">
        <v>1</v>
      </c>
      <c r="I53" s="10" t="s">
        <v>108</v>
      </c>
      <c r="J53" s="13">
        <v>0</v>
      </c>
      <c r="K53" s="10"/>
      <c r="L53" s="10" t="s">
        <v>108</v>
      </c>
      <c r="M53" s="10"/>
      <c r="N53" s="10" t="s">
        <v>180</v>
      </c>
      <c r="O53" s="3" t="s">
        <v>563</v>
      </c>
      <c r="P53" s="3" t="s">
        <v>710</v>
      </c>
      <c r="Q53" s="3" t="s">
        <v>711</v>
      </c>
      <c r="R53" s="3" t="s">
        <v>566</v>
      </c>
      <c r="S53" s="10" t="s">
        <v>35</v>
      </c>
      <c r="T53" s="3" t="s">
        <v>712</v>
      </c>
      <c r="U53" s="3" t="s">
        <v>244</v>
      </c>
      <c r="V53" s="3" t="s">
        <v>42</v>
      </c>
      <c r="W53" s="3" t="s">
        <v>580</v>
      </c>
      <c r="X53" s="3"/>
      <c r="Y53" s="3" t="s">
        <v>713</v>
      </c>
      <c r="Z53" s="3" t="s">
        <v>714</v>
      </c>
      <c r="AA53" s="4" t="s">
        <v>46</v>
      </c>
      <c r="AC53" s="34" t="s">
        <v>715</v>
      </c>
      <c r="AD53" s="34" t="s">
        <v>79</v>
      </c>
      <c r="AE53" s="34" t="s">
        <v>716</v>
      </c>
      <c r="AF53" s="34" t="s">
        <v>717</v>
      </c>
      <c r="AG53" s="34" t="s">
        <v>718</v>
      </c>
      <c r="AH53" s="34" t="s">
        <v>690</v>
      </c>
      <c r="AI53" s="34" t="s">
        <v>719</v>
      </c>
      <c r="AJ53" s="34"/>
      <c r="AK53" s="34" t="s">
        <v>35</v>
      </c>
      <c r="AL53" s="34" t="s">
        <v>692</v>
      </c>
      <c r="AM53" s="34" t="s">
        <v>720</v>
      </c>
      <c r="AN53" s="35"/>
    </row>
    <row r="54" spans="1:40" ht="32" customHeight="1">
      <c r="A54" s="7" t="s">
        <v>614</v>
      </c>
      <c r="B54" s="7" t="s">
        <v>610</v>
      </c>
      <c r="C54" s="7" t="s">
        <v>611</v>
      </c>
      <c r="D54" s="7" t="s">
        <v>721</v>
      </c>
      <c r="E54" s="7" t="s">
        <v>93</v>
      </c>
      <c r="F54" s="7" t="s">
        <v>93</v>
      </c>
      <c r="G54" s="9" t="s">
        <v>35</v>
      </c>
      <c r="H54" s="12">
        <v>1</v>
      </c>
      <c r="I54" s="9" t="s">
        <v>35</v>
      </c>
      <c r="J54" s="12">
        <v>1</v>
      </c>
      <c r="K54" s="9" t="s">
        <v>35</v>
      </c>
      <c r="L54" s="9"/>
      <c r="M54" s="9"/>
      <c r="N54" s="9" t="s">
        <v>36</v>
      </c>
      <c r="O54" s="7" t="s">
        <v>722</v>
      </c>
      <c r="P54" s="7" t="s">
        <v>723</v>
      </c>
      <c r="Q54" s="7" t="s">
        <v>724</v>
      </c>
      <c r="R54" s="7" t="s">
        <v>725</v>
      </c>
      <c r="S54" s="9" t="s">
        <v>108</v>
      </c>
      <c r="T54" s="7"/>
      <c r="U54" s="7"/>
      <c r="V54" s="7" t="s">
        <v>87</v>
      </c>
      <c r="W54" s="7" t="s">
        <v>726</v>
      </c>
      <c r="X54" s="7" t="s">
        <v>727</v>
      </c>
      <c r="Y54" s="7" t="s">
        <v>728</v>
      </c>
      <c r="Z54" s="7" t="s">
        <v>729</v>
      </c>
      <c r="AA54" s="8" t="s">
        <v>46</v>
      </c>
      <c r="AC54" s="34" t="s">
        <v>730</v>
      </c>
      <c r="AD54" s="34" t="s">
        <v>79</v>
      </c>
      <c r="AE54" s="34" t="s">
        <v>731</v>
      </c>
      <c r="AF54" s="34" t="s">
        <v>135</v>
      </c>
      <c r="AG54" s="34" t="s">
        <v>732</v>
      </c>
      <c r="AH54" s="34" t="s">
        <v>690</v>
      </c>
      <c r="AI54" s="34" t="s">
        <v>733</v>
      </c>
      <c r="AJ54" s="34"/>
      <c r="AK54" s="34" t="s">
        <v>35</v>
      </c>
      <c r="AL54" s="34" t="s">
        <v>692</v>
      </c>
      <c r="AM54" s="34" t="s">
        <v>734</v>
      </c>
      <c r="AN54" s="35"/>
    </row>
    <row r="55" spans="1:40" ht="32" customHeight="1">
      <c r="A55" s="3" t="s">
        <v>397</v>
      </c>
      <c r="B55" s="3" t="s">
        <v>396</v>
      </c>
      <c r="C55" s="3" t="s">
        <v>539</v>
      </c>
      <c r="D55" s="3" t="s">
        <v>735</v>
      </c>
      <c r="E55" s="3" t="s">
        <v>93</v>
      </c>
      <c r="F55" s="3" t="s">
        <v>93</v>
      </c>
      <c r="G55" s="10" t="s">
        <v>35</v>
      </c>
      <c r="H55" s="13">
        <v>1</v>
      </c>
      <c r="I55" s="10" t="s">
        <v>108</v>
      </c>
      <c r="J55" s="13">
        <v>0</v>
      </c>
      <c r="K55" s="10"/>
      <c r="L55" s="10" t="s">
        <v>108</v>
      </c>
      <c r="M55" s="10" t="s">
        <v>35</v>
      </c>
      <c r="N55" s="10" t="s">
        <v>180</v>
      </c>
      <c r="O55" s="3" t="s">
        <v>563</v>
      </c>
      <c r="P55" s="3" t="s">
        <v>736</v>
      </c>
      <c r="Q55" s="3" t="s">
        <v>737</v>
      </c>
      <c r="R55" s="3" t="s">
        <v>566</v>
      </c>
      <c r="S55" s="10" t="s">
        <v>35</v>
      </c>
      <c r="T55" s="3" t="s">
        <v>738</v>
      </c>
      <c r="U55" s="3" t="s">
        <v>244</v>
      </c>
      <c r="V55" s="3" t="s">
        <v>668</v>
      </c>
      <c r="W55" s="3" t="s">
        <v>739</v>
      </c>
      <c r="X55" s="3"/>
      <c r="Y55" s="3" t="s">
        <v>740</v>
      </c>
      <c r="Z55" s="3" t="s">
        <v>741</v>
      </c>
      <c r="AA55" s="4" t="s">
        <v>46</v>
      </c>
      <c r="AC55" s="34" t="s">
        <v>742</v>
      </c>
      <c r="AD55" s="34" t="s">
        <v>104</v>
      </c>
      <c r="AE55" s="34" t="s">
        <v>743</v>
      </c>
      <c r="AF55" s="34" t="s">
        <v>744</v>
      </c>
      <c r="AG55" s="34" t="s">
        <v>745</v>
      </c>
      <c r="AH55" s="34" t="s">
        <v>690</v>
      </c>
      <c r="AI55" s="34" t="s">
        <v>746</v>
      </c>
      <c r="AJ55" s="34"/>
      <c r="AK55" s="34" t="s">
        <v>587</v>
      </c>
      <c r="AL55" s="34" t="s">
        <v>692</v>
      </c>
      <c r="AM55" s="34" t="s">
        <v>747</v>
      </c>
      <c r="AN55" s="35"/>
    </row>
    <row r="56" spans="1:40" ht="32" customHeight="1">
      <c r="A56" s="7" t="s">
        <v>748</v>
      </c>
      <c r="B56" s="7" t="s">
        <v>679</v>
      </c>
      <c r="C56" s="7" t="s">
        <v>749</v>
      </c>
      <c r="D56" s="7" t="s">
        <v>750</v>
      </c>
      <c r="E56" s="7" t="s">
        <v>93</v>
      </c>
      <c r="F56" s="7" t="s">
        <v>93</v>
      </c>
      <c r="G56" s="9" t="s">
        <v>35</v>
      </c>
      <c r="H56" s="12">
        <v>1</v>
      </c>
      <c r="I56" s="9" t="s">
        <v>35</v>
      </c>
      <c r="J56" s="12">
        <v>1</v>
      </c>
      <c r="K56" s="9"/>
      <c r="L56" s="9"/>
      <c r="M56" s="9" t="s">
        <v>35</v>
      </c>
      <c r="N56" s="9" t="s">
        <v>192</v>
      </c>
      <c r="O56" s="7" t="s">
        <v>414</v>
      </c>
      <c r="P56" s="7"/>
      <c r="Q56" s="7" t="s">
        <v>751</v>
      </c>
      <c r="R56" s="7"/>
      <c r="S56" s="9" t="s">
        <v>35</v>
      </c>
      <c r="T56" s="7" t="s">
        <v>752</v>
      </c>
      <c r="U56" s="7"/>
      <c r="V56" s="7" t="s">
        <v>42</v>
      </c>
      <c r="W56" s="7" t="s">
        <v>43</v>
      </c>
      <c r="X56" s="7"/>
      <c r="Y56" s="7" t="s">
        <v>753</v>
      </c>
      <c r="Z56" s="7" t="s">
        <v>754</v>
      </c>
      <c r="AA56" s="8" t="s">
        <v>46</v>
      </c>
      <c r="AC56" s="34" t="s">
        <v>755</v>
      </c>
      <c r="AD56" s="34" t="s">
        <v>104</v>
      </c>
      <c r="AE56" s="34" t="s">
        <v>756</v>
      </c>
      <c r="AF56" s="34" t="s">
        <v>757</v>
      </c>
      <c r="AG56" s="34" t="s">
        <v>758</v>
      </c>
      <c r="AH56" s="34" t="s">
        <v>690</v>
      </c>
      <c r="AI56" s="34" t="s">
        <v>759</v>
      </c>
      <c r="AJ56" s="34"/>
      <c r="AK56" s="34" t="s">
        <v>35</v>
      </c>
      <c r="AL56" s="34" t="s">
        <v>692</v>
      </c>
      <c r="AM56" s="34" t="s">
        <v>760</v>
      </c>
      <c r="AN56" s="35"/>
    </row>
    <row r="57" spans="1:40" ht="32" customHeight="1">
      <c r="A57" s="3" t="s">
        <v>761</v>
      </c>
      <c r="B57" s="3" t="s">
        <v>762</v>
      </c>
      <c r="C57" s="3" t="s">
        <v>763</v>
      </c>
      <c r="D57" s="3" t="s">
        <v>764</v>
      </c>
      <c r="E57" s="3" t="s">
        <v>93</v>
      </c>
      <c r="F57" s="3" t="s">
        <v>93</v>
      </c>
      <c r="G57" s="10" t="s">
        <v>35</v>
      </c>
      <c r="H57" s="13">
        <v>1</v>
      </c>
      <c r="I57" s="10" t="s">
        <v>35</v>
      </c>
      <c r="J57" s="13">
        <v>1</v>
      </c>
      <c r="K57" s="10"/>
      <c r="L57" s="10"/>
      <c r="M57" s="10" t="s">
        <v>35</v>
      </c>
      <c r="N57" s="10" t="s">
        <v>192</v>
      </c>
      <c r="O57" s="3" t="s">
        <v>414</v>
      </c>
      <c r="P57" s="3"/>
      <c r="Q57" s="3" t="s">
        <v>765</v>
      </c>
      <c r="R57" s="3"/>
      <c r="S57" s="10" t="s">
        <v>35</v>
      </c>
      <c r="T57" s="3" t="s">
        <v>766</v>
      </c>
      <c r="U57" s="3"/>
      <c r="V57" s="3" t="s">
        <v>42</v>
      </c>
      <c r="W57" s="3" t="s">
        <v>43</v>
      </c>
      <c r="X57" s="3"/>
      <c r="Y57" s="3" t="s">
        <v>767</v>
      </c>
      <c r="Z57" s="3" t="s">
        <v>768</v>
      </c>
      <c r="AA57" s="4" t="s">
        <v>46</v>
      </c>
      <c r="AC57" s="34" t="s">
        <v>769</v>
      </c>
      <c r="AD57" s="34" t="s">
        <v>104</v>
      </c>
      <c r="AE57" s="34" t="s">
        <v>770</v>
      </c>
      <c r="AF57" s="34" t="s">
        <v>412</v>
      </c>
      <c r="AG57" s="34" t="s">
        <v>771</v>
      </c>
      <c r="AH57" s="34" t="s">
        <v>690</v>
      </c>
      <c r="AI57" s="34" t="s">
        <v>772</v>
      </c>
      <c r="AJ57" s="34"/>
      <c r="AK57" s="34" t="s">
        <v>35</v>
      </c>
      <c r="AL57" s="34" t="s">
        <v>692</v>
      </c>
      <c r="AM57" s="34" t="s">
        <v>773</v>
      </c>
      <c r="AN57" s="35"/>
    </row>
    <row r="58" spans="1:40" ht="32" customHeight="1">
      <c r="A58" s="7" t="s">
        <v>409</v>
      </c>
      <c r="B58" s="7" t="s">
        <v>408</v>
      </c>
      <c r="C58" s="7" t="s">
        <v>557</v>
      </c>
      <c r="D58" s="7" t="s">
        <v>774</v>
      </c>
      <c r="E58" s="7" t="s">
        <v>93</v>
      </c>
      <c r="F58" s="7" t="s">
        <v>93</v>
      </c>
      <c r="G58" s="9" t="s">
        <v>35</v>
      </c>
      <c r="H58" s="12">
        <v>1</v>
      </c>
      <c r="I58" s="9" t="s">
        <v>108</v>
      </c>
      <c r="J58" s="12">
        <v>0</v>
      </c>
      <c r="K58" s="9"/>
      <c r="L58" s="9" t="s">
        <v>108</v>
      </c>
      <c r="M58" s="9" t="s">
        <v>35</v>
      </c>
      <c r="N58" s="9" t="s">
        <v>180</v>
      </c>
      <c r="O58" s="7" t="s">
        <v>563</v>
      </c>
      <c r="P58" s="7" t="s">
        <v>775</v>
      </c>
      <c r="Q58" s="7" t="s">
        <v>776</v>
      </c>
      <c r="R58" s="7" t="s">
        <v>566</v>
      </c>
      <c r="S58" s="9" t="s">
        <v>35</v>
      </c>
      <c r="T58" s="7" t="s">
        <v>777</v>
      </c>
      <c r="U58" s="7" t="s">
        <v>244</v>
      </c>
      <c r="V58" s="7" t="s">
        <v>668</v>
      </c>
      <c r="W58" s="7" t="s">
        <v>778</v>
      </c>
      <c r="X58" s="7"/>
      <c r="Y58" s="7" t="s">
        <v>779</v>
      </c>
      <c r="Z58" s="7" t="s">
        <v>780</v>
      </c>
      <c r="AA58" s="8" t="s">
        <v>46</v>
      </c>
      <c r="AC58" s="34" t="s">
        <v>781</v>
      </c>
      <c r="AD58" s="34" t="s">
        <v>104</v>
      </c>
      <c r="AE58" s="34" t="s">
        <v>782</v>
      </c>
      <c r="AF58" s="34" t="s">
        <v>412</v>
      </c>
      <c r="AG58" s="34" t="s">
        <v>783</v>
      </c>
      <c r="AH58" s="34" t="s">
        <v>690</v>
      </c>
      <c r="AI58" s="34" t="s">
        <v>784</v>
      </c>
      <c r="AJ58" s="34"/>
      <c r="AK58" s="34" t="s">
        <v>587</v>
      </c>
      <c r="AL58" s="34" t="s">
        <v>692</v>
      </c>
      <c r="AM58" s="34" t="s">
        <v>785</v>
      </c>
      <c r="AN58" s="35"/>
    </row>
    <row r="59" spans="1:40" ht="32" customHeight="1">
      <c r="A59" s="3" t="s">
        <v>786</v>
      </c>
      <c r="B59" s="3" t="s">
        <v>787</v>
      </c>
      <c r="C59" s="3" t="s">
        <v>788</v>
      </c>
      <c r="D59" s="3" t="s">
        <v>789</v>
      </c>
      <c r="E59" s="3" t="s">
        <v>104</v>
      </c>
      <c r="F59" s="3" t="s">
        <v>790</v>
      </c>
      <c r="G59" s="10" t="s">
        <v>35</v>
      </c>
      <c r="H59" s="13">
        <v>1</v>
      </c>
      <c r="I59" s="10" t="s">
        <v>35</v>
      </c>
      <c r="J59" s="13">
        <v>1</v>
      </c>
      <c r="K59" s="10" t="s">
        <v>35</v>
      </c>
      <c r="L59" s="10"/>
      <c r="M59" s="10" t="s">
        <v>35</v>
      </c>
      <c r="N59" s="10" t="s">
        <v>36</v>
      </c>
      <c r="O59" s="3" t="s">
        <v>791</v>
      </c>
      <c r="P59" s="3" t="s">
        <v>792</v>
      </c>
      <c r="Q59" s="3" t="s">
        <v>793</v>
      </c>
      <c r="R59" s="3" t="s">
        <v>794</v>
      </c>
      <c r="S59" s="10" t="s">
        <v>35</v>
      </c>
      <c r="T59" s="3" t="s">
        <v>41</v>
      </c>
      <c r="U59" s="3"/>
      <c r="V59" s="3" t="s">
        <v>42</v>
      </c>
      <c r="W59" s="3" t="s">
        <v>43</v>
      </c>
      <c r="X59" s="3" t="s">
        <v>444</v>
      </c>
      <c r="Y59" s="3" t="s">
        <v>795</v>
      </c>
      <c r="Z59" s="3" t="s">
        <v>796</v>
      </c>
      <c r="AA59" s="4" t="s">
        <v>46</v>
      </c>
      <c r="AC59" s="34" t="s">
        <v>797</v>
      </c>
      <c r="AD59" s="34" t="s">
        <v>104</v>
      </c>
      <c r="AE59" s="34" t="s">
        <v>798</v>
      </c>
      <c r="AF59" s="34" t="s">
        <v>412</v>
      </c>
      <c r="AG59" s="34" t="s">
        <v>799</v>
      </c>
      <c r="AH59" s="34" t="s">
        <v>690</v>
      </c>
      <c r="AI59" s="34" t="s">
        <v>800</v>
      </c>
      <c r="AJ59" s="34"/>
      <c r="AK59" s="34" t="s">
        <v>35</v>
      </c>
      <c r="AL59" s="34"/>
      <c r="AM59" s="34"/>
      <c r="AN59" s="35"/>
    </row>
    <row r="60" spans="1:40" ht="32" customHeight="1">
      <c r="A60" s="7" t="s">
        <v>801</v>
      </c>
      <c r="B60" s="7" t="s">
        <v>802</v>
      </c>
      <c r="C60" s="7" t="s">
        <v>803</v>
      </c>
      <c r="D60" s="7" t="s">
        <v>804</v>
      </c>
      <c r="E60" s="7" t="s">
        <v>104</v>
      </c>
      <c r="F60" s="7" t="s">
        <v>790</v>
      </c>
      <c r="G60" s="9" t="s">
        <v>108</v>
      </c>
      <c r="H60" s="12">
        <v>0</v>
      </c>
      <c r="I60" s="9" t="s">
        <v>108</v>
      </c>
      <c r="J60" s="12">
        <v>0</v>
      </c>
      <c r="K60" s="9" t="s">
        <v>108</v>
      </c>
      <c r="L60" s="9"/>
      <c r="M60" s="9" t="s">
        <v>35</v>
      </c>
      <c r="N60" s="9" t="s">
        <v>36</v>
      </c>
      <c r="O60" s="7" t="s">
        <v>805</v>
      </c>
      <c r="P60" s="7" t="s">
        <v>806</v>
      </c>
      <c r="Q60" s="7" t="s">
        <v>807</v>
      </c>
      <c r="R60" s="7" t="s">
        <v>808</v>
      </c>
      <c r="S60" s="9" t="s">
        <v>35</v>
      </c>
      <c r="T60" s="7" t="s">
        <v>809</v>
      </c>
      <c r="U60" s="7"/>
      <c r="V60" s="7" t="s">
        <v>42</v>
      </c>
      <c r="W60" s="7" t="s">
        <v>43</v>
      </c>
      <c r="X60" s="7"/>
      <c r="Y60" s="7" t="s">
        <v>810</v>
      </c>
      <c r="Z60" s="7" t="s">
        <v>811</v>
      </c>
      <c r="AA60" s="8" t="s">
        <v>46</v>
      </c>
      <c r="AC60" s="34" t="s">
        <v>812</v>
      </c>
      <c r="AD60" s="34" t="s">
        <v>104</v>
      </c>
      <c r="AE60" s="34" t="s">
        <v>813</v>
      </c>
      <c r="AF60" s="34" t="s">
        <v>31</v>
      </c>
      <c r="AG60" s="34" t="s">
        <v>814</v>
      </c>
      <c r="AH60" s="34" t="s">
        <v>690</v>
      </c>
      <c r="AI60" s="34" t="s">
        <v>746</v>
      </c>
      <c r="AJ60" s="34"/>
      <c r="AK60" s="34" t="s">
        <v>35</v>
      </c>
      <c r="AL60" s="34" t="s">
        <v>692</v>
      </c>
      <c r="AM60" s="34" t="s">
        <v>815</v>
      </c>
      <c r="AN60" s="35"/>
    </row>
    <row r="61" spans="1:40" ht="32" customHeight="1">
      <c r="A61" s="3" t="s">
        <v>816</v>
      </c>
      <c r="B61" s="3" t="s">
        <v>817</v>
      </c>
      <c r="C61" s="3" t="s">
        <v>749</v>
      </c>
      <c r="D61" s="3" t="s">
        <v>818</v>
      </c>
      <c r="E61" s="3" t="s">
        <v>104</v>
      </c>
      <c r="F61" s="3" t="s">
        <v>790</v>
      </c>
      <c r="G61" s="10" t="s">
        <v>35</v>
      </c>
      <c r="H61" s="13">
        <v>1</v>
      </c>
      <c r="I61" s="10" t="s">
        <v>35</v>
      </c>
      <c r="J61" s="13">
        <v>1</v>
      </c>
      <c r="K61" s="10" t="s">
        <v>35</v>
      </c>
      <c r="L61" s="10"/>
      <c r="M61" s="10" t="s">
        <v>35</v>
      </c>
      <c r="N61" s="10" t="s">
        <v>36</v>
      </c>
      <c r="O61" s="3" t="s">
        <v>819</v>
      </c>
      <c r="P61" s="3" t="s">
        <v>820</v>
      </c>
      <c r="Q61" s="3" t="s">
        <v>821</v>
      </c>
      <c r="R61" s="3" t="s">
        <v>822</v>
      </c>
      <c r="S61" s="10" t="s">
        <v>35</v>
      </c>
      <c r="T61" s="3" t="s">
        <v>41</v>
      </c>
      <c r="U61" s="3"/>
      <c r="V61" s="3" t="s">
        <v>42</v>
      </c>
      <c r="W61" s="3" t="s">
        <v>43</v>
      </c>
      <c r="X61" s="3"/>
      <c r="Y61" s="3" t="s">
        <v>823</v>
      </c>
      <c r="Z61" s="3" t="s">
        <v>824</v>
      </c>
      <c r="AA61" s="4" t="s">
        <v>46</v>
      </c>
      <c r="AC61" s="36" t="s">
        <v>825</v>
      </c>
      <c r="AD61" s="36" t="s">
        <v>104</v>
      </c>
      <c r="AE61" s="36" t="s">
        <v>826</v>
      </c>
      <c r="AF61" s="36" t="s">
        <v>827</v>
      </c>
      <c r="AG61" s="36" t="s">
        <v>828</v>
      </c>
      <c r="AH61" s="36" t="s">
        <v>829</v>
      </c>
      <c r="AI61" s="36" t="s">
        <v>830</v>
      </c>
      <c r="AJ61" s="36"/>
      <c r="AK61" s="36" t="s">
        <v>108</v>
      </c>
      <c r="AL61" s="36" t="s">
        <v>192</v>
      </c>
      <c r="AM61" s="36" t="s">
        <v>831</v>
      </c>
      <c r="AN61" s="37"/>
    </row>
    <row r="62" spans="1:40" ht="36" customHeight="1">
      <c r="A62" s="7" t="s">
        <v>832</v>
      </c>
      <c r="B62" s="7" t="s">
        <v>833</v>
      </c>
      <c r="C62" s="7" t="s">
        <v>834</v>
      </c>
      <c r="D62" s="7" t="s">
        <v>835</v>
      </c>
      <c r="E62" s="7" t="s">
        <v>104</v>
      </c>
      <c r="F62" s="7" t="s">
        <v>790</v>
      </c>
      <c r="G62" s="9" t="s">
        <v>35</v>
      </c>
      <c r="H62" s="12">
        <v>1</v>
      </c>
      <c r="I62" s="9" t="s">
        <v>35</v>
      </c>
      <c r="J62" s="12">
        <v>1</v>
      </c>
      <c r="K62" s="9" t="s">
        <v>35</v>
      </c>
      <c r="L62" s="9"/>
      <c r="M62" s="9" t="s">
        <v>35</v>
      </c>
      <c r="N62" s="9" t="s">
        <v>36</v>
      </c>
      <c r="O62" s="7" t="s">
        <v>836</v>
      </c>
      <c r="P62" s="7" t="s">
        <v>837</v>
      </c>
      <c r="Q62" s="7" t="s">
        <v>838</v>
      </c>
      <c r="R62" s="7" t="s">
        <v>839</v>
      </c>
      <c r="S62" s="9" t="s">
        <v>35</v>
      </c>
      <c r="T62" s="7" t="s">
        <v>41</v>
      </c>
      <c r="U62" s="7"/>
      <c r="V62" s="7" t="s">
        <v>42</v>
      </c>
      <c r="W62" s="7" t="s">
        <v>43</v>
      </c>
      <c r="X62" s="7"/>
      <c r="Y62" s="7" t="s">
        <v>840</v>
      </c>
      <c r="Z62" s="7" t="s">
        <v>841</v>
      </c>
      <c r="AA62" s="8" t="s">
        <v>46</v>
      </c>
    </row>
    <row r="63" spans="1:40" ht="36" customHeight="1">
      <c r="A63" s="3" t="s">
        <v>842</v>
      </c>
      <c r="B63" s="3" t="s">
        <v>843</v>
      </c>
      <c r="C63" s="3" t="s">
        <v>834</v>
      </c>
      <c r="D63" s="3" t="s">
        <v>844</v>
      </c>
      <c r="E63" s="3" t="s">
        <v>104</v>
      </c>
      <c r="F63" s="3" t="s">
        <v>790</v>
      </c>
      <c r="G63" s="10" t="s">
        <v>108</v>
      </c>
      <c r="H63" s="13">
        <v>0</v>
      </c>
      <c r="I63" s="10" t="s">
        <v>108</v>
      </c>
      <c r="J63" s="13">
        <v>0</v>
      </c>
      <c r="K63" s="10" t="s">
        <v>108</v>
      </c>
      <c r="L63" s="10"/>
      <c r="M63" s="10" t="s">
        <v>35</v>
      </c>
      <c r="N63" s="10" t="s">
        <v>36</v>
      </c>
      <c r="O63" s="3" t="s">
        <v>845</v>
      </c>
      <c r="P63" s="3" t="s">
        <v>846</v>
      </c>
      <c r="Q63" s="3" t="s">
        <v>847</v>
      </c>
      <c r="R63" s="3" t="s">
        <v>848</v>
      </c>
      <c r="S63" s="10" t="s">
        <v>35</v>
      </c>
      <c r="T63" s="3" t="s">
        <v>849</v>
      </c>
      <c r="U63" s="3"/>
      <c r="V63" s="3" t="s">
        <v>42</v>
      </c>
      <c r="W63" s="3" t="s">
        <v>43</v>
      </c>
      <c r="X63" s="3"/>
      <c r="Y63" s="3" t="s">
        <v>850</v>
      </c>
      <c r="Z63" s="3" t="s">
        <v>851</v>
      </c>
      <c r="AA63" s="4" t="s">
        <v>46</v>
      </c>
    </row>
    <row r="64" spans="1:40" ht="36" customHeight="1">
      <c r="A64" s="7" t="s">
        <v>677</v>
      </c>
      <c r="B64" s="7" t="s">
        <v>673</v>
      </c>
      <c r="C64" s="7" t="s">
        <v>674</v>
      </c>
      <c r="D64" s="7" t="s">
        <v>675</v>
      </c>
      <c r="E64" s="7" t="s">
        <v>104</v>
      </c>
      <c r="F64" s="7" t="s">
        <v>790</v>
      </c>
      <c r="G64" s="9" t="s">
        <v>108</v>
      </c>
      <c r="H64" s="12">
        <v>0</v>
      </c>
      <c r="I64" s="9" t="s">
        <v>108</v>
      </c>
      <c r="J64" s="12">
        <v>0</v>
      </c>
      <c r="K64" s="9" t="s">
        <v>108</v>
      </c>
      <c r="L64" s="9"/>
      <c r="M64" s="9" t="s">
        <v>108</v>
      </c>
      <c r="N64" s="9" t="s">
        <v>36</v>
      </c>
      <c r="O64" s="7" t="s">
        <v>428</v>
      </c>
      <c r="P64" s="7" t="s">
        <v>852</v>
      </c>
      <c r="Q64" s="7" t="s">
        <v>853</v>
      </c>
      <c r="R64" s="7" t="s">
        <v>854</v>
      </c>
      <c r="S64" s="9" t="s">
        <v>35</v>
      </c>
      <c r="T64" s="7" t="s">
        <v>41</v>
      </c>
      <c r="U64" s="7"/>
      <c r="V64" s="7" t="s">
        <v>87</v>
      </c>
      <c r="W64" s="7" t="s">
        <v>855</v>
      </c>
      <c r="X64" s="7"/>
      <c r="Y64" s="7" t="s">
        <v>856</v>
      </c>
      <c r="Z64" s="7" t="s">
        <v>857</v>
      </c>
      <c r="AA64" s="8" t="s">
        <v>46</v>
      </c>
    </row>
    <row r="65" spans="1:27" ht="36" customHeight="1">
      <c r="A65" s="3" t="s">
        <v>858</v>
      </c>
      <c r="B65" s="3" t="s">
        <v>859</v>
      </c>
      <c r="C65" s="3" t="s">
        <v>860</v>
      </c>
      <c r="D65" s="3" t="s">
        <v>861</v>
      </c>
      <c r="E65" s="3" t="s">
        <v>104</v>
      </c>
      <c r="F65" s="3" t="s">
        <v>790</v>
      </c>
      <c r="G65" s="10" t="s">
        <v>108</v>
      </c>
      <c r="H65" s="13">
        <v>0</v>
      </c>
      <c r="I65" s="10" t="s">
        <v>108</v>
      </c>
      <c r="J65" s="13">
        <v>0</v>
      </c>
      <c r="K65" s="10" t="s">
        <v>108</v>
      </c>
      <c r="L65" s="10"/>
      <c r="M65" s="10" t="s">
        <v>108</v>
      </c>
      <c r="N65" s="10" t="s">
        <v>36</v>
      </c>
      <c r="O65" s="3" t="s">
        <v>428</v>
      </c>
      <c r="P65" s="3" t="s">
        <v>862</v>
      </c>
      <c r="Q65" s="3" t="s">
        <v>863</v>
      </c>
      <c r="R65" s="3" t="s">
        <v>864</v>
      </c>
      <c r="S65" s="10" t="s">
        <v>35</v>
      </c>
      <c r="T65" s="3" t="s">
        <v>41</v>
      </c>
      <c r="U65" s="3"/>
      <c r="V65" s="3" t="s">
        <v>42</v>
      </c>
      <c r="W65" s="3" t="s">
        <v>43</v>
      </c>
      <c r="X65" s="3"/>
      <c r="Y65" s="3" t="s">
        <v>865</v>
      </c>
      <c r="Z65" s="3" t="s">
        <v>866</v>
      </c>
      <c r="AA65" s="4" t="s">
        <v>46</v>
      </c>
    </row>
    <row r="66" spans="1:27" ht="36" customHeight="1">
      <c r="A66" s="7" t="s">
        <v>867</v>
      </c>
      <c r="B66" s="7" t="s">
        <v>868</v>
      </c>
      <c r="C66" s="7" t="s">
        <v>869</v>
      </c>
      <c r="D66" s="7" t="s">
        <v>870</v>
      </c>
      <c r="E66" s="7" t="s">
        <v>104</v>
      </c>
      <c r="F66" s="7" t="s">
        <v>790</v>
      </c>
      <c r="G66" s="9" t="s">
        <v>35</v>
      </c>
      <c r="H66" s="12">
        <v>1</v>
      </c>
      <c r="I66" s="9" t="s">
        <v>35</v>
      </c>
      <c r="J66" s="12">
        <v>1</v>
      </c>
      <c r="K66" s="9" t="s">
        <v>35</v>
      </c>
      <c r="L66" s="9"/>
      <c r="M66" s="9" t="s">
        <v>35</v>
      </c>
      <c r="N66" s="9" t="s">
        <v>36</v>
      </c>
      <c r="O66" s="7" t="s">
        <v>97</v>
      </c>
      <c r="P66" s="7" t="s">
        <v>871</v>
      </c>
      <c r="Q66" s="7" t="s">
        <v>872</v>
      </c>
      <c r="R66" s="7" t="s">
        <v>873</v>
      </c>
      <c r="S66" s="9" t="s">
        <v>35</v>
      </c>
      <c r="T66" s="7" t="s">
        <v>874</v>
      </c>
      <c r="U66" s="7"/>
      <c r="V66" s="7" t="s">
        <v>42</v>
      </c>
      <c r="W66" s="7" t="s">
        <v>43</v>
      </c>
      <c r="X66" s="7"/>
      <c r="Y66" s="7" t="s">
        <v>875</v>
      </c>
      <c r="Z66" s="7" t="s">
        <v>876</v>
      </c>
      <c r="AA66" s="8" t="s">
        <v>46</v>
      </c>
    </row>
    <row r="67" spans="1:27" ht="36" customHeight="1">
      <c r="A67" s="3" t="s">
        <v>877</v>
      </c>
      <c r="B67" s="3" t="s">
        <v>878</v>
      </c>
      <c r="C67" s="3" t="s">
        <v>879</v>
      </c>
      <c r="D67" s="3" t="s">
        <v>880</v>
      </c>
      <c r="E67" s="3" t="s">
        <v>104</v>
      </c>
      <c r="F67" s="3" t="s">
        <v>790</v>
      </c>
      <c r="G67" s="10" t="s">
        <v>35</v>
      </c>
      <c r="H67" s="13">
        <v>1</v>
      </c>
      <c r="I67" s="10" t="s">
        <v>35</v>
      </c>
      <c r="J67" s="13">
        <v>1</v>
      </c>
      <c r="K67" s="10" t="s">
        <v>35</v>
      </c>
      <c r="L67" s="10"/>
      <c r="M67" s="10" t="s">
        <v>35</v>
      </c>
      <c r="N67" s="10" t="s">
        <v>36</v>
      </c>
      <c r="O67" s="3" t="s">
        <v>881</v>
      </c>
      <c r="P67" s="3" t="s">
        <v>882</v>
      </c>
      <c r="Q67" s="3" t="s">
        <v>883</v>
      </c>
      <c r="R67" s="3" t="s">
        <v>884</v>
      </c>
      <c r="S67" s="10" t="s">
        <v>35</v>
      </c>
      <c r="T67" s="3" t="s">
        <v>291</v>
      </c>
      <c r="U67" s="3"/>
      <c r="V67" s="3" t="s">
        <v>42</v>
      </c>
      <c r="W67" s="3" t="s">
        <v>43</v>
      </c>
      <c r="X67" s="3"/>
      <c r="Y67" s="3" t="s">
        <v>885</v>
      </c>
      <c r="Z67" s="3" t="s">
        <v>886</v>
      </c>
      <c r="AA67" s="4" t="s">
        <v>46</v>
      </c>
    </row>
    <row r="68" spans="1:27" ht="36" customHeight="1">
      <c r="A68" s="7" t="s">
        <v>887</v>
      </c>
      <c r="B68" s="7"/>
      <c r="C68" s="7"/>
      <c r="D68" s="7" t="s">
        <v>888</v>
      </c>
      <c r="E68" s="7" t="s">
        <v>104</v>
      </c>
      <c r="F68" s="7" t="s">
        <v>790</v>
      </c>
      <c r="G68" s="9" t="s">
        <v>108</v>
      </c>
      <c r="H68" s="12">
        <v>0</v>
      </c>
      <c r="I68" s="9" t="s">
        <v>108</v>
      </c>
      <c r="J68" s="12">
        <v>0</v>
      </c>
      <c r="K68" s="9"/>
      <c r="L68" s="9"/>
      <c r="M68" s="9"/>
      <c r="N68" s="9"/>
      <c r="O68" s="7"/>
      <c r="P68" s="7" t="s">
        <v>889</v>
      </c>
      <c r="Q68" s="7" t="s">
        <v>890</v>
      </c>
      <c r="R68" s="7" t="s">
        <v>891</v>
      </c>
      <c r="S68" s="9" t="s">
        <v>35</v>
      </c>
      <c r="T68" s="7" t="s">
        <v>892</v>
      </c>
      <c r="U68" s="7"/>
      <c r="V68" s="7" t="s">
        <v>418</v>
      </c>
      <c r="W68" s="7"/>
      <c r="X68" s="7"/>
      <c r="Y68" s="7" t="s">
        <v>893</v>
      </c>
      <c r="Z68" s="7" t="s">
        <v>894</v>
      </c>
      <c r="AA68" s="8" t="s">
        <v>46</v>
      </c>
    </row>
    <row r="69" spans="1:27" ht="36" customHeight="1">
      <c r="A69" s="3" t="s">
        <v>895</v>
      </c>
      <c r="B69" s="3"/>
      <c r="C69" s="3"/>
      <c r="D69" s="3" t="s">
        <v>896</v>
      </c>
      <c r="E69" s="3" t="s">
        <v>104</v>
      </c>
      <c r="F69" s="3" t="s">
        <v>790</v>
      </c>
      <c r="G69" s="10" t="s">
        <v>108</v>
      </c>
      <c r="H69" s="13">
        <v>0</v>
      </c>
      <c r="I69" s="10" t="s">
        <v>108</v>
      </c>
      <c r="J69" s="13">
        <v>0</v>
      </c>
      <c r="K69" s="10"/>
      <c r="L69" s="10"/>
      <c r="M69" s="10"/>
      <c r="N69" s="10"/>
      <c r="O69" s="3"/>
      <c r="P69" s="3" t="s">
        <v>897</v>
      </c>
      <c r="Q69" s="3" t="s">
        <v>898</v>
      </c>
      <c r="R69" s="3" t="s">
        <v>899</v>
      </c>
      <c r="S69" s="10" t="s">
        <v>35</v>
      </c>
      <c r="T69" s="3" t="s">
        <v>892</v>
      </c>
      <c r="U69" s="3"/>
      <c r="V69" s="3" t="s">
        <v>418</v>
      </c>
      <c r="W69" s="3"/>
      <c r="X69" s="3"/>
      <c r="Y69" s="3" t="s">
        <v>900</v>
      </c>
      <c r="Z69" s="3" t="s">
        <v>901</v>
      </c>
      <c r="AA69" s="4" t="s">
        <v>46</v>
      </c>
    </row>
    <row r="70" spans="1:27" ht="36" customHeight="1">
      <c r="A70" s="7" t="s">
        <v>902</v>
      </c>
      <c r="B70" s="7" t="s">
        <v>480</v>
      </c>
      <c r="C70" s="7" t="s">
        <v>481</v>
      </c>
      <c r="D70" s="7" t="s">
        <v>903</v>
      </c>
      <c r="E70" s="7" t="s">
        <v>118</v>
      </c>
      <c r="F70" s="7" t="s">
        <v>904</v>
      </c>
      <c r="G70" s="9" t="s">
        <v>35</v>
      </c>
      <c r="H70" s="12">
        <v>1</v>
      </c>
      <c r="I70" s="9" t="s">
        <v>35</v>
      </c>
      <c r="J70" s="12">
        <v>1</v>
      </c>
      <c r="K70" s="9" t="s">
        <v>35</v>
      </c>
      <c r="L70" s="9"/>
      <c r="M70" s="9"/>
      <c r="N70" s="9" t="s">
        <v>36</v>
      </c>
      <c r="O70" s="7" t="s">
        <v>414</v>
      </c>
      <c r="P70" s="7" t="s">
        <v>905</v>
      </c>
      <c r="Q70" s="7" t="s">
        <v>906</v>
      </c>
      <c r="R70" s="7" t="s">
        <v>907</v>
      </c>
      <c r="S70" s="9" t="s">
        <v>108</v>
      </c>
      <c r="T70" s="7"/>
      <c r="U70" s="7"/>
      <c r="V70" s="7" t="s">
        <v>42</v>
      </c>
      <c r="W70" s="7" t="s">
        <v>43</v>
      </c>
      <c r="X70" s="7"/>
      <c r="Y70" s="7" t="s">
        <v>908</v>
      </c>
      <c r="Z70" s="7" t="s">
        <v>909</v>
      </c>
      <c r="AA70" s="8" t="s">
        <v>46</v>
      </c>
    </row>
    <row r="71" spans="1:27" ht="36" customHeight="1">
      <c r="A71" s="3" t="s">
        <v>574</v>
      </c>
      <c r="B71" s="3" t="s">
        <v>640</v>
      </c>
      <c r="C71" s="3" t="s">
        <v>481</v>
      </c>
      <c r="D71" s="3" t="s">
        <v>910</v>
      </c>
      <c r="E71" s="3" t="s">
        <v>118</v>
      </c>
      <c r="F71" s="3" t="s">
        <v>904</v>
      </c>
      <c r="G71" s="10" t="s">
        <v>35</v>
      </c>
      <c r="H71" s="13">
        <v>1</v>
      </c>
      <c r="I71" s="10" t="s">
        <v>35</v>
      </c>
      <c r="J71" s="13">
        <v>1</v>
      </c>
      <c r="K71" s="10" t="s">
        <v>35</v>
      </c>
      <c r="L71" s="10" t="s">
        <v>35</v>
      </c>
      <c r="M71" s="10"/>
      <c r="N71" s="10" t="s">
        <v>36</v>
      </c>
      <c r="O71" s="3" t="s">
        <v>911</v>
      </c>
      <c r="P71" s="3" t="s">
        <v>912</v>
      </c>
      <c r="Q71" s="3" t="s">
        <v>913</v>
      </c>
      <c r="R71" s="3" t="s">
        <v>914</v>
      </c>
      <c r="S71" s="10" t="s">
        <v>35</v>
      </c>
      <c r="T71" s="3" t="s">
        <v>915</v>
      </c>
      <c r="U71" s="3"/>
      <c r="V71" s="3" t="s">
        <v>668</v>
      </c>
      <c r="W71" s="3" t="s">
        <v>916</v>
      </c>
      <c r="X71" s="3"/>
      <c r="Y71" s="3" t="s">
        <v>917</v>
      </c>
      <c r="Z71" s="3" t="s">
        <v>918</v>
      </c>
      <c r="AA71" s="4" t="s">
        <v>46</v>
      </c>
    </row>
    <row r="72" spans="1:27" ht="36" customHeight="1">
      <c r="A72" s="7" t="s">
        <v>919</v>
      </c>
      <c r="B72" s="7" t="s">
        <v>695</v>
      </c>
      <c r="C72" s="7" t="s">
        <v>481</v>
      </c>
      <c r="D72" s="7" t="s">
        <v>920</v>
      </c>
      <c r="E72" s="7" t="s">
        <v>118</v>
      </c>
      <c r="F72" s="7" t="s">
        <v>904</v>
      </c>
      <c r="G72" s="9" t="s">
        <v>35</v>
      </c>
      <c r="H72" s="12">
        <v>1</v>
      </c>
      <c r="I72" s="9" t="s">
        <v>35</v>
      </c>
      <c r="J72" s="12">
        <v>1</v>
      </c>
      <c r="K72" s="9" t="s">
        <v>35</v>
      </c>
      <c r="L72" s="9"/>
      <c r="M72" s="9"/>
      <c r="N72" s="9" t="s">
        <v>36</v>
      </c>
      <c r="O72" s="7" t="s">
        <v>921</v>
      </c>
      <c r="P72" s="7" t="s">
        <v>922</v>
      </c>
      <c r="Q72" s="7" t="s">
        <v>923</v>
      </c>
      <c r="R72" s="7" t="s">
        <v>924</v>
      </c>
      <c r="S72" s="9" t="s">
        <v>108</v>
      </c>
      <c r="T72" s="7"/>
      <c r="U72" s="7"/>
      <c r="V72" s="7" t="s">
        <v>42</v>
      </c>
      <c r="W72" s="7" t="s">
        <v>43</v>
      </c>
      <c r="X72" s="7"/>
      <c r="Y72" s="7" t="s">
        <v>925</v>
      </c>
      <c r="Z72" s="7" t="s">
        <v>926</v>
      </c>
      <c r="AA72" s="8" t="s">
        <v>46</v>
      </c>
    </row>
    <row r="73" spans="1:27" ht="36" customHeight="1">
      <c r="A73" s="3" t="s">
        <v>927</v>
      </c>
      <c r="B73" s="3" t="s">
        <v>242</v>
      </c>
      <c r="C73" s="3" t="s">
        <v>481</v>
      </c>
      <c r="D73" s="3" t="s">
        <v>928</v>
      </c>
      <c r="E73" s="3" t="s">
        <v>118</v>
      </c>
      <c r="F73" s="3" t="s">
        <v>904</v>
      </c>
      <c r="G73" s="10" t="s">
        <v>35</v>
      </c>
      <c r="H73" s="13">
        <v>1</v>
      </c>
      <c r="I73" s="10" t="s">
        <v>35</v>
      </c>
      <c r="J73" s="13">
        <v>1</v>
      </c>
      <c r="K73" s="10" t="s">
        <v>35</v>
      </c>
      <c r="L73" s="10" t="s">
        <v>35</v>
      </c>
      <c r="M73" s="10"/>
      <c r="N73" s="10" t="s">
        <v>36</v>
      </c>
      <c r="O73" s="3" t="s">
        <v>929</v>
      </c>
      <c r="P73" s="3" t="s">
        <v>930</v>
      </c>
      <c r="Q73" s="3" t="s">
        <v>931</v>
      </c>
      <c r="R73" s="3" t="s">
        <v>932</v>
      </c>
      <c r="S73" s="10" t="s">
        <v>35</v>
      </c>
      <c r="T73" s="3" t="s">
        <v>933</v>
      </c>
      <c r="U73" s="3"/>
      <c r="V73" s="3" t="s">
        <v>42</v>
      </c>
      <c r="W73" s="3" t="s">
        <v>43</v>
      </c>
      <c r="X73" s="3"/>
      <c r="Y73" s="3" t="s">
        <v>934</v>
      </c>
      <c r="Z73" s="3" t="s">
        <v>935</v>
      </c>
      <c r="AA73" s="4" t="s">
        <v>46</v>
      </c>
    </row>
    <row r="74" spans="1:27" ht="36" customHeight="1">
      <c r="A74" s="7" t="s">
        <v>936</v>
      </c>
      <c r="B74" s="7"/>
      <c r="C74" s="7"/>
      <c r="D74" s="7" t="s">
        <v>937</v>
      </c>
      <c r="E74" s="7" t="s">
        <v>118</v>
      </c>
      <c r="F74" s="7" t="s">
        <v>904</v>
      </c>
      <c r="G74" s="9" t="s">
        <v>35</v>
      </c>
      <c r="H74" s="12">
        <v>1</v>
      </c>
      <c r="I74" s="9" t="s">
        <v>35</v>
      </c>
      <c r="J74" s="12">
        <v>1</v>
      </c>
      <c r="K74" s="9"/>
      <c r="L74" s="9" t="s">
        <v>35</v>
      </c>
      <c r="M74" s="9"/>
      <c r="N74" s="9" t="s">
        <v>180</v>
      </c>
      <c r="O74" s="7" t="s">
        <v>938</v>
      </c>
      <c r="P74" s="7" t="s">
        <v>939</v>
      </c>
      <c r="Q74" s="7" t="s">
        <v>940</v>
      </c>
      <c r="R74" s="7" t="s">
        <v>941</v>
      </c>
      <c r="S74" s="9" t="s">
        <v>108</v>
      </c>
      <c r="T74" s="7"/>
      <c r="U74" s="7"/>
      <c r="V74" s="7" t="s">
        <v>418</v>
      </c>
      <c r="W74" s="7"/>
      <c r="X74" s="7"/>
      <c r="Y74" s="7" t="s">
        <v>942</v>
      </c>
      <c r="Z74" s="7" t="s">
        <v>943</v>
      </c>
      <c r="AA74" s="8" t="s">
        <v>46</v>
      </c>
    </row>
    <row r="75" spans="1:27" ht="36" customHeight="1">
      <c r="A75" s="3" t="s">
        <v>944</v>
      </c>
      <c r="B75" s="3" t="s">
        <v>258</v>
      </c>
      <c r="C75" s="3" t="s">
        <v>400</v>
      </c>
      <c r="D75" s="3" t="s">
        <v>945</v>
      </c>
      <c r="E75" s="3" t="s">
        <v>118</v>
      </c>
      <c r="F75" s="3" t="s">
        <v>904</v>
      </c>
      <c r="G75" s="10" t="s">
        <v>35</v>
      </c>
      <c r="H75" s="13">
        <v>1</v>
      </c>
      <c r="I75" s="10" t="s">
        <v>35</v>
      </c>
      <c r="J75" s="13">
        <v>1</v>
      </c>
      <c r="K75" s="10" t="s">
        <v>35</v>
      </c>
      <c r="L75" s="10" t="s">
        <v>35</v>
      </c>
      <c r="M75" s="10"/>
      <c r="N75" s="10" t="s">
        <v>36</v>
      </c>
      <c r="O75" s="3" t="s">
        <v>946</v>
      </c>
      <c r="P75" s="3" t="s">
        <v>947</v>
      </c>
      <c r="Q75" s="3" t="s">
        <v>948</v>
      </c>
      <c r="R75" s="3" t="s">
        <v>949</v>
      </c>
      <c r="S75" s="10" t="s">
        <v>35</v>
      </c>
      <c r="T75" s="3" t="s">
        <v>933</v>
      </c>
      <c r="U75" s="3"/>
      <c r="V75" s="3" t="s">
        <v>42</v>
      </c>
      <c r="W75" s="3" t="s">
        <v>43</v>
      </c>
      <c r="X75" s="3"/>
      <c r="Y75" s="3" t="s">
        <v>950</v>
      </c>
      <c r="Z75" s="3" t="s">
        <v>951</v>
      </c>
      <c r="AA75" s="4" t="s">
        <v>46</v>
      </c>
    </row>
    <row r="76" spans="1:27" ht="36" customHeight="1">
      <c r="A76" s="7" t="s">
        <v>952</v>
      </c>
      <c r="B76" s="7" t="s">
        <v>271</v>
      </c>
      <c r="C76" s="7" t="s">
        <v>400</v>
      </c>
      <c r="D76" s="7" t="s">
        <v>953</v>
      </c>
      <c r="E76" s="7" t="s">
        <v>118</v>
      </c>
      <c r="F76" s="7" t="s">
        <v>904</v>
      </c>
      <c r="G76" s="9" t="s">
        <v>35</v>
      </c>
      <c r="H76" s="12">
        <v>1</v>
      </c>
      <c r="I76" s="9" t="s">
        <v>35</v>
      </c>
      <c r="J76" s="12">
        <v>1</v>
      </c>
      <c r="K76" s="9" t="s">
        <v>35</v>
      </c>
      <c r="L76" s="9"/>
      <c r="M76" s="9"/>
      <c r="N76" s="9" t="s">
        <v>36</v>
      </c>
      <c r="O76" s="7" t="s">
        <v>954</v>
      </c>
      <c r="P76" s="7" t="s">
        <v>955</v>
      </c>
      <c r="Q76" s="7" t="s">
        <v>956</v>
      </c>
      <c r="R76" s="7" t="s">
        <v>957</v>
      </c>
      <c r="S76" s="9" t="s">
        <v>108</v>
      </c>
      <c r="T76" s="7"/>
      <c r="U76" s="7"/>
      <c r="V76" s="7" t="s">
        <v>42</v>
      </c>
      <c r="W76" s="7" t="s">
        <v>43</v>
      </c>
      <c r="X76" s="7"/>
      <c r="Y76" s="7" t="s">
        <v>958</v>
      </c>
      <c r="Z76" s="7" t="s">
        <v>959</v>
      </c>
      <c r="AA76" s="8" t="s">
        <v>46</v>
      </c>
    </row>
    <row r="77" spans="1:27" ht="36" customHeight="1">
      <c r="A77" s="5" t="s">
        <v>960</v>
      </c>
      <c r="B77" s="5" t="s">
        <v>282</v>
      </c>
      <c r="C77" s="5" t="s">
        <v>412</v>
      </c>
      <c r="D77" s="5" t="s">
        <v>961</v>
      </c>
      <c r="E77" s="5" t="s">
        <v>118</v>
      </c>
      <c r="F77" s="5" t="s">
        <v>904</v>
      </c>
      <c r="G77" s="11" t="s">
        <v>35</v>
      </c>
      <c r="H77" s="14">
        <v>1</v>
      </c>
      <c r="I77" s="11" t="s">
        <v>35</v>
      </c>
      <c r="J77" s="14">
        <v>1</v>
      </c>
      <c r="K77" s="11" t="s">
        <v>35</v>
      </c>
      <c r="L77" s="11"/>
      <c r="M77" s="11"/>
      <c r="N77" s="11" t="s">
        <v>36</v>
      </c>
      <c r="O77" s="5" t="s">
        <v>962</v>
      </c>
      <c r="P77" s="5" t="s">
        <v>963</v>
      </c>
      <c r="Q77" s="5" t="s">
        <v>964</v>
      </c>
      <c r="R77" s="5" t="s">
        <v>965</v>
      </c>
      <c r="S77" s="11" t="s">
        <v>35</v>
      </c>
      <c r="T77" s="5" t="s">
        <v>966</v>
      </c>
      <c r="U77" s="5"/>
      <c r="V77" s="5" t="s">
        <v>42</v>
      </c>
      <c r="W77" s="5" t="s">
        <v>43</v>
      </c>
      <c r="X77" s="5"/>
      <c r="Y77" s="5" t="s">
        <v>967</v>
      </c>
      <c r="Z77" s="5" t="s">
        <v>968</v>
      </c>
      <c r="AA77" s="6" t="s">
        <v>46</v>
      </c>
    </row>
  </sheetData>
  <mergeCells count="6">
    <mergeCell ref="AC1:AE1"/>
    <mergeCell ref="AG1:AN1"/>
    <mergeCell ref="AG9:AN9"/>
    <mergeCell ref="AC15:AK15"/>
    <mergeCell ref="AC35:AN35"/>
    <mergeCell ref="AC14:AN14"/>
  </mergeCells>
  <conditionalFormatting sqref="A2:AA77">
    <cfRule type="expression" dxfId="26" priority="14">
      <formula>$G2&lt;&gt;$I2</formula>
    </cfRule>
    <cfRule type="expression" dxfId="25" priority="15">
      <formula>LEFT($U2,11)="New passage"</formula>
    </cfRule>
  </conditionalFormatting>
  <conditionalFormatting sqref="G2:G77">
    <cfRule type="expression" dxfId="24" priority="1">
      <formula>G2="Yes"</formula>
    </cfRule>
    <cfRule type="expression" dxfId="23" priority="2">
      <formula>G2="No"</formula>
    </cfRule>
  </conditionalFormatting>
  <conditionalFormatting sqref="I2:I77">
    <cfRule type="expression" dxfId="22" priority="3">
      <formula>I2="Yes"</formula>
    </cfRule>
    <cfRule type="expression" dxfId="21" priority="4">
      <formula>I2="No"</formula>
    </cfRule>
    <cfRule type="expression" dxfId="20" priority="11">
      <formula>$G2&lt;&gt;$I2</formula>
    </cfRule>
  </conditionalFormatting>
  <conditionalFormatting sqref="K2:K77">
    <cfRule type="expression" dxfId="19" priority="5">
      <formula>K2="Yes"</formula>
    </cfRule>
    <cfRule type="expression" dxfId="18" priority="6">
      <formula>K2="No"</formula>
    </cfRule>
  </conditionalFormatting>
  <conditionalFormatting sqref="L2:L77">
    <cfRule type="expression" dxfId="17" priority="7">
      <formula>L2="Yes"</formula>
    </cfRule>
    <cfRule type="expression" dxfId="16" priority="8">
      <formula>L2="No"</formula>
    </cfRule>
  </conditionalFormatting>
  <conditionalFormatting sqref="M2:M77">
    <cfRule type="expression" dxfId="15" priority="9">
      <formula>M2="Yes"</formula>
    </cfRule>
    <cfRule type="expression" dxfId="14" priority="10">
      <formula>M2="No"</formula>
    </cfRule>
  </conditionalFormatting>
  <conditionalFormatting sqref="S2:S77">
    <cfRule type="expression" dxfId="13" priority="12">
      <formula>$S2="Yes"</formula>
    </cfRule>
  </conditionalFormatting>
  <conditionalFormatting sqref="U2:U77">
    <cfRule type="expression" dxfId="12" priority="13">
      <formula>$U2&lt;&gt;""</formula>
    </cfRule>
  </conditionalFormatting>
  <conditionalFormatting sqref="AF17:AF32">
    <cfRule type="expression" dxfId="11" priority="16">
      <formula>AF17="Yes"</formula>
    </cfRule>
    <cfRule type="expression" dxfId="10" priority="17">
      <formula>AF17="No"</formula>
    </cfRule>
  </conditionalFormatting>
  <conditionalFormatting sqref="AG17:AG32">
    <cfRule type="expression" dxfId="9" priority="18">
      <formula>AG17="Yes"</formula>
    </cfRule>
    <cfRule type="expression" dxfId="8" priority="19">
      <formula>AG17="No"</formula>
    </cfRule>
  </conditionalFormatting>
  <conditionalFormatting sqref="AH17:AH32">
    <cfRule type="expression" dxfId="7" priority="20">
      <formula>AH17="Yes"</formula>
    </cfRule>
    <cfRule type="expression" dxfId="6" priority="21">
      <formula>AH17="No"</formula>
    </cfRule>
  </conditionalFormatting>
  <conditionalFormatting sqref="AI17:AI32">
    <cfRule type="expression" dxfId="5" priority="22">
      <formula>AI17="Yes"</formula>
    </cfRule>
    <cfRule type="expression" dxfId="4" priority="23">
      <formula>AI17="No"</formula>
    </cfRule>
  </conditionalFormatting>
  <pageMargins left="0.7" right="0.7" top="0.75" bottom="0.75" header="0.3" footer="0.3"/>
  <tableParts count="3">
    <tablePart r:id="rId1"/>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7"/>
  <sheetViews>
    <sheetView tabSelected="1" workbookViewId="0">
      <selection sqref="A1:Z987"/>
    </sheetView>
  </sheetViews>
  <sheetFormatPr defaultRowHeight="14"/>
  <cols>
    <col min="1" max="1" width="30" customWidth="1"/>
    <col min="2" max="2" width="55" customWidth="1"/>
    <col min="3" max="3" width="47" customWidth="1"/>
    <col min="4" max="4" width="53" customWidth="1"/>
    <col min="5" max="5" width="54" customWidth="1"/>
    <col min="6" max="6" width="58" customWidth="1"/>
  </cols>
  <sheetData>
    <row r="1" spans="1:26" ht="52" customHeight="1">
      <c r="A1" s="53" t="s">
        <v>1033</v>
      </c>
      <c r="B1" s="51"/>
      <c r="C1" s="51"/>
      <c r="D1" s="51"/>
      <c r="E1" s="51"/>
      <c r="F1" s="52"/>
      <c r="G1" s="44"/>
      <c r="H1" s="44"/>
      <c r="I1" s="44"/>
      <c r="J1" s="44"/>
      <c r="K1" s="44"/>
      <c r="L1" s="44"/>
      <c r="M1" s="44"/>
      <c r="N1" s="44"/>
      <c r="O1" s="44"/>
      <c r="P1" s="44"/>
      <c r="Q1" s="44"/>
      <c r="R1" s="44"/>
      <c r="S1" s="44"/>
      <c r="T1" s="44"/>
      <c r="U1" s="44"/>
      <c r="V1" s="44"/>
      <c r="W1" s="44"/>
      <c r="X1" s="44"/>
      <c r="Y1" s="44"/>
      <c r="Z1" s="44"/>
    </row>
    <row r="2" spans="1:26" ht="18.649999999999999" customHeight="1">
      <c r="A2" s="45" t="s">
        <v>969</v>
      </c>
      <c r="B2" s="45" t="s">
        <v>970</v>
      </c>
      <c r="C2" s="45" t="s">
        <v>971</v>
      </c>
      <c r="D2" s="45" t="s">
        <v>972</v>
      </c>
      <c r="E2" s="45" t="s">
        <v>973</v>
      </c>
      <c r="F2" s="45" t="s">
        <v>974</v>
      </c>
      <c r="G2" s="44"/>
      <c r="H2" s="44"/>
      <c r="I2" s="44"/>
      <c r="J2" s="44"/>
      <c r="K2" s="44"/>
      <c r="L2" s="44"/>
      <c r="M2" s="44"/>
      <c r="N2" s="44"/>
      <c r="O2" s="44"/>
      <c r="P2" s="44"/>
      <c r="Q2" s="44"/>
      <c r="R2" s="44"/>
      <c r="S2" s="44"/>
      <c r="T2" s="44"/>
      <c r="U2" s="44"/>
      <c r="V2" s="44"/>
      <c r="W2" s="44"/>
      <c r="X2" s="44"/>
      <c r="Y2" s="44"/>
      <c r="Z2" s="44"/>
    </row>
    <row r="3" spans="1:26" ht="16" customHeight="1">
      <c r="A3" s="54" t="s">
        <v>975</v>
      </c>
      <c r="B3" s="51"/>
      <c r="C3" s="51"/>
      <c r="D3" s="51"/>
      <c r="E3" s="51"/>
      <c r="F3" s="52"/>
      <c r="G3" s="44"/>
      <c r="H3" s="44"/>
      <c r="I3" s="44"/>
      <c r="J3" s="44"/>
      <c r="K3" s="44"/>
      <c r="L3" s="44"/>
      <c r="M3" s="44"/>
      <c r="N3" s="44"/>
      <c r="O3" s="44"/>
      <c r="P3" s="44"/>
      <c r="Q3" s="44"/>
      <c r="R3" s="44"/>
      <c r="S3" s="44"/>
      <c r="T3" s="44"/>
      <c r="U3" s="44"/>
      <c r="V3" s="44"/>
      <c r="W3" s="44"/>
      <c r="X3" s="44"/>
      <c r="Y3" s="44"/>
      <c r="Z3" s="44"/>
    </row>
    <row r="4" spans="1:26" ht="106.65" customHeight="1">
      <c r="A4" s="46" t="s">
        <v>976</v>
      </c>
      <c r="B4" s="46" t="s">
        <v>1034</v>
      </c>
      <c r="C4" s="46" t="s">
        <v>977</v>
      </c>
      <c r="D4" s="46" t="s">
        <v>978</v>
      </c>
      <c r="E4" s="46" t="s">
        <v>979</v>
      </c>
      <c r="F4" s="46" t="s">
        <v>980</v>
      </c>
      <c r="G4" s="44"/>
      <c r="H4" s="44"/>
      <c r="I4" s="44"/>
      <c r="J4" s="44"/>
      <c r="K4" s="44"/>
      <c r="L4" s="44"/>
      <c r="M4" s="44"/>
      <c r="N4" s="44"/>
      <c r="O4" s="44"/>
      <c r="P4" s="44"/>
      <c r="Q4" s="44"/>
      <c r="R4" s="44"/>
      <c r="S4" s="44"/>
      <c r="T4" s="44"/>
      <c r="U4" s="44"/>
      <c r="V4" s="44"/>
      <c r="W4" s="44"/>
      <c r="X4" s="44"/>
      <c r="Y4" s="44"/>
      <c r="Z4" s="44"/>
    </row>
    <row r="5" spans="1:26" ht="16" customHeight="1">
      <c r="A5" s="54" t="s">
        <v>981</v>
      </c>
      <c r="B5" s="51"/>
      <c r="C5" s="51"/>
      <c r="D5" s="51"/>
      <c r="E5" s="51"/>
      <c r="F5" s="52"/>
      <c r="G5" s="44"/>
      <c r="H5" s="44"/>
      <c r="I5" s="44"/>
      <c r="J5" s="44"/>
      <c r="K5" s="44"/>
      <c r="L5" s="44"/>
      <c r="M5" s="44"/>
      <c r="N5" s="44"/>
      <c r="O5" s="44"/>
      <c r="P5" s="44"/>
      <c r="Q5" s="44"/>
      <c r="R5" s="44"/>
      <c r="S5" s="44"/>
      <c r="T5" s="44"/>
      <c r="U5" s="44"/>
      <c r="V5" s="44"/>
      <c r="W5" s="44"/>
      <c r="X5" s="44"/>
      <c r="Y5" s="44"/>
      <c r="Z5" s="44"/>
    </row>
    <row r="6" spans="1:26" ht="61.4" customHeight="1">
      <c r="A6" s="46" t="s">
        <v>982</v>
      </c>
      <c r="B6" s="46" t="s">
        <v>983</v>
      </c>
      <c r="C6" s="46" t="s">
        <v>984</v>
      </c>
      <c r="D6" s="46" t="s">
        <v>985</v>
      </c>
      <c r="E6" s="46" t="s">
        <v>986</v>
      </c>
      <c r="F6" s="46" t="s">
        <v>987</v>
      </c>
      <c r="G6" s="44"/>
      <c r="H6" s="44"/>
      <c r="I6" s="44"/>
      <c r="J6" s="44"/>
      <c r="K6" s="44"/>
      <c r="L6" s="44"/>
      <c r="M6" s="44"/>
      <c r="N6" s="44"/>
      <c r="O6" s="44"/>
      <c r="P6" s="44"/>
      <c r="Q6" s="44"/>
      <c r="R6" s="44"/>
      <c r="S6" s="44"/>
      <c r="T6" s="44"/>
      <c r="U6" s="44"/>
      <c r="V6" s="44"/>
      <c r="W6" s="44"/>
      <c r="X6" s="44"/>
      <c r="Y6" s="44"/>
      <c r="Z6" s="44"/>
    </row>
    <row r="7" spans="1:26" ht="61.4" customHeight="1">
      <c r="A7" s="46" t="s">
        <v>988</v>
      </c>
      <c r="B7" s="46" t="s">
        <v>989</v>
      </c>
      <c r="C7" s="46" t="s">
        <v>990</v>
      </c>
      <c r="D7" s="46" t="s">
        <v>991</v>
      </c>
      <c r="E7" s="46" t="s">
        <v>992</v>
      </c>
      <c r="F7" s="46" t="s">
        <v>993</v>
      </c>
      <c r="G7" s="44"/>
      <c r="H7" s="44"/>
      <c r="I7" s="44"/>
      <c r="J7" s="44"/>
      <c r="K7" s="44"/>
      <c r="L7" s="44"/>
      <c r="M7" s="44"/>
      <c r="N7" s="44"/>
      <c r="O7" s="44"/>
      <c r="P7" s="44"/>
      <c r="Q7" s="44"/>
      <c r="R7" s="44"/>
      <c r="S7" s="44"/>
      <c r="T7" s="44"/>
      <c r="U7" s="44"/>
      <c r="V7" s="44"/>
      <c r="W7" s="44"/>
      <c r="X7" s="44"/>
      <c r="Y7" s="44"/>
      <c r="Z7" s="44"/>
    </row>
    <row r="8" spans="1:26" ht="66.650000000000006" customHeight="1">
      <c r="A8" s="46" t="s">
        <v>994</v>
      </c>
      <c r="B8" s="46" t="s">
        <v>995</v>
      </c>
      <c r="C8" s="46" t="s">
        <v>996</v>
      </c>
      <c r="D8" s="46" t="s">
        <v>997</v>
      </c>
      <c r="E8" s="46" t="s">
        <v>998</v>
      </c>
      <c r="F8" s="46" t="s">
        <v>999</v>
      </c>
      <c r="G8" s="44"/>
      <c r="H8" s="44"/>
      <c r="I8" s="44"/>
      <c r="J8" s="44"/>
      <c r="K8" s="44"/>
      <c r="L8" s="44"/>
      <c r="M8" s="44"/>
      <c r="N8" s="44"/>
      <c r="O8" s="44"/>
      <c r="P8" s="44"/>
      <c r="Q8" s="44"/>
      <c r="R8" s="44"/>
      <c r="S8" s="44"/>
      <c r="T8" s="44"/>
      <c r="U8" s="44"/>
      <c r="V8" s="44"/>
      <c r="W8" s="44"/>
      <c r="X8" s="44"/>
      <c r="Y8" s="44"/>
      <c r="Z8" s="44"/>
    </row>
    <row r="9" spans="1:26" ht="73.400000000000006" customHeight="1">
      <c r="A9" s="46" t="s">
        <v>1000</v>
      </c>
      <c r="B9" s="46" t="s">
        <v>1001</v>
      </c>
      <c r="C9" s="46" t="s">
        <v>1002</v>
      </c>
      <c r="D9" s="46" t="s">
        <v>1003</v>
      </c>
      <c r="E9" s="46" t="s">
        <v>1004</v>
      </c>
      <c r="F9" s="46" t="s">
        <v>1005</v>
      </c>
      <c r="G9" s="44"/>
      <c r="H9" s="44"/>
      <c r="I9" s="44"/>
      <c r="J9" s="44"/>
      <c r="K9" s="44"/>
      <c r="L9" s="44"/>
      <c r="M9" s="44"/>
      <c r="N9" s="44"/>
      <c r="O9" s="44"/>
      <c r="P9" s="44"/>
      <c r="Q9" s="44"/>
      <c r="R9" s="44"/>
      <c r="S9" s="44"/>
      <c r="T9" s="44"/>
      <c r="U9" s="44"/>
      <c r="V9" s="44"/>
      <c r="W9" s="44"/>
      <c r="X9" s="44"/>
      <c r="Y9" s="44"/>
      <c r="Z9" s="44"/>
    </row>
    <row r="10" spans="1:26" ht="70" customHeight="1">
      <c r="A10" s="46" t="s">
        <v>1006</v>
      </c>
      <c r="B10" s="46" t="s">
        <v>1007</v>
      </c>
      <c r="C10" s="46" t="s">
        <v>1008</v>
      </c>
      <c r="D10" s="46" t="s">
        <v>1009</v>
      </c>
      <c r="E10" s="46" t="s">
        <v>1010</v>
      </c>
      <c r="F10" s="46" t="s">
        <v>1011</v>
      </c>
      <c r="G10" s="44"/>
      <c r="H10" s="44"/>
      <c r="I10" s="44"/>
      <c r="J10" s="44"/>
      <c r="K10" s="44"/>
      <c r="L10" s="44"/>
      <c r="M10" s="44"/>
      <c r="N10" s="44"/>
      <c r="O10" s="44"/>
      <c r="P10" s="44"/>
      <c r="Q10" s="44"/>
      <c r="R10" s="44"/>
      <c r="S10" s="44"/>
      <c r="T10" s="44"/>
      <c r="U10" s="44"/>
      <c r="V10" s="44"/>
      <c r="W10" s="44"/>
      <c r="X10" s="44"/>
      <c r="Y10" s="44"/>
      <c r="Z10" s="44"/>
    </row>
    <row r="11" spans="1:26" ht="16" customHeight="1">
      <c r="A11" s="54" t="s">
        <v>1012</v>
      </c>
      <c r="B11" s="51"/>
      <c r="C11" s="51"/>
      <c r="D11" s="51"/>
      <c r="E11" s="51"/>
      <c r="F11" s="52"/>
      <c r="G11" s="44"/>
      <c r="H11" s="44"/>
      <c r="I11" s="44"/>
      <c r="J11" s="44"/>
      <c r="K11" s="44"/>
      <c r="L11" s="44"/>
      <c r="M11" s="44"/>
      <c r="N11" s="44"/>
      <c r="O11" s="44"/>
      <c r="P11" s="44"/>
      <c r="Q11" s="44"/>
      <c r="R11" s="44"/>
      <c r="S11" s="44"/>
      <c r="T11" s="44"/>
      <c r="U11" s="44"/>
      <c r="V11" s="44"/>
      <c r="W11" s="44"/>
      <c r="X11" s="44"/>
      <c r="Y11" s="44"/>
      <c r="Z11" s="44"/>
    </row>
    <row r="12" spans="1:26" ht="58.65" customHeight="1">
      <c r="A12" s="46" t="s">
        <v>1013</v>
      </c>
      <c r="B12" s="46" t="s">
        <v>1014</v>
      </c>
      <c r="C12" s="46" t="s">
        <v>1015</v>
      </c>
      <c r="D12" s="46" t="s">
        <v>1016</v>
      </c>
      <c r="E12" s="46" t="s">
        <v>1017</v>
      </c>
      <c r="F12" s="46" t="s">
        <v>1018</v>
      </c>
      <c r="G12" s="44"/>
      <c r="H12" s="44"/>
      <c r="I12" s="44"/>
      <c r="J12" s="44"/>
      <c r="K12" s="44"/>
      <c r="L12" s="44"/>
      <c r="M12" s="44"/>
      <c r="N12" s="44"/>
      <c r="O12" s="44"/>
      <c r="P12" s="44"/>
      <c r="Q12" s="44"/>
      <c r="R12" s="44"/>
      <c r="S12" s="44"/>
      <c r="T12" s="44"/>
      <c r="U12" s="44"/>
      <c r="V12" s="44"/>
      <c r="W12" s="44"/>
      <c r="X12" s="44"/>
      <c r="Y12" s="44"/>
      <c r="Z12" s="44"/>
    </row>
    <row r="13" spans="1:26" ht="16" customHeight="1">
      <c r="A13" s="55" t="s">
        <v>1019</v>
      </c>
      <c r="B13" s="51"/>
      <c r="C13" s="51"/>
      <c r="D13" s="51"/>
      <c r="E13" s="51"/>
      <c r="F13" s="52"/>
      <c r="G13" s="44"/>
      <c r="H13" s="44"/>
      <c r="I13" s="44"/>
      <c r="J13" s="44"/>
      <c r="K13" s="44"/>
      <c r="L13" s="44"/>
      <c r="M13" s="44"/>
      <c r="N13" s="44"/>
      <c r="O13" s="44"/>
      <c r="P13" s="44"/>
      <c r="Q13" s="44"/>
      <c r="R13" s="44"/>
      <c r="S13" s="44"/>
      <c r="T13" s="44"/>
      <c r="U13" s="44"/>
      <c r="V13" s="44"/>
      <c r="W13" s="44"/>
      <c r="X13" s="44"/>
      <c r="Y13" s="44"/>
      <c r="Z13" s="44"/>
    </row>
    <row r="14" spans="1:26" ht="49.4" customHeight="1">
      <c r="A14" s="47" t="s">
        <v>1020</v>
      </c>
      <c r="B14" s="47" t="s">
        <v>1021</v>
      </c>
      <c r="C14" s="47" t="s">
        <v>1022</v>
      </c>
      <c r="D14" s="47" t="s">
        <v>1023</v>
      </c>
      <c r="E14" s="47" t="s">
        <v>1024</v>
      </c>
      <c r="F14" s="47" t="s">
        <v>1025</v>
      </c>
      <c r="G14" s="48"/>
      <c r="H14" s="48"/>
      <c r="I14" s="48"/>
      <c r="J14" s="48"/>
      <c r="K14" s="48"/>
      <c r="L14" s="48"/>
      <c r="M14" s="48"/>
      <c r="N14" s="48"/>
      <c r="O14" s="48"/>
      <c r="P14" s="48"/>
      <c r="Q14" s="48"/>
      <c r="R14" s="48"/>
      <c r="S14" s="48"/>
      <c r="T14" s="48"/>
      <c r="U14" s="48"/>
      <c r="V14" s="48"/>
      <c r="W14" s="48"/>
      <c r="X14" s="48"/>
      <c r="Y14" s="48"/>
      <c r="Z14" s="48"/>
    </row>
    <row r="15" spans="1:26" ht="49.4" customHeight="1">
      <c r="A15" s="47" t="s">
        <v>1026</v>
      </c>
      <c r="B15" s="47" t="s">
        <v>1027</v>
      </c>
      <c r="C15" s="47" t="s">
        <v>1028</v>
      </c>
      <c r="D15" s="47" t="s">
        <v>1029</v>
      </c>
      <c r="E15" s="47" t="s">
        <v>1030</v>
      </c>
      <c r="F15" s="47" t="s">
        <v>1031</v>
      </c>
      <c r="G15" s="48"/>
      <c r="H15" s="48"/>
      <c r="I15" s="48"/>
      <c r="J15" s="48"/>
      <c r="K15" s="48"/>
      <c r="L15" s="48"/>
      <c r="M15" s="48"/>
      <c r="N15" s="48"/>
      <c r="O15" s="48"/>
      <c r="P15" s="48"/>
      <c r="Q15" s="48"/>
      <c r="R15" s="48"/>
      <c r="S15" s="48"/>
      <c r="T15" s="48"/>
      <c r="U15" s="48"/>
      <c r="V15" s="48"/>
      <c r="W15" s="48"/>
      <c r="X15" s="48"/>
      <c r="Y15" s="48"/>
      <c r="Z15" s="48"/>
    </row>
    <row r="16" spans="1:26" ht="16" customHeight="1">
      <c r="A16" s="50" t="s">
        <v>1032</v>
      </c>
      <c r="B16" s="51"/>
      <c r="C16" s="51"/>
      <c r="D16" s="51"/>
      <c r="E16" s="51"/>
      <c r="F16" s="52"/>
      <c r="G16" s="44"/>
      <c r="H16" s="44"/>
      <c r="I16" s="44"/>
      <c r="J16" s="44"/>
      <c r="K16" s="44"/>
      <c r="L16" s="44"/>
      <c r="M16" s="44"/>
      <c r="N16" s="44"/>
      <c r="O16" s="44"/>
      <c r="P16" s="44"/>
      <c r="Q16" s="44"/>
      <c r="R16" s="44"/>
      <c r="S16" s="44"/>
      <c r="T16" s="44"/>
      <c r="U16" s="44"/>
      <c r="V16" s="44"/>
      <c r="W16" s="44"/>
      <c r="X16" s="44"/>
      <c r="Y16" s="44"/>
      <c r="Z16" s="44"/>
    </row>
    <row r="17" spans="2:3">
      <c r="B17" s="49"/>
      <c r="C17" s="49"/>
    </row>
    <row r="18" spans="2:3">
      <c r="B18" s="49"/>
      <c r="C18" s="49"/>
    </row>
    <row r="19" spans="2:3">
      <c r="B19" s="49"/>
      <c r="C19" s="49"/>
    </row>
    <row r="20" spans="2:3">
      <c r="B20" s="49"/>
      <c r="C20" s="49"/>
    </row>
    <row r="21" spans="2:3">
      <c r="B21" s="49"/>
      <c r="C21" s="49"/>
    </row>
    <row r="22" spans="2:3">
      <c r="B22" s="49"/>
      <c r="C22" s="49"/>
    </row>
    <row r="23" spans="2:3">
      <c r="B23" s="49"/>
      <c r="C23" s="49"/>
    </row>
    <row r="24" spans="2:3">
      <c r="B24" s="49"/>
      <c r="C24" s="49"/>
    </row>
    <row r="25" spans="2:3">
      <c r="B25" s="49"/>
      <c r="C25" s="49"/>
    </row>
    <row r="26" spans="2:3">
      <c r="B26" s="49"/>
      <c r="C26" s="49"/>
    </row>
    <row r="27" spans="2:3">
      <c r="B27" s="49"/>
      <c r="C27" s="49"/>
    </row>
    <row r="28" spans="2:3">
      <c r="B28" s="49"/>
      <c r="C28" s="49"/>
    </row>
    <row r="29" spans="2:3">
      <c r="B29" s="49"/>
      <c r="C29" s="49"/>
    </row>
    <row r="30" spans="2:3">
      <c r="B30" s="49"/>
      <c r="C30" s="49"/>
    </row>
    <row r="31" spans="2:3">
      <c r="B31" s="49"/>
      <c r="C31" s="49"/>
    </row>
    <row r="32" spans="2:3">
      <c r="B32" s="49"/>
      <c r="C32" s="49"/>
    </row>
    <row r="33" spans="2:3">
      <c r="B33" s="49"/>
      <c r="C33" s="49"/>
    </row>
    <row r="34" spans="2:3">
      <c r="B34" s="49"/>
      <c r="C34" s="49"/>
    </row>
    <row r="35" spans="2:3">
      <c r="B35" s="49"/>
      <c r="C35" s="49"/>
    </row>
    <row r="36" spans="2:3">
      <c r="B36" s="49"/>
      <c r="C36" s="49"/>
    </row>
    <row r="37" spans="2:3">
      <c r="B37" s="49"/>
      <c r="C37" s="49"/>
    </row>
    <row r="38" spans="2:3">
      <c r="B38" s="49"/>
      <c r="C38" s="49"/>
    </row>
    <row r="39" spans="2:3">
      <c r="B39" s="49"/>
      <c r="C39" s="49"/>
    </row>
    <row r="40" spans="2:3">
      <c r="B40" s="49"/>
      <c r="C40" s="49"/>
    </row>
    <row r="41" spans="2:3">
      <c r="B41" s="49"/>
      <c r="C41" s="49"/>
    </row>
    <row r="42" spans="2:3">
      <c r="B42" s="49"/>
      <c r="C42" s="49"/>
    </row>
    <row r="43" spans="2:3">
      <c r="B43" s="49"/>
      <c r="C43" s="49"/>
    </row>
    <row r="44" spans="2:3">
      <c r="B44" s="49"/>
      <c r="C44" s="49"/>
    </row>
    <row r="45" spans="2:3">
      <c r="B45" s="49"/>
      <c r="C45" s="49"/>
    </row>
    <row r="46" spans="2:3">
      <c r="B46" s="49"/>
      <c r="C46" s="49"/>
    </row>
    <row r="47" spans="2:3">
      <c r="B47" s="49"/>
      <c r="C47" s="49"/>
    </row>
    <row r="48" spans="2:3">
      <c r="B48" s="49"/>
      <c r="C48" s="49"/>
    </row>
    <row r="49" spans="2:3">
      <c r="B49" s="49"/>
      <c r="C49" s="49"/>
    </row>
    <row r="50" spans="2:3">
      <c r="B50" s="49"/>
      <c r="C50" s="49"/>
    </row>
    <row r="51" spans="2:3">
      <c r="B51" s="49"/>
      <c r="C51" s="49"/>
    </row>
    <row r="52" spans="2:3">
      <c r="B52" s="49"/>
      <c r="C52" s="49"/>
    </row>
    <row r="53" spans="2:3">
      <c r="B53" s="49"/>
      <c r="C53" s="49"/>
    </row>
    <row r="54" spans="2:3">
      <c r="B54" s="49"/>
      <c r="C54" s="49"/>
    </row>
    <row r="55" spans="2:3">
      <c r="B55" s="49"/>
      <c r="C55" s="49"/>
    </row>
    <row r="56" spans="2:3">
      <c r="B56" s="49"/>
      <c r="C56" s="49"/>
    </row>
    <row r="57" spans="2:3">
      <c r="B57" s="49"/>
      <c r="C57" s="49"/>
    </row>
    <row r="58" spans="2:3">
      <c r="B58" s="49"/>
      <c r="C58" s="49"/>
    </row>
    <row r="59" spans="2:3">
      <c r="B59" s="49"/>
      <c r="C59" s="49"/>
    </row>
    <row r="60" spans="2:3">
      <c r="B60" s="49"/>
      <c r="C60" s="49"/>
    </row>
    <row r="61" spans="2:3">
      <c r="B61" s="49"/>
      <c r="C61" s="49"/>
    </row>
    <row r="62" spans="2:3">
      <c r="B62" s="49"/>
      <c r="C62" s="49"/>
    </row>
    <row r="63" spans="2:3">
      <c r="B63" s="49"/>
      <c r="C63" s="49"/>
    </row>
    <row r="64" spans="2:3">
      <c r="B64" s="49"/>
      <c r="C64" s="49"/>
    </row>
    <row r="65" spans="2:3">
      <c r="B65" s="49"/>
      <c r="C65" s="49"/>
    </row>
    <row r="66" spans="2:3">
      <c r="B66" s="49"/>
      <c r="C66" s="49"/>
    </row>
    <row r="67" spans="2:3">
      <c r="B67" s="49"/>
      <c r="C67" s="49"/>
    </row>
    <row r="68" spans="2:3">
      <c r="B68" s="49"/>
      <c r="C68" s="49"/>
    </row>
    <row r="69" spans="2:3">
      <c r="B69" s="49"/>
      <c r="C69" s="49"/>
    </row>
    <row r="70" spans="2:3">
      <c r="B70" s="49"/>
      <c r="C70" s="49"/>
    </row>
    <row r="71" spans="2:3">
      <c r="B71" s="49"/>
      <c r="C71" s="49"/>
    </row>
    <row r="72" spans="2:3">
      <c r="B72" s="49"/>
      <c r="C72" s="49"/>
    </row>
    <row r="73" spans="2:3">
      <c r="B73" s="49"/>
      <c r="C73" s="49"/>
    </row>
    <row r="74" spans="2:3">
      <c r="B74" s="49"/>
      <c r="C74" s="49"/>
    </row>
    <row r="75" spans="2:3">
      <c r="B75" s="49"/>
      <c r="C75" s="49"/>
    </row>
    <row r="76" spans="2:3">
      <c r="B76" s="49"/>
      <c r="C76" s="49"/>
    </row>
    <row r="77" spans="2:3">
      <c r="B77" s="49"/>
      <c r="C77" s="49"/>
    </row>
    <row r="78" spans="2:3">
      <c r="B78" s="49"/>
      <c r="C78" s="49"/>
    </row>
    <row r="79" spans="2:3">
      <c r="B79" s="49"/>
      <c r="C79" s="49"/>
    </row>
    <row r="80" spans="2:3">
      <c r="B80" s="49"/>
      <c r="C80" s="49"/>
    </row>
    <row r="81" spans="2:3">
      <c r="B81" s="49"/>
      <c r="C81" s="49"/>
    </row>
    <row r="82" spans="2:3">
      <c r="B82" s="49"/>
      <c r="C82" s="49"/>
    </row>
    <row r="83" spans="2:3">
      <c r="B83" s="49"/>
      <c r="C83" s="49"/>
    </row>
    <row r="84" spans="2:3">
      <c r="B84" s="49"/>
      <c r="C84" s="49"/>
    </row>
    <row r="85" spans="2:3">
      <c r="B85" s="49"/>
      <c r="C85" s="49"/>
    </row>
    <row r="86" spans="2:3">
      <c r="B86" s="49"/>
      <c r="C86" s="49"/>
    </row>
    <row r="87" spans="2:3">
      <c r="B87" s="49"/>
      <c r="C87" s="49"/>
    </row>
    <row r="88" spans="2:3">
      <c r="B88" s="49"/>
      <c r="C88" s="49"/>
    </row>
    <row r="89" spans="2:3">
      <c r="B89" s="49"/>
      <c r="C89" s="49"/>
    </row>
    <row r="90" spans="2:3">
      <c r="B90" s="49"/>
      <c r="C90" s="49"/>
    </row>
    <row r="91" spans="2:3">
      <c r="B91" s="49"/>
      <c r="C91" s="49"/>
    </row>
    <row r="92" spans="2:3">
      <c r="B92" s="49"/>
      <c r="C92" s="49"/>
    </row>
    <row r="93" spans="2:3">
      <c r="B93" s="49"/>
      <c r="C93" s="49"/>
    </row>
    <row r="94" spans="2:3">
      <c r="B94" s="49"/>
      <c r="C94" s="49"/>
    </row>
    <row r="95" spans="2:3">
      <c r="B95" s="49"/>
      <c r="C95" s="49"/>
    </row>
    <row r="96" spans="2:3">
      <c r="B96" s="49"/>
      <c r="C96" s="49"/>
    </row>
    <row r="97" spans="2:3">
      <c r="B97" s="49"/>
      <c r="C97" s="49"/>
    </row>
    <row r="98" spans="2:3">
      <c r="B98" s="49"/>
      <c r="C98" s="49"/>
    </row>
    <row r="99" spans="2:3">
      <c r="B99" s="49"/>
      <c r="C99" s="49"/>
    </row>
    <row r="100" spans="2:3">
      <c r="B100" s="49"/>
      <c r="C100" s="49"/>
    </row>
    <row r="101" spans="2:3">
      <c r="B101" s="49"/>
      <c r="C101" s="49"/>
    </row>
    <row r="102" spans="2:3">
      <c r="B102" s="49"/>
      <c r="C102" s="49"/>
    </row>
    <row r="103" spans="2:3">
      <c r="B103" s="49"/>
      <c r="C103" s="49"/>
    </row>
    <row r="104" spans="2:3">
      <c r="B104" s="49"/>
      <c r="C104" s="49"/>
    </row>
    <row r="105" spans="2:3">
      <c r="B105" s="49"/>
      <c r="C105" s="49"/>
    </row>
    <row r="106" spans="2:3">
      <c r="B106" s="49"/>
      <c r="C106" s="49"/>
    </row>
    <row r="107" spans="2:3">
      <c r="B107" s="49"/>
      <c r="C107" s="49"/>
    </row>
    <row r="108" spans="2:3">
      <c r="B108" s="49"/>
      <c r="C108" s="49"/>
    </row>
    <row r="109" spans="2:3">
      <c r="B109" s="49"/>
      <c r="C109" s="49"/>
    </row>
    <row r="110" spans="2:3">
      <c r="B110" s="49"/>
      <c r="C110" s="49"/>
    </row>
    <row r="111" spans="2:3">
      <c r="B111" s="49"/>
      <c r="C111" s="49"/>
    </row>
    <row r="112" spans="2:3">
      <c r="B112" s="49"/>
      <c r="C112" s="49"/>
    </row>
    <row r="113" spans="2:3">
      <c r="B113" s="49"/>
      <c r="C113" s="49"/>
    </row>
    <row r="114" spans="2:3">
      <c r="B114" s="49"/>
      <c r="C114" s="49"/>
    </row>
    <row r="115" spans="2:3">
      <c r="B115" s="49"/>
      <c r="C115" s="49"/>
    </row>
    <row r="116" spans="2:3">
      <c r="B116" s="49"/>
      <c r="C116" s="49"/>
    </row>
    <row r="117" spans="2:3">
      <c r="B117" s="49"/>
      <c r="C117" s="49"/>
    </row>
    <row r="118" spans="2:3">
      <c r="B118" s="49"/>
      <c r="C118" s="49"/>
    </row>
    <row r="119" spans="2:3">
      <c r="B119" s="49"/>
      <c r="C119" s="49"/>
    </row>
    <row r="120" spans="2:3">
      <c r="B120" s="49"/>
      <c r="C120" s="49"/>
    </row>
    <row r="121" spans="2:3">
      <c r="B121" s="49"/>
      <c r="C121" s="49"/>
    </row>
    <row r="122" spans="2:3">
      <c r="B122" s="49"/>
      <c r="C122" s="49"/>
    </row>
    <row r="123" spans="2:3">
      <c r="B123" s="49"/>
      <c r="C123" s="49"/>
    </row>
    <row r="124" spans="2:3">
      <c r="B124" s="49"/>
      <c r="C124" s="49"/>
    </row>
    <row r="125" spans="2:3">
      <c r="B125" s="49"/>
      <c r="C125" s="49"/>
    </row>
    <row r="126" spans="2:3">
      <c r="B126" s="49"/>
      <c r="C126" s="49"/>
    </row>
    <row r="127" spans="2:3">
      <c r="B127" s="49"/>
      <c r="C127" s="49"/>
    </row>
    <row r="128" spans="2:3">
      <c r="B128" s="49"/>
      <c r="C128" s="49"/>
    </row>
    <row r="129" spans="2:3">
      <c r="B129" s="49"/>
      <c r="C129" s="49"/>
    </row>
    <row r="130" spans="2:3">
      <c r="B130" s="49"/>
      <c r="C130" s="49"/>
    </row>
    <row r="131" spans="2:3">
      <c r="B131" s="49"/>
      <c r="C131" s="49"/>
    </row>
    <row r="132" spans="2:3">
      <c r="B132" s="49"/>
      <c r="C132" s="49"/>
    </row>
    <row r="133" spans="2:3">
      <c r="B133" s="49"/>
      <c r="C133" s="49"/>
    </row>
    <row r="134" spans="2:3">
      <c r="B134" s="49"/>
      <c r="C134" s="49"/>
    </row>
    <row r="135" spans="2:3">
      <c r="B135" s="49"/>
      <c r="C135" s="49"/>
    </row>
    <row r="136" spans="2:3">
      <c r="B136" s="49"/>
      <c r="C136" s="49"/>
    </row>
    <row r="137" spans="2:3">
      <c r="B137" s="49"/>
      <c r="C137" s="49"/>
    </row>
    <row r="138" spans="2:3">
      <c r="B138" s="49"/>
      <c r="C138" s="49"/>
    </row>
    <row r="139" spans="2:3">
      <c r="B139" s="49"/>
      <c r="C139" s="49"/>
    </row>
    <row r="140" spans="2:3">
      <c r="B140" s="49"/>
      <c r="C140" s="49"/>
    </row>
    <row r="141" spans="2:3">
      <c r="B141" s="49"/>
      <c r="C141" s="49"/>
    </row>
    <row r="142" spans="2:3">
      <c r="B142" s="49"/>
      <c r="C142" s="49"/>
    </row>
    <row r="143" spans="2:3">
      <c r="B143" s="49"/>
      <c r="C143" s="49"/>
    </row>
    <row r="144" spans="2:3">
      <c r="B144" s="49"/>
      <c r="C144" s="49"/>
    </row>
    <row r="145" spans="2:3">
      <c r="B145" s="49"/>
      <c r="C145" s="49"/>
    </row>
    <row r="146" spans="2:3">
      <c r="B146" s="49"/>
      <c r="C146" s="49"/>
    </row>
    <row r="147" spans="2:3">
      <c r="B147" s="49"/>
      <c r="C147" s="49"/>
    </row>
    <row r="148" spans="2:3">
      <c r="B148" s="49"/>
      <c r="C148" s="49"/>
    </row>
    <row r="149" spans="2:3">
      <c r="B149" s="49"/>
      <c r="C149" s="49"/>
    </row>
    <row r="150" spans="2:3">
      <c r="B150" s="49"/>
      <c r="C150" s="49"/>
    </row>
    <row r="151" spans="2:3">
      <c r="B151" s="49"/>
      <c r="C151" s="49"/>
    </row>
    <row r="152" spans="2:3">
      <c r="B152" s="49"/>
      <c r="C152" s="49"/>
    </row>
    <row r="153" spans="2:3">
      <c r="B153" s="49"/>
      <c r="C153" s="49"/>
    </row>
    <row r="154" spans="2:3">
      <c r="B154" s="49"/>
      <c r="C154" s="49"/>
    </row>
    <row r="155" spans="2:3">
      <c r="B155" s="49"/>
      <c r="C155" s="49"/>
    </row>
    <row r="156" spans="2:3">
      <c r="B156" s="49"/>
      <c r="C156" s="49"/>
    </row>
    <row r="157" spans="2:3">
      <c r="B157" s="49"/>
      <c r="C157" s="49"/>
    </row>
    <row r="158" spans="2:3">
      <c r="B158" s="49"/>
      <c r="C158" s="49"/>
    </row>
    <row r="159" spans="2:3">
      <c r="B159" s="49"/>
      <c r="C159" s="49"/>
    </row>
    <row r="160" spans="2:3">
      <c r="B160" s="49"/>
      <c r="C160" s="49"/>
    </row>
    <row r="161" spans="2:3">
      <c r="B161" s="49"/>
      <c r="C161" s="49"/>
    </row>
    <row r="162" spans="2:3">
      <c r="B162" s="49"/>
      <c r="C162" s="49"/>
    </row>
    <row r="163" spans="2:3">
      <c r="B163" s="49"/>
      <c r="C163" s="49"/>
    </row>
    <row r="164" spans="2:3">
      <c r="B164" s="49"/>
      <c r="C164" s="49"/>
    </row>
    <row r="165" spans="2:3">
      <c r="B165" s="49"/>
      <c r="C165" s="49"/>
    </row>
    <row r="166" spans="2:3">
      <c r="B166" s="49"/>
      <c r="C166" s="49"/>
    </row>
    <row r="167" spans="2:3">
      <c r="B167" s="49"/>
      <c r="C167" s="49"/>
    </row>
    <row r="168" spans="2:3">
      <c r="B168" s="49"/>
      <c r="C168" s="49"/>
    </row>
    <row r="169" spans="2:3">
      <c r="B169" s="49"/>
      <c r="C169" s="49"/>
    </row>
    <row r="170" spans="2:3">
      <c r="B170" s="49"/>
      <c r="C170" s="49"/>
    </row>
    <row r="171" spans="2:3">
      <c r="B171" s="49"/>
      <c r="C171" s="49"/>
    </row>
    <row r="172" spans="2:3">
      <c r="B172" s="49"/>
      <c r="C172" s="49"/>
    </row>
    <row r="173" spans="2:3">
      <c r="B173" s="49"/>
      <c r="C173" s="49"/>
    </row>
    <row r="174" spans="2:3">
      <c r="B174" s="49"/>
      <c r="C174" s="49"/>
    </row>
    <row r="175" spans="2:3">
      <c r="B175" s="49"/>
      <c r="C175" s="49"/>
    </row>
    <row r="176" spans="2:3">
      <c r="B176" s="49"/>
      <c r="C176" s="49"/>
    </row>
    <row r="177" spans="2:3">
      <c r="B177" s="49"/>
      <c r="C177" s="49"/>
    </row>
    <row r="178" spans="2:3">
      <c r="B178" s="49"/>
      <c r="C178" s="49"/>
    </row>
    <row r="179" spans="2:3">
      <c r="B179" s="49"/>
      <c r="C179" s="49"/>
    </row>
    <row r="180" spans="2:3">
      <c r="B180" s="49"/>
      <c r="C180" s="49"/>
    </row>
    <row r="181" spans="2:3">
      <c r="B181" s="49"/>
      <c r="C181" s="49"/>
    </row>
    <row r="182" spans="2:3">
      <c r="B182" s="49"/>
      <c r="C182" s="49"/>
    </row>
    <row r="183" spans="2:3">
      <c r="B183" s="49"/>
      <c r="C183" s="49"/>
    </row>
    <row r="184" spans="2:3">
      <c r="B184" s="49"/>
      <c r="C184" s="49"/>
    </row>
    <row r="185" spans="2:3">
      <c r="B185" s="49"/>
      <c r="C185" s="49"/>
    </row>
    <row r="186" spans="2:3">
      <c r="B186" s="49"/>
      <c r="C186" s="49"/>
    </row>
    <row r="187" spans="2:3">
      <c r="B187" s="49"/>
      <c r="C187" s="49"/>
    </row>
    <row r="188" spans="2:3">
      <c r="B188" s="49"/>
      <c r="C188" s="49"/>
    </row>
    <row r="189" spans="2:3">
      <c r="B189" s="49"/>
      <c r="C189" s="49"/>
    </row>
    <row r="190" spans="2:3">
      <c r="B190" s="49"/>
      <c r="C190" s="49"/>
    </row>
    <row r="191" spans="2:3">
      <c r="B191" s="49"/>
      <c r="C191" s="49"/>
    </row>
    <row r="192" spans="2:3">
      <c r="B192" s="49"/>
      <c r="C192" s="49"/>
    </row>
    <row r="193" spans="2:3">
      <c r="B193" s="49"/>
      <c r="C193" s="49"/>
    </row>
    <row r="194" spans="2:3">
      <c r="B194" s="49"/>
      <c r="C194" s="49"/>
    </row>
    <row r="195" spans="2:3">
      <c r="B195" s="49"/>
      <c r="C195" s="49"/>
    </row>
    <row r="196" spans="2:3">
      <c r="B196" s="49"/>
      <c r="C196" s="49"/>
    </row>
    <row r="197" spans="2:3">
      <c r="B197" s="49"/>
      <c r="C197" s="49"/>
    </row>
    <row r="198" spans="2:3">
      <c r="B198" s="49"/>
      <c r="C198" s="49"/>
    </row>
    <row r="199" spans="2:3">
      <c r="B199" s="49"/>
      <c r="C199" s="49"/>
    </row>
    <row r="200" spans="2:3">
      <c r="B200" s="49"/>
      <c r="C200" s="49"/>
    </row>
    <row r="201" spans="2:3">
      <c r="B201" s="49"/>
      <c r="C201" s="49"/>
    </row>
    <row r="202" spans="2:3">
      <c r="B202" s="49"/>
      <c r="C202" s="49"/>
    </row>
    <row r="203" spans="2:3">
      <c r="B203" s="49"/>
      <c r="C203" s="49"/>
    </row>
    <row r="204" spans="2:3">
      <c r="B204" s="49"/>
      <c r="C204" s="49"/>
    </row>
    <row r="205" spans="2:3">
      <c r="B205" s="49"/>
      <c r="C205" s="49"/>
    </row>
    <row r="206" spans="2:3">
      <c r="B206" s="49"/>
      <c r="C206" s="49"/>
    </row>
    <row r="207" spans="2:3">
      <c r="B207" s="49"/>
      <c r="C207" s="49"/>
    </row>
    <row r="208" spans="2:3">
      <c r="B208" s="49"/>
      <c r="C208" s="49"/>
    </row>
    <row r="209" spans="2:3">
      <c r="B209" s="49"/>
      <c r="C209" s="49"/>
    </row>
    <row r="210" spans="2:3">
      <c r="B210" s="49"/>
      <c r="C210" s="49"/>
    </row>
    <row r="211" spans="2:3">
      <c r="B211" s="49"/>
      <c r="C211" s="49"/>
    </row>
    <row r="212" spans="2:3">
      <c r="B212" s="49"/>
      <c r="C212" s="49"/>
    </row>
    <row r="213" spans="2:3">
      <c r="B213" s="49"/>
      <c r="C213" s="49"/>
    </row>
    <row r="214" spans="2:3">
      <c r="B214" s="49"/>
      <c r="C214" s="49"/>
    </row>
    <row r="215" spans="2:3">
      <c r="B215" s="49"/>
      <c r="C215" s="49"/>
    </row>
    <row r="216" spans="2:3">
      <c r="B216" s="49"/>
      <c r="C216" s="49"/>
    </row>
    <row r="217" spans="2:3">
      <c r="B217" s="49"/>
      <c r="C217" s="49"/>
    </row>
    <row r="218" spans="2:3">
      <c r="B218" s="49"/>
      <c r="C218" s="49"/>
    </row>
    <row r="219" spans="2:3">
      <c r="B219" s="49"/>
      <c r="C219" s="49"/>
    </row>
    <row r="220" spans="2:3">
      <c r="B220" s="49"/>
      <c r="C220" s="49"/>
    </row>
    <row r="221" spans="2:3">
      <c r="B221" s="49"/>
      <c r="C221" s="49"/>
    </row>
    <row r="222" spans="2:3">
      <c r="B222" s="49"/>
      <c r="C222" s="49"/>
    </row>
    <row r="223" spans="2:3">
      <c r="B223" s="49"/>
      <c r="C223" s="49"/>
    </row>
    <row r="224" spans="2:3">
      <c r="B224" s="49"/>
      <c r="C224" s="49"/>
    </row>
    <row r="225" spans="2:3">
      <c r="B225" s="49"/>
      <c r="C225" s="49"/>
    </row>
    <row r="226" spans="2:3">
      <c r="B226" s="49"/>
      <c r="C226" s="49"/>
    </row>
    <row r="227" spans="2:3">
      <c r="B227" s="49"/>
      <c r="C227" s="49"/>
    </row>
    <row r="228" spans="2:3">
      <c r="B228" s="49"/>
      <c r="C228" s="49"/>
    </row>
    <row r="229" spans="2:3">
      <c r="B229" s="49"/>
      <c r="C229" s="49"/>
    </row>
    <row r="230" spans="2:3">
      <c r="B230" s="49"/>
      <c r="C230" s="49"/>
    </row>
    <row r="231" spans="2:3">
      <c r="B231" s="49"/>
      <c r="C231" s="49"/>
    </row>
    <row r="232" spans="2:3">
      <c r="B232" s="49"/>
      <c r="C232" s="49"/>
    </row>
    <row r="233" spans="2:3">
      <c r="B233" s="49"/>
      <c r="C233" s="49"/>
    </row>
    <row r="234" spans="2:3">
      <c r="B234" s="49"/>
      <c r="C234" s="49"/>
    </row>
    <row r="235" spans="2:3">
      <c r="B235" s="49"/>
      <c r="C235" s="49"/>
    </row>
    <row r="236" spans="2:3">
      <c r="B236" s="49"/>
      <c r="C236" s="49"/>
    </row>
    <row r="237" spans="2:3">
      <c r="B237" s="49"/>
      <c r="C237" s="49"/>
    </row>
    <row r="238" spans="2:3">
      <c r="B238" s="49"/>
      <c r="C238" s="49"/>
    </row>
    <row r="239" spans="2:3">
      <c r="B239" s="49"/>
      <c r="C239" s="49"/>
    </row>
    <row r="240" spans="2:3">
      <c r="B240" s="49"/>
      <c r="C240" s="49"/>
    </row>
    <row r="241" spans="2:3">
      <c r="B241" s="49"/>
      <c r="C241" s="49"/>
    </row>
    <row r="242" spans="2:3">
      <c r="B242" s="49"/>
      <c r="C242" s="49"/>
    </row>
    <row r="243" spans="2:3">
      <c r="B243" s="49"/>
      <c r="C243" s="49"/>
    </row>
    <row r="244" spans="2:3">
      <c r="B244" s="49"/>
      <c r="C244" s="49"/>
    </row>
    <row r="245" spans="2:3">
      <c r="B245" s="49"/>
      <c r="C245" s="49"/>
    </row>
    <row r="246" spans="2:3">
      <c r="B246" s="49"/>
      <c r="C246" s="49"/>
    </row>
    <row r="247" spans="2:3">
      <c r="B247" s="49"/>
      <c r="C247" s="49"/>
    </row>
    <row r="248" spans="2:3">
      <c r="B248" s="49"/>
      <c r="C248" s="49"/>
    </row>
    <row r="249" spans="2:3">
      <c r="B249" s="49"/>
      <c r="C249" s="49"/>
    </row>
    <row r="250" spans="2:3">
      <c r="B250" s="49"/>
      <c r="C250" s="49"/>
    </row>
    <row r="251" spans="2:3">
      <c r="B251" s="49"/>
      <c r="C251" s="49"/>
    </row>
    <row r="252" spans="2:3">
      <c r="B252" s="49"/>
      <c r="C252" s="49"/>
    </row>
    <row r="253" spans="2:3">
      <c r="B253" s="49"/>
      <c r="C253" s="49"/>
    </row>
    <row r="254" spans="2:3">
      <c r="B254" s="49"/>
      <c r="C254" s="49"/>
    </row>
    <row r="255" spans="2:3">
      <c r="B255" s="49"/>
      <c r="C255" s="49"/>
    </row>
    <row r="256" spans="2:3">
      <c r="B256" s="49"/>
      <c r="C256" s="49"/>
    </row>
    <row r="257" spans="2:3">
      <c r="B257" s="49"/>
      <c r="C257" s="49"/>
    </row>
    <row r="258" spans="2:3">
      <c r="B258" s="49"/>
      <c r="C258" s="49"/>
    </row>
    <row r="259" spans="2:3">
      <c r="B259" s="49"/>
      <c r="C259" s="49"/>
    </row>
    <row r="260" spans="2:3">
      <c r="B260" s="49"/>
      <c r="C260" s="49"/>
    </row>
    <row r="261" spans="2:3">
      <c r="B261" s="49"/>
      <c r="C261" s="49"/>
    </row>
    <row r="262" spans="2:3">
      <c r="B262" s="49"/>
      <c r="C262" s="49"/>
    </row>
    <row r="263" spans="2:3">
      <c r="B263" s="49"/>
      <c r="C263" s="49"/>
    </row>
    <row r="264" spans="2:3">
      <c r="B264" s="49"/>
      <c r="C264" s="49"/>
    </row>
    <row r="265" spans="2:3">
      <c r="B265" s="49"/>
      <c r="C265" s="49"/>
    </row>
    <row r="266" spans="2:3">
      <c r="B266" s="49"/>
      <c r="C266" s="49"/>
    </row>
    <row r="267" spans="2:3">
      <c r="B267" s="49"/>
      <c r="C267" s="49"/>
    </row>
    <row r="268" spans="2:3">
      <c r="B268" s="49"/>
      <c r="C268" s="49"/>
    </row>
    <row r="269" spans="2:3">
      <c r="B269" s="49"/>
      <c r="C269" s="49"/>
    </row>
    <row r="270" spans="2:3">
      <c r="B270" s="49"/>
      <c r="C270" s="49"/>
    </row>
    <row r="271" spans="2:3">
      <c r="B271" s="49"/>
      <c r="C271" s="49"/>
    </row>
    <row r="272" spans="2:3">
      <c r="B272" s="49"/>
      <c r="C272" s="49"/>
    </row>
    <row r="273" spans="2:3">
      <c r="B273" s="49"/>
      <c r="C273" s="49"/>
    </row>
    <row r="274" spans="2:3">
      <c r="B274" s="49"/>
      <c r="C274" s="49"/>
    </row>
    <row r="275" spans="2:3">
      <c r="B275" s="49"/>
      <c r="C275" s="49"/>
    </row>
    <row r="276" spans="2:3">
      <c r="B276" s="49"/>
      <c r="C276" s="49"/>
    </row>
    <row r="277" spans="2:3">
      <c r="B277" s="49"/>
      <c r="C277" s="49"/>
    </row>
    <row r="278" spans="2:3">
      <c r="B278" s="49"/>
      <c r="C278" s="49"/>
    </row>
    <row r="279" spans="2:3">
      <c r="B279" s="49"/>
      <c r="C279" s="49"/>
    </row>
    <row r="280" spans="2:3">
      <c r="B280" s="49"/>
      <c r="C280" s="49"/>
    </row>
    <row r="281" spans="2:3">
      <c r="B281" s="49"/>
      <c r="C281" s="49"/>
    </row>
    <row r="282" spans="2:3">
      <c r="B282" s="49"/>
      <c r="C282" s="49"/>
    </row>
    <row r="283" spans="2:3">
      <c r="B283" s="49"/>
      <c r="C283" s="49"/>
    </row>
    <row r="284" spans="2:3">
      <c r="B284" s="49"/>
      <c r="C284" s="49"/>
    </row>
    <row r="285" spans="2:3">
      <c r="B285" s="49"/>
      <c r="C285" s="49"/>
    </row>
    <row r="286" spans="2:3">
      <c r="B286" s="49"/>
      <c r="C286" s="49"/>
    </row>
    <row r="287" spans="2:3">
      <c r="B287" s="49"/>
      <c r="C287" s="49"/>
    </row>
    <row r="288" spans="2:3">
      <c r="B288" s="49"/>
      <c r="C288" s="49"/>
    </row>
    <row r="289" spans="2:3">
      <c r="B289" s="49"/>
      <c r="C289" s="49"/>
    </row>
    <row r="290" spans="2:3">
      <c r="B290" s="49"/>
      <c r="C290" s="49"/>
    </row>
    <row r="291" spans="2:3">
      <c r="B291" s="49"/>
      <c r="C291" s="49"/>
    </row>
    <row r="292" spans="2:3">
      <c r="B292" s="49"/>
      <c r="C292" s="49"/>
    </row>
    <row r="293" spans="2:3">
      <c r="B293" s="49"/>
      <c r="C293" s="49"/>
    </row>
    <row r="294" spans="2:3">
      <c r="B294" s="49"/>
      <c r="C294" s="49"/>
    </row>
    <row r="295" spans="2:3">
      <c r="B295" s="49"/>
      <c r="C295" s="49"/>
    </row>
    <row r="296" spans="2:3">
      <c r="B296" s="49"/>
      <c r="C296" s="49"/>
    </row>
    <row r="297" spans="2:3">
      <c r="B297" s="49"/>
      <c r="C297" s="49"/>
    </row>
    <row r="298" spans="2:3">
      <c r="B298" s="49"/>
      <c r="C298" s="49"/>
    </row>
    <row r="299" spans="2:3">
      <c r="B299" s="49"/>
      <c r="C299" s="49"/>
    </row>
    <row r="300" spans="2:3">
      <c r="B300" s="49"/>
      <c r="C300" s="49"/>
    </row>
    <row r="301" spans="2:3">
      <c r="B301" s="49"/>
      <c r="C301" s="49"/>
    </row>
    <row r="302" spans="2:3">
      <c r="B302" s="49"/>
      <c r="C302" s="49"/>
    </row>
    <row r="303" spans="2:3">
      <c r="B303" s="49"/>
      <c r="C303" s="49"/>
    </row>
    <row r="304" spans="2:3">
      <c r="B304" s="49"/>
      <c r="C304" s="49"/>
    </row>
    <row r="305" spans="2:3">
      <c r="B305" s="49"/>
      <c r="C305" s="49"/>
    </row>
    <row r="306" spans="2:3">
      <c r="B306" s="49"/>
      <c r="C306" s="49"/>
    </row>
    <row r="307" spans="2:3">
      <c r="B307" s="49"/>
      <c r="C307" s="49"/>
    </row>
    <row r="308" spans="2:3">
      <c r="B308" s="49"/>
      <c r="C308" s="49"/>
    </row>
    <row r="309" spans="2:3">
      <c r="B309" s="49"/>
      <c r="C309" s="49"/>
    </row>
    <row r="310" spans="2:3">
      <c r="B310" s="49"/>
      <c r="C310" s="49"/>
    </row>
    <row r="311" spans="2:3">
      <c r="B311" s="49"/>
      <c r="C311" s="49"/>
    </row>
    <row r="312" spans="2:3">
      <c r="B312" s="49"/>
      <c r="C312" s="49"/>
    </row>
    <row r="313" spans="2:3">
      <c r="B313" s="49"/>
      <c r="C313" s="49"/>
    </row>
    <row r="314" spans="2:3">
      <c r="B314" s="49"/>
      <c r="C314" s="49"/>
    </row>
    <row r="315" spans="2:3">
      <c r="B315" s="49"/>
      <c r="C315" s="49"/>
    </row>
    <row r="316" spans="2:3">
      <c r="B316" s="49"/>
      <c r="C316" s="49"/>
    </row>
    <row r="317" spans="2:3">
      <c r="B317" s="49"/>
      <c r="C317" s="49"/>
    </row>
    <row r="318" spans="2:3">
      <c r="B318" s="49"/>
      <c r="C318" s="49"/>
    </row>
    <row r="319" spans="2:3">
      <c r="B319" s="49"/>
      <c r="C319" s="49"/>
    </row>
    <row r="320" spans="2:3">
      <c r="B320" s="49"/>
      <c r="C320" s="49"/>
    </row>
    <row r="321" spans="2:3">
      <c r="B321" s="49"/>
      <c r="C321" s="49"/>
    </row>
    <row r="322" spans="2:3">
      <c r="B322" s="49"/>
      <c r="C322" s="49"/>
    </row>
    <row r="323" spans="2:3">
      <c r="B323" s="49"/>
      <c r="C323" s="49"/>
    </row>
    <row r="324" spans="2:3">
      <c r="B324" s="49"/>
      <c r="C324" s="49"/>
    </row>
    <row r="325" spans="2:3">
      <c r="B325" s="49"/>
      <c r="C325" s="49"/>
    </row>
    <row r="326" spans="2:3">
      <c r="B326" s="49"/>
      <c r="C326" s="49"/>
    </row>
    <row r="327" spans="2:3">
      <c r="B327" s="49"/>
      <c r="C327" s="49"/>
    </row>
    <row r="328" spans="2:3">
      <c r="B328" s="49"/>
      <c r="C328" s="49"/>
    </row>
    <row r="329" spans="2:3">
      <c r="B329" s="49"/>
      <c r="C329" s="49"/>
    </row>
    <row r="330" spans="2:3">
      <c r="B330" s="49"/>
      <c r="C330" s="49"/>
    </row>
    <row r="331" spans="2:3">
      <c r="B331" s="49"/>
      <c r="C331" s="49"/>
    </row>
    <row r="332" spans="2:3">
      <c r="B332" s="49"/>
      <c r="C332" s="49"/>
    </row>
    <row r="333" spans="2:3">
      <c r="B333" s="49"/>
      <c r="C333" s="49"/>
    </row>
    <row r="334" spans="2:3">
      <c r="B334" s="49"/>
      <c r="C334" s="49"/>
    </row>
    <row r="335" spans="2:3">
      <c r="B335" s="49"/>
      <c r="C335" s="49"/>
    </row>
    <row r="336" spans="2:3">
      <c r="B336" s="49"/>
      <c r="C336" s="49"/>
    </row>
    <row r="337" spans="2:3">
      <c r="B337" s="49"/>
      <c r="C337" s="49"/>
    </row>
    <row r="338" spans="2:3">
      <c r="B338" s="49"/>
      <c r="C338" s="49"/>
    </row>
    <row r="339" spans="2:3">
      <c r="B339" s="49"/>
      <c r="C339" s="49"/>
    </row>
    <row r="340" spans="2:3">
      <c r="B340" s="49"/>
      <c r="C340" s="49"/>
    </row>
    <row r="341" spans="2:3">
      <c r="B341" s="49"/>
      <c r="C341" s="49"/>
    </row>
    <row r="342" spans="2:3">
      <c r="B342" s="49"/>
      <c r="C342" s="49"/>
    </row>
    <row r="343" spans="2:3">
      <c r="B343" s="49"/>
      <c r="C343" s="49"/>
    </row>
    <row r="344" spans="2:3">
      <c r="B344" s="49"/>
      <c r="C344" s="49"/>
    </row>
    <row r="345" spans="2:3">
      <c r="B345" s="49"/>
      <c r="C345" s="49"/>
    </row>
    <row r="346" spans="2:3">
      <c r="B346" s="49"/>
      <c r="C346" s="49"/>
    </row>
    <row r="347" spans="2:3">
      <c r="B347" s="49"/>
      <c r="C347" s="49"/>
    </row>
    <row r="348" spans="2:3">
      <c r="B348" s="49"/>
      <c r="C348" s="49"/>
    </row>
    <row r="349" spans="2:3">
      <c r="B349" s="49"/>
      <c r="C349" s="49"/>
    </row>
    <row r="350" spans="2:3">
      <c r="B350" s="49"/>
      <c r="C350" s="49"/>
    </row>
    <row r="351" spans="2:3">
      <c r="B351" s="49"/>
      <c r="C351" s="49"/>
    </row>
    <row r="352" spans="2:3">
      <c r="B352" s="49"/>
      <c r="C352" s="49"/>
    </row>
    <row r="353" spans="2:3">
      <c r="B353" s="49"/>
      <c r="C353" s="49"/>
    </row>
    <row r="354" spans="2:3">
      <c r="B354" s="49"/>
      <c r="C354" s="49"/>
    </row>
    <row r="355" spans="2:3">
      <c r="B355" s="49"/>
      <c r="C355" s="49"/>
    </row>
    <row r="356" spans="2:3">
      <c r="B356" s="49"/>
      <c r="C356" s="49"/>
    </row>
    <row r="357" spans="2:3">
      <c r="B357" s="49"/>
      <c r="C357" s="49"/>
    </row>
    <row r="358" spans="2:3">
      <c r="B358" s="49"/>
      <c r="C358" s="49"/>
    </row>
    <row r="359" spans="2:3">
      <c r="B359" s="49"/>
      <c r="C359" s="49"/>
    </row>
    <row r="360" spans="2:3">
      <c r="B360" s="49"/>
      <c r="C360" s="49"/>
    </row>
    <row r="361" spans="2:3">
      <c r="B361" s="49"/>
      <c r="C361" s="49"/>
    </row>
    <row r="362" spans="2:3">
      <c r="B362" s="49"/>
      <c r="C362" s="49"/>
    </row>
    <row r="363" spans="2:3">
      <c r="B363" s="49"/>
      <c r="C363" s="49"/>
    </row>
    <row r="364" spans="2:3">
      <c r="B364" s="49"/>
      <c r="C364" s="49"/>
    </row>
    <row r="365" spans="2:3">
      <c r="B365" s="49"/>
      <c r="C365" s="49"/>
    </row>
    <row r="366" spans="2:3">
      <c r="B366" s="49"/>
      <c r="C366" s="49"/>
    </row>
    <row r="367" spans="2:3">
      <c r="B367" s="49"/>
      <c r="C367" s="49"/>
    </row>
    <row r="368" spans="2:3">
      <c r="B368" s="49"/>
      <c r="C368" s="49"/>
    </row>
    <row r="369" spans="2:3">
      <c r="B369" s="49"/>
      <c r="C369" s="49"/>
    </row>
    <row r="370" spans="2:3">
      <c r="B370" s="49"/>
      <c r="C370" s="49"/>
    </row>
    <row r="371" spans="2:3">
      <c r="B371" s="49"/>
      <c r="C371" s="49"/>
    </row>
    <row r="372" spans="2:3">
      <c r="B372" s="49"/>
      <c r="C372" s="49"/>
    </row>
    <row r="373" spans="2:3">
      <c r="B373" s="49"/>
      <c r="C373" s="49"/>
    </row>
    <row r="374" spans="2:3">
      <c r="B374" s="49"/>
      <c r="C374" s="49"/>
    </row>
    <row r="375" spans="2:3">
      <c r="B375" s="49"/>
      <c r="C375" s="49"/>
    </row>
    <row r="376" spans="2:3">
      <c r="B376" s="49"/>
      <c r="C376" s="49"/>
    </row>
    <row r="377" spans="2:3">
      <c r="B377" s="49"/>
      <c r="C377" s="49"/>
    </row>
    <row r="378" spans="2:3">
      <c r="B378" s="49"/>
      <c r="C378" s="49"/>
    </row>
    <row r="379" spans="2:3">
      <c r="B379" s="49"/>
      <c r="C379" s="49"/>
    </row>
    <row r="380" spans="2:3">
      <c r="B380" s="49"/>
      <c r="C380" s="49"/>
    </row>
    <row r="381" spans="2:3">
      <c r="B381" s="49"/>
      <c r="C381" s="49"/>
    </row>
    <row r="382" spans="2:3">
      <c r="B382" s="49"/>
      <c r="C382" s="49"/>
    </row>
    <row r="383" spans="2:3">
      <c r="B383" s="49"/>
      <c r="C383" s="49"/>
    </row>
    <row r="384" spans="2:3">
      <c r="B384" s="49"/>
      <c r="C384" s="49"/>
    </row>
    <row r="385" spans="2:3">
      <c r="B385" s="49"/>
      <c r="C385" s="49"/>
    </row>
    <row r="386" spans="2:3">
      <c r="B386" s="49"/>
      <c r="C386" s="49"/>
    </row>
    <row r="387" spans="2:3">
      <c r="B387" s="49"/>
      <c r="C387" s="49"/>
    </row>
    <row r="388" spans="2:3">
      <c r="B388" s="49"/>
      <c r="C388" s="49"/>
    </row>
    <row r="389" spans="2:3">
      <c r="B389" s="49"/>
      <c r="C389" s="49"/>
    </row>
    <row r="390" spans="2:3">
      <c r="B390" s="49"/>
      <c r="C390" s="49"/>
    </row>
    <row r="391" spans="2:3">
      <c r="B391" s="49"/>
      <c r="C391" s="49"/>
    </row>
    <row r="392" spans="2:3">
      <c r="B392" s="49"/>
      <c r="C392" s="49"/>
    </row>
    <row r="393" spans="2:3">
      <c r="B393" s="49"/>
      <c r="C393" s="49"/>
    </row>
    <row r="394" spans="2:3">
      <c r="B394" s="49"/>
      <c r="C394" s="49"/>
    </row>
    <row r="395" spans="2:3">
      <c r="B395" s="49"/>
      <c r="C395" s="49"/>
    </row>
    <row r="396" spans="2:3">
      <c r="B396" s="49"/>
      <c r="C396" s="49"/>
    </row>
    <row r="397" spans="2:3">
      <c r="B397" s="49"/>
      <c r="C397" s="49"/>
    </row>
    <row r="398" spans="2:3">
      <c r="B398" s="49"/>
      <c r="C398" s="49"/>
    </row>
    <row r="399" spans="2:3">
      <c r="B399" s="49"/>
      <c r="C399" s="49"/>
    </row>
    <row r="400" spans="2:3">
      <c r="B400" s="49"/>
      <c r="C400" s="49"/>
    </row>
    <row r="401" spans="2:3">
      <c r="B401" s="49"/>
      <c r="C401" s="49"/>
    </row>
    <row r="402" spans="2:3">
      <c r="B402" s="49"/>
      <c r="C402" s="49"/>
    </row>
    <row r="403" spans="2:3">
      <c r="B403" s="49"/>
      <c r="C403" s="49"/>
    </row>
    <row r="404" spans="2:3">
      <c r="B404" s="49"/>
      <c r="C404" s="49"/>
    </row>
    <row r="405" spans="2:3">
      <c r="B405" s="49"/>
      <c r="C405" s="49"/>
    </row>
    <row r="406" spans="2:3">
      <c r="B406" s="49"/>
      <c r="C406" s="49"/>
    </row>
    <row r="407" spans="2:3">
      <c r="B407" s="49"/>
      <c r="C407" s="49"/>
    </row>
    <row r="408" spans="2:3">
      <c r="B408" s="49"/>
      <c r="C408" s="49"/>
    </row>
    <row r="409" spans="2:3">
      <c r="B409" s="49"/>
      <c r="C409" s="49"/>
    </row>
    <row r="410" spans="2:3">
      <c r="B410" s="49"/>
      <c r="C410" s="49"/>
    </row>
    <row r="411" spans="2:3">
      <c r="B411" s="49"/>
      <c r="C411" s="49"/>
    </row>
    <row r="412" spans="2:3">
      <c r="B412" s="49"/>
      <c r="C412" s="49"/>
    </row>
    <row r="413" spans="2:3">
      <c r="B413" s="49"/>
      <c r="C413" s="49"/>
    </row>
    <row r="414" spans="2:3">
      <c r="B414" s="49"/>
      <c r="C414" s="49"/>
    </row>
    <row r="415" spans="2:3">
      <c r="B415" s="49"/>
      <c r="C415" s="49"/>
    </row>
    <row r="416" spans="2:3">
      <c r="B416" s="49"/>
      <c r="C416" s="49"/>
    </row>
    <row r="417" spans="2:3">
      <c r="B417" s="49"/>
      <c r="C417" s="49"/>
    </row>
    <row r="418" spans="2:3">
      <c r="B418" s="49"/>
      <c r="C418" s="49"/>
    </row>
    <row r="419" spans="2:3">
      <c r="B419" s="49"/>
      <c r="C419" s="49"/>
    </row>
    <row r="420" spans="2:3">
      <c r="B420" s="49"/>
      <c r="C420" s="49"/>
    </row>
    <row r="421" spans="2:3">
      <c r="B421" s="49"/>
      <c r="C421" s="49"/>
    </row>
    <row r="422" spans="2:3">
      <c r="B422" s="49"/>
      <c r="C422" s="49"/>
    </row>
    <row r="423" spans="2:3">
      <c r="B423" s="49"/>
      <c r="C423" s="49"/>
    </row>
    <row r="424" spans="2:3">
      <c r="B424" s="49"/>
      <c r="C424" s="49"/>
    </row>
    <row r="425" spans="2:3">
      <c r="B425" s="49"/>
      <c r="C425" s="49"/>
    </row>
    <row r="426" spans="2:3">
      <c r="B426" s="49"/>
      <c r="C426" s="49"/>
    </row>
    <row r="427" spans="2:3">
      <c r="B427" s="49"/>
      <c r="C427" s="49"/>
    </row>
    <row r="428" spans="2:3">
      <c r="B428" s="49"/>
      <c r="C428" s="49"/>
    </row>
    <row r="429" spans="2:3">
      <c r="B429" s="49"/>
      <c r="C429" s="49"/>
    </row>
    <row r="430" spans="2:3">
      <c r="B430" s="49"/>
      <c r="C430" s="49"/>
    </row>
    <row r="431" spans="2:3">
      <c r="B431" s="49"/>
      <c r="C431" s="49"/>
    </row>
    <row r="432" spans="2:3">
      <c r="B432" s="49"/>
      <c r="C432" s="49"/>
    </row>
    <row r="433" spans="2:3">
      <c r="B433" s="49"/>
      <c r="C433" s="49"/>
    </row>
    <row r="434" spans="2:3">
      <c r="B434" s="49"/>
      <c r="C434" s="49"/>
    </row>
    <row r="435" spans="2:3">
      <c r="B435" s="49"/>
      <c r="C435" s="49"/>
    </row>
    <row r="436" spans="2:3">
      <c r="B436" s="49"/>
      <c r="C436" s="49"/>
    </row>
    <row r="437" spans="2:3">
      <c r="B437" s="49"/>
      <c r="C437" s="49"/>
    </row>
    <row r="438" spans="2:3">
      <c r="B438" s="49"/>
      <c r="C438" s="49"/>
    </row>
    <row r="439" spans="2:3">
      <c r="B439" s="49"/>
      <c r="C439" s="49"/>
    </row>
    <row r="440" spans="2:3">
      <c r="B440" s="49"/>
      <c r="C440" s="49"/>
    </row>
    <row r="441" spans="2:3">
      <c r="B441" s="49"/>
      <c r="C441" s="49"/>
    </row>
    <row r="442" spans="2:3">
      <c r="B442" s="49"/>
      <c r="C442" s="49"/>
    </row>
    <row r="443" spans="2:3">
      <c r="B443" s="49"/>
      <c r="C443" s="49"/>
    </row>
    <row r="444" spans="2:3">
      <c r="B444" s="49"/>
      <c r="C444" s="49"/>
    </row>
    <row r="445" spans="2:3">
      <c r="B445" s="49"/>
      <c r="C445" s="49"/>
    </row>
    <row r="446" spans="2:3">
      <c r="B446" s="49"/>
      <c r="C446" s="49"/>
    </row>
    <row r="447" spans="2:3">
      <c r="B447" s="49"/>
      <c r="C447" s="49"/>
    </row>
    <row r="448" spans="2:3">
      <c r="B448" s="49"/>
      <c r="C448" s="49"/>
    </row>
    <row r="449" spans="2:3">
      <c r="B449" s="49"/>
      <c r="C449" s="49"/>
    </row>
    <row r="450" spans="2:3">
      <c r="B450" s="49"/>
      <c r="C450" s="49"/>
    </row>
    <row r="451" spans="2:3">
      <c r="B451" s="49"/>
      <c r="C451" s="49"/>
    </row>
    <row r="452" spans="2:3">
      <c r="B452" s="49"/>
      <c r="C452" s="49"/>
    </row>
    <row r="453" spans="2:3">
      <c r="B453" s="49"/>
      <c r="C453" s="49"/>
    </row>
    <row r="454" spans="2:3">
      <c r="B454" s="49"/>
      <c r="C454" s="49"/>
    </row>
    <row r="455" spans="2:3">
      <c r="B455" s="49"/>
      <c r="C455" s="49"/>
    </row>
    <row r="456" spans="2:3">
      <c r="B456" s="49"/>
      <c r="C456" s="49"/>
    </row>
    <row r="457" spans="2:3">
      <c r="B457" s="49"/>
      <c r="C457" s="49"/>
    </row>
    <row r="458" spans="2:3">
      <c r="B458" s="49"/>
      <c r="C458" s="49"/>
    </row>
    <row r="459" spans="2:3">
      <c r="B459" s="49"/>
      <c r="C459" s="49"/>
    </row>
    <row r="460" spans="2:3">
      <c r="B460" s="49"/>
      <c r="C460" s="49"/>
    </row>
    <row r="461" spans="2:3">
      <c r="B461" s="49"/>
      <c r="C461" s="49"/>
    </row>
    <row r="462" spans="2:3">
      <c r="B462" s="49"/>
      <c r="C462" s="49"/>
    </row>
    <row r="463" spans="2:3">
      <c r="B463" s="49"/>
      <c r="C463" s="49"/>
    </row>
    <row r="464" spans="2:3">
      <c r="B464" s="49"/>
      <c r="C464" s="49"/>
    </row>
    <row r="465" spans="2:3">
      <c r="B465" s="49"/>
      <c r="C465" s="49"/>
    </row>
    <row r="466" spans="2:3">
      <c r="B466" s="49"/>
      <c r="C466" s="49"/>
    </row>
    <row r="467" spans="2:3">
      <c r="B467" s="49"/>
      <c r="C467" s="49"/>
    </row>
    <row r="468" spans="2:3">
      <c r="B468" s="49"/>
      <c r="C468" s="49"/>
    </row>
    <row r="469" spans="2:3">
      <c r="B469" s="49"/>
      <c r="C469" s="49"/>
    </row>
    <row r="470" spans="2:3">
      <c r="B470" s="49"/>
      <c r="C470" s="49"/>
    </row>
    <row r="471" spans="2:3">
      <c r="B471" s="49"/>
      <c r="C471" s="49"/>
    </row>
    <row r="472" spans="2:3">
      <c r="B472" s="49"/>
      <c r="C472" s="49"/>
    </row>
    <row r="473" spans="2:3">
      <c r="B473" s="49"/>
      <c r="C473" s="49"/>
    </row>
    <row r="474" spans="2:3">
      <c r="B474" s="49"/>
      <c r="C474" s="49"/>
    </row>
    <row r="475" spans="2:3">
      <c r="B475" s="49"/>
      <c r="C475" s="49"/>
    </row>
    <row r="476" spans="2:3">
      <c r="B476" s="49"/>
      <c r="C476" s="49"/>
    </row>
    <row r="477" spans="2:3">
      <c r="B477" s="49"/>
      <c r="C477" s="49"/>
    </row>
    <row r="478" spans="2:3">
      <c r="B478" s="49"/>
      <c r="C478" s="49"/>
    </row>
    <row r="479" spans="2:3">
      <c r="B479" s="49"/>
      <c r="C479" s="49"/>
    </row>
    <row r="480" spans="2:3">
      <c r="B480" s="49"/>
      <c r="C480" s="49"/>
    </row>
    <row r="481" spans="2:3">
      <c r="B481" s="49"/>
      <c r="C481" s="49"/>
    </row>
    <row r="482" spans="2:3">
      <c r="B482" s="49"/>
      <c r="C482" s="49"/>
    </row>
    <row r="483" spans="2:3">
      <c r="B483" s="49"/>
      <c r="C483" s="49"/>
    </row>
    <row r="484" spans="2:3">
      <c r="B484" s="49"/>
      <c r="C484" s="49"/>
    </row>
    <row r="485" spans="2:3">
      <c r="B485" s="49"/>
      <c r="C485" s="49"/>
    </row>
    <row r="486" spans="2:3">
      <c r="B486" s="49"/>
      <c r="C486" s="49"/>
    </row>
    <row r="487" spans="2:3">
      <c r="B487" s="49"/>
      <c r="C487" s="49"/>
    </row>
    <row r="488" spans="2:3">
      <c r="B488" s="49"/>
      <c r="C488" s="49"/>
    </row>
    <row r="489" spans="2:3">
      <c r="B489" s="49"/>
      <c r="C489" s="49"/>
    </row>
    <row r="490" spans="2:3">
      <c r="B490" s="49"/>
      <c r="C490" s="49"/>
    </row>
    <row r="491" spans="2:3">
      <c r="B491" s="49"/>
      <c r="C491" s="49"/>
    </row>
    <row r="492" spans="2:3">
      <c r="B492" s="49"/>
      <c r="C492" s="49"/>
    </row>
    <row r="493" spans="2:3">
      <c r="B493" s="49"/>
      <c r="C493" s="49"/>
    </row>
    <row r="494" spans="2:3">
      <c r="B494" s="49"/>
      <c r="C494" s="49"/>
    </row>
    <row r="495" spans="2:3">
      <c r="B495" s="49"/>
      <c r="C495" s="49"/>
    </row>
    <row r="496" spans="2:3">
      <c r="B496" s="49"/>
      <c r="C496" s="49"/>
    </row>
    <row r="497" spans="2:3">
      <c r="B497" s="49"/>
      <c r="C497" s="49"/>
    </row>
    <row r="498" spans="2:3">
      <c r="B498" s="49"/>
      <c r="C498" s="49"/>
    </row>
    <row r="499" spans="2:3">
      <c r="B499" s="49"/>
      <c r="C499" s="49"/>
    </row>
    <row r="500" spans="2:3">
      <c r="B500" s="49"/>
      <c r="C500" s="49"/>
    </row>
    <row r="501" spans="2:3">
      <c r="B501" s="49"/>
      <c r="C501" s="49"/>
    </row>
    <row r="502" spans="2:3">
      <c r="B502" s="49"/>
      <c r="C502" s="49"/>
    </row>
    <row r="503" spans="2:3">
      <c r="B503" s="49"/>
      <c r="C503" s="49"/>
    </row>
    <row r="504" spans="2:3">
      <c r="B504" s="49"/>
      <c r="C504" s="49"/>
    </row>
    <row r="505" spans="2:3">
      <c r="B505" s="49"/>
      <c r="C505" s="49"/>
    </row>
    <row r="506" spans="2:3">
      <c r="B506" s="49"/>
      <c r="C506" s="49"/>
    </row>
    <row r="507" spans="2:3">
      <c r="B507" s="49"/>
      <c r="C507" s="49"/>
    </row>
    <row r="508" spans="2:3">
      <c r="B508" s="49"/>
      <c r="C508" s="49"/>
    </row>
    <row r="509" spans="2:3">
      <c r="B509" s="49"/>
      <c r="C509" s="49"/>
    </row>
    <row r="510" spans="2:3">
      <c r="B510" s="49"/>
      <c r="C510" s="49"/>
    </row>
    <row r="511" spans="2:3">
      <c r="B511" s="49"/>
      <c r="C511" s="49"/>
    </row>
    <row r="512" spans="2:3">
      <c r="B512" s="49"/>
      <c r="C512" s="49"/>
    </row>
    <row r="513" spans="2:3">
      <c r="B513" s="49"/>
      <c r="C513" s="49"/>
    </row>
    <row r="514" spans="2:3">
      <c r="B514" s="49"/>
      <c r="C514" s="49"/>
    </row>
    <row r="515" spans="2:3">
      <c r="B515" s="49"/>
      <c r="C515" s="49"/>
    </row>
    <row r="516" spans="2:3">
      <c r="B516" s="49"/>
      <c r="C516" s="49"/>
    </row>
    <row r="517" spans="2:3">
      <c r="B517" s="49"/>
      <c r="C517" s="49"/>
    </row>
    <row r="518" spans="2:3">
      <c r="B518" s="49"/>
      <c r="C518" s="49"/>
    </row>
    <row r="519" spans="2:3">
      <c r="B519" s="49"/>
      <c r="C519" s="49"/>
    </row>
    <row r="520" spans="2:3">
      <c r="B520" s="49"/>
      <c r="C520" s="49"/>
    </row>
    <row r="521" spans="2:3">
      <c r="B521" s="49"/>
      <c r="C521" s="49"/>
    </row>
    <row r="522" spans="2:3">
      <c r="B522" s="49"/>
      <c r="C522" s="49"/>
    </row>
    <row r="523" spans="2:3">
      <c r="B523" s="49"/>
      <c r="C523" s="49"/>
    </row>
    <row r="524" spans="2:3">
      <c r="B524" s="49"/>
      <c r="C524" s="49"/>
    </row>
    <row r="525" spans="2:3">
      <c r="B525" s="49"/>
      <c r="C525" s="49"/>
    </row>
    <row r="526" spans="2:3">
      <c r="B526" s="49"/>
      <c r="C526" s="49"/>
    </row>
    <row r="527" spans="2:3">
      <c r="B527" s="49"/>
      <c r="C527" s="49"/>
    </row>
    <row r="528" spans="2:3">
      <c r="B528" s="49"/>
      <c r="C528" s="49"/>
    </row>
    <row r="529" spans="2:3">
      <c r="B529" s="49"/>
      <c r="C529" s="49"/>
    </row>
    <row r="530" spans="2:3">
      <c r="B530" s="49"/>
      <c r="C530" s="49"/>
    </row>
    <row r="531" spans="2:3">
      <c r="B531" s="49"/>
      <c r="C531" s="49"/>
    </row>
    <row r="532" spans="2:3">
      <c r="B532" s="49"/>
      <c r="C532" s="49"/>
    </row>
    <row r="533" spans="2:3">
      <c r="B533" s="49"/>
      <c r="C533" s="49"/>
    </row>
    <row r="534" spans="2:3">
      <c r="B534" s="49"/>
      <c r="C534" s="49"/>
    </row>
    <row r="535" spans="2:3">
      <c r="B535" s="49"/>
      <c r="C535" s="49"/>
    </row>
    <row r="536" spans="2:3">
      <c r="B536" s="49"/>
      <c r="C536" s="49"/>
    </row>
    <row r="537" spans="2:3">
      <c r="B537" s="49"/>
      <c r="C537" s="49"/>
    </row>
    <row r="538" spans="2:3">
      <c r="B538" s="49"/>
      <c r="C538" s="49"/>
    </row>
    <row r="539" spans="2:3">
      <c r="B539" s="49"/>
      <c r="C539" s="49"/>
    </row>
    <row r="540" spans="2:3">
      <c r="B540" s="49"/>
      <c r="C540" s="49"/>
    </row>
    <row r="541" spans="2:3">
      <c r="B541" s="49"/>
      <c r="C541" s="49"/>
    </row>
    <row r="542" spans="2:3">
      <c r="B542" s="49"/>
      <c r="C542" s="49"/>
    </row>
    <row r="543" spans="2:3">
      <c r="B543" s="49"/>
      <c r="C543" s="49"/>
    </row>
    <row r="544" spans="2:3">
      <c r="B544" s="49"/>
      <c r="C544" s="49"/>
    </row>
    <row r="545" spans="2:3">
      <c r="B545" s="49"/>
      <c r="C545" s="49"/>
    </row>
    <row r="546" spans="2:3">
      <c r="B546" s="49"/>
      <c r="C546" s="49"/>
    </row>
    <row r="547" spans="2:3">
      <c r="B547" s="49"/>
      <c r="C547" s="49"/>
    </row>
    <row r="548" spans="2:3">
      <c r="B548" s="49"/>
      <c r="C548" s="49"/>
    </row>
    <row r="549" spans="2:3">
      <c r="B549" s="49"/>
      <c r="C549" s="49"/>
    </row>
    <row r="550" spans="2:3">
      <c r="B550" s="49"/>
      <c r="C550" s="49"/>
    </row>
    <row r="551" spans="2:3">
      <c r="B551" s="49"/>
      <c r="C551" s="49"/>
    </row>
    <row r="552" spans="2:3">
      <c r="B552" s="49"/>
      <c r="C552" s="49"/>
    </row>
    <row r="553" spans="2:3">
      <c r="B553" s="49"/>
      <c r="C553" s="49"/>
    </row>
    <row r="554" spans="2:3">
      <c r="B554" s="49"/>
      <c r="C554" s="49"/>
    </row>
    <row r="555" spans="2:3">
      <c r="B555" s="49"/>
      <c r="C555" s="49"/>
    </row>
    <row r="556" spans="2:3">
      <c r="B556" s="49"/>
      <c r="C556" s="49"/>
    </row>
    <row r="557" spans="2:3">
      <c r="B557" s="49"/>
      <c r="C557" s="49"/>
    </row>
    <row r="558" spans="2:3">
      <c r="B558" s="49"/>
      <c r="C558" s="49"/>
    </row>
    <row r="559" spans="2:3">
      <c r="B559" s="49"/>
      <c r="C559" s="49"/>
    </row>
    <row r="560" spans="2:3">
      <c r="B560" s="49"/>
      <c r="C560" s="49"/>
    </row>
    <row r="561" spans="2:3">
      <c r="B561" s="49"/>
      <c r="C561" s="49"/>
    </row>
    <row r="562" spans="2:3">
      <c r="B562" s="49"/>
      <c r="C562" s="49"/>
    </row>
    <row r="563" spans="2:3">
      <c r="B563" s="49"/>
      <c r="C563" s="49"/>
    </row>
    <row r="564" spans="2:3">
      <c r="B564" s="49"/>
      <c r="C564" s="49"/>
    </row>
    <row r="565" spans="2:3">
      <c r="B565" s="49"/>
      <c r="C565" s="49"/>
    </row>
    <row r="566" spans="2:3">
      <c r="B566" s="49"/>
      <c r="C566" s="49"/>
    </row>
    <row r="567" spans="2:3">
      <c r="B567" s="49"/>
      <c r="C567" s="49"/>
    </row>
    <row r="568" spans="2:3">
      <c r="B568" s="49"/>
      <c r="C568" s="49"/>
    </row>
    <row r="569" spans="2:3">
      <c r="B569" s="49"/>
      <c r="C569" s="49"/>
    </row>
    <row r="570" spans="2:3">
      <c r="B570" s="49"/>
      <c r="C570" s="49"/>
    </row>
    <row r="571" spans="2:3">
      <c r="B571" s="49"/>
      <c r="C571" s="49"/>
    </row>
    <row r="572" spans="2:3">
      <c r="B572" s="49"/>
      <c r="C572" s="49"/>
    </row>
    <row r="573" spans="2:3">
      <c r="B573" s="49"/>
      <c r="C573" s="49"/>
    </row>
    <row r="574" spans="2:3">
      <c r="B574" s="49"/>
      <c r="C574" s="49"/>
    </row>
    <row r="575" spans="2:3">
      <c r="B575" s="49"/>
      <c r="C575" s="49"/>
    </row>
    <row r="576" spans="2:3">
      <c r="B576" s="49"/>
      <c r="C576" s="49"/>
    </row>
    <row r="577" spans="2:3">
      <c r="B577" s="49"/>
      <c r="C577" s="49"/>
    </row>
    <row r="578" spans="2:3">
      <c r="B578" s="49"/>
      <c r="C578" s="49"/>
    </row>
    <row r="579" spans="2:3">
      <c r="B579" s="49"/>
      <c r="C579" s="49"/>
    </row>
    <row r="580" spans="2:3">
      <c r="B580" s="49"/>
      <c r="C580" s="49"/>
    </row>
    <row r="581" spans="2:3">
      <c r="B581" s="49"/>
      <c r="C581" s="49"/>
    </row>
    <row r="582" spans="2:3">
      <c r="B582" s="49"/>
      <c r="C582" s="49"/>
    </row>
    <row r="583" spans="2:3">
      <c r="B583" s="49"/>
      <c r="C583" s="49"/>
    </row>
    <row r="584" spans="2:3">
      <c r="B584" s="49"/>
      <c r="C584" s="49"/>
    </row>
    <row r="585" spans="2:3">
      <c r="B585" s="49"/>
      <c r="C585" s="49"/>
    </row>
    <row r="586" spans="2:3">
      <c r="B586" s="49"/>
      <c r="C586" s="49"/>
    </row>
    <row r="587" spans="2:3">
      <c r="B587" s="49"/>
      <c r="C587" s="49"/>
    </row>
    <row r="588" spans="2:3">
      <c r="B588" s="49"/>
      <c r="C588" s="49"/>
    </row>
    <row r="589" spans="2:3">
      <c r="B589" s="49"/>
      <c r="C589" s="49"/>
    </row>
    <row r="590" spans="2:3">
      <c r="B590" s="49"/>
      <c r="C590" s="49"/>
    </row>
    <row r="591" spans="2:3">
      <c r="B591" s="49"/>
      <c r="C591" s="49"/>
    </row>
    <row r="592" spans="2:3">
      <c r="B592" s="49"/>
      <c r="C592" s="49"/>
    </row>
    <row r="593" spans="2:3">
      <c r="B593" s="49"/>
      <c r="C593" s="49"/>
    </row>
    <row r="594" spans="2:3">
      <c r="B594" s="49"/>
      <c r="C594" s="49"/>
    </row>
    <row r="595" spans="2:3">
      <c r="B595" s="49"/>
      <c r="C595" s="49"/>
    </row>
    <row r="596" spans="2:3">
      <c r="B596" s="49"/>
      <c r="C596" s="49"/>
    </row>
    <row r="597" spans="2:3">
      <c r="B597" s="49"/>
      <c r="C597" s="49"/>
    </row>
    <row r="598" spans="2:3">
      <c r="B598" s="49"/>
      <c r="C598" s="49"/>
    </row>
    <row r="599" spans="2:3">
      <c r="B599" s="49"/>
      <c r="C599" s="49"/>
    </row>
    <row r="600" spans="2:3">
      <c r="B600" s="49"/>
      <c r="C600" s="49"/>
    </row>
    <row r="601" spans="2:3">
      <c r="B601" s="49"/>
      <c r="C601" s="49"/>
    </row>
    <row r="602" spans="2:3">
      <c r="B602" s="49"/>
      <c r="C602" s="49"/>
    </row>
    <row r="603" spans="2:3">
      <c r="B603" s="49"/>
      <c r="C603" s="49"/>
    </row>
    <row r="604" spans="2:3">
      <c r="B604" s="49"/>
      <c r="C604" s="49"/>
    </row>
    <row r="605" spans="2:3">
      <c r="B605" s="49"/>
      <c r="C605" s="49"/>
    </row>
    <row r="606" spans="2:3">
      <c r="B606" s="49"/>
      <c r="C606" s="49"/>
    </row>
    <row r="607" spans="2:3">
      <c r="B607" s="49"/>
      <c r="C607" s="49"/>
    </row>
    <row r="608" spans="2:3">
      <c r="B608" s="49"/>
      <c r="C608" s="49"/>
    </row>
    <row r="609" spans="2:3">
      <c r="B609" s="49"/>
      <c r="C609" s="49"/>
    </row>
    <row r="610" spans="2:3">
      <c r="B610" s="49"/>
      <c r="C610" s="49"/>
    </row>
    <row r="611" spans="2:3">
      <c r="B611" s="49"/>
      <c r="C611" s="49"/>
    </row>
    <row r="612" spans="2:3">
      <c r="B612" s="49"/>
      <c r="C612" s="49"/>
    </row>
    <row r="613" spans="2:3">
      <c r="B613" s="49"/>
      <c r="C613" s="49"/>
    </row>
    <row r="614" spans="2:3">
      <c r="B614" s="49"/>
      <c r="C614" s="49"/>
    </row>
    <row r="615" spans="2:3">
      <c r="B615" s="49"/>
      <c r="C615" s="49"/>
    </row>
    <row r="616" spans="2:3">
      <c r="B616" s="49"/>
      <c r="C616" s="49"/>
    </row>
    <row r="617" spans="2:3">
      <c r="B617" s="49"/>
      <c r="C617" s="49"/>
    </row>
    <row r="618" spans="2:3">
      <c r="B618" s="49"/>
      <c r="C618" s="49"/>
    </row>
    <row r="619" spans="2:3">
      <c r="B619" s="49"/>
      <c r="C619" s="49"/>
    </row>
    <row r="620" spans="2:3">
      <c r="B620" s="49"/>
      <c r="C620" s="49"/>
    </row>
    <row r="621" spans="2:3">
      <c r="B621" s="49"/>
      <c r="C621" s="49"/>
    </row>
    <row r="622" spans="2:3">
      <c r="B622" s="49"/>
      <c r="C622" s="49"/>
    </row>
    <row r="623" spans="2:3">
      <c r="B623" s="49"/>
      <c r="C623" s="49"/>
    </row>
    <row r="624" spans="2:3">
      <c r="B624" s="49"/>
      <c r="C624" s="49"/>
    </row>
    <row r="625" spans="2:3">
      <c r="B625" s="49"/>
      <c r="C625" s="49"/>
    </row>
    <row r="626" spans="2:3">
      <c r="B626" s="49"/>
      <c r="C626" s="49"/>
    </row>
    <row r="627" spans="2:3">
      <c r="B627" s="49"/>
      <c r="C627" s="49"/>
    </row>
    <row r="628" spans="2:3">
      <c r="B628" s="49"/>
      <c r="C628" s="49"/>
    </row>
    <row r="629" spans="2:3">
      <c r="B629" s="49"/>
      <c r="C629" s="49"/>
    </row>
    <row r="630" spans="2:3">
      <c r="B630" s="49"/>
      <c r="C630" s="49"/>
    </row>
    <row r="631" spans="2:3">
      <c r="B631" s="49"/>
      <c r="C631" s="49"/>
    </row>
    <row r="632" spans="2:3">
      <c r="B632" s="49"/>
      <c r="C632" s="49"/>
    </row>
    <row r="633" spans="2:3">
      <c r="B633" s="49"/>
      <c r="C633" s="49"/>
    </row>
    <row r="634" spans="2:3">
      <c r="B634" s="49"/>
      <c r="C634" s="49"/>
    </row>
    <row r="635" spans="2:3">
      <c r="B635" s="49"/>
      <c r="C635" s="49"/>
    </row>
    <row r="636" spans="2:3">
      <c r="B636" s="49"/>
      <c r="C636" s="49"/>
    </row>
    <row r="637" spans="2:3">
      <c r="B637" s="49"/>
      <c r="C637" s="49"/>
    </row>
    <row r="638" spans="2:3">
      <c r="B638" s="49"/>
      <c r="C638" s="49"/>
    </row>
    <row r="639" spans="2:3">
      <c r="B639" s="49"/>
      <c r="C639" s="49"/>
    </row>
    <row r="640" spans="2:3">
      <c r="B640" s="49"/>
      <c r="C640" s="49"/>
    </row>
    <row r="641" spans="2:3">
      <c r="B641" s="49"/>
      <c r="C641" s="49"/>
    </row>
    <row r="642" spans="2:3">
      <c r="B642" s="49"/>
      <c r="C642" s="49"/>
    </row>
    <row r="643" spans="2:3">
      <c r="B643" s="49"/>
      <c r="C643" s="49"/>
    </row>
    <row r="644" spans="2:3">
      <c r="B644" s="49"/>
      <c r="C644" s="49"/>
    </row>
    <row r="645" spans="2:3">
      <c r="B645" s="49"/>
      <c r="C645" s="49"/>
    </row>
    <row r="646" spans="2:3">
      <c r="B646" s="49"/>
      <c r="C646" s="49"/>
    </row>
    <row r="647" spans="2:3">
      <c r="B647" s="49"/>
      <c r="C647" s="49"/>
    </row>
    <row r="648" spans="2:3">
      <c r="B648" s="49"/>
      <c r="C648" s="49"/>
    </row>
    <row r="649" spans="2:3">
      <c r="B649" s="49"/>
      <c r="C649" s="49"/>
    </row>
    <row r="650" spans="2:3">
      <c r="B650" s="49"/>
      <c r="C650" s="49"/>
    </row>
    <row r="651" spans="2:3">
      <c r="B651" s="49"/>
      <c r="C651" s="49"/>
    </row>
    <row r="652" spans="2:3">
      <c r="B652" s="49"/>
      <c r="C652" s="49"/>
    </row>
    <row r="653" spans="2:3">
      <c r="B653" s="49"/>
      <c r="C653" s="49"/>
    </row>
    <row r="654" spans="2:3">
      <c r="B654" s="49"/>
      <c r="C654" s="49"/>
    </row>
    <row r="655" spans="2:3">
      <c r="B655" s="49"/>
      <c r="C655" s="49"/>
    </row>
    <row r="656" spans="2:3">
      <c r="B656" s="49"/>
      <c r="C656" s="49"/>
    </row>
    <row r="657" spans="2:3">
      <c r="B657" s="49"/>
      <c r="C657" s="49"/>
    </row>
    <row r="658" spans="2:3">
      <c r="B658" s="49"/>
      <c r="C658" s="49"/>
    </row>
    <row r="659" spans="2:3">
      <c r="B659" s="49"/>
      <c r="C659" s="49"/>
    </row>
    <row r="660" spans="2:3">
      <c r="B660" s="49"/>
      <c r="C660" s="49"/>
    </row>
    <row r="661" spans="2:3">
      <c r="B661" s="49"/>
      <c r="C661" s="49"/>
    </row>
    <row r="662" spans="2:3">
      <c r="B662" s="49"/>
      <c r="C662" s="49"/>
    </row>
    <row r="663" spans="2:3">
      <c r="B663" s="49"/>
      <c r="C663" s="49"/>
    </row>
    <row r="664" spans="2:3">
      <c r="B664" s="49"/>
      <c r="C664" s="49"/>
    </row>
    <row r="665" spans="2:3">
      <c r="B665" s="49"/>
      <c r="C665" s="49"/>
    </row>
    <row r="666" spans="2:3">
      <c r="B666" s="49"/>
      <c r="C666" s="49"/>
    </row>
    <row r="667" spans="2:3">
      <c r="B667" s="49"/>
      <c r="C667" s="49"/>
    </row>
    <row r="668" spans="2:3">
      <c r="B668" s="49"/>
      <c r="C668" s="49"/>
    </row>
    <row r="669" spans="2:3">
      <c r="B669" s="49"/>
      <c r="C669" s="49"/>
    </row>
    <row r="670" spans="2:3">
      <c r="B670" s="49"/>
      <c r="C670" s="49"/>
    </row>
    <row r="671" spans="2:3">
      <c r="B671" s="49"/>
      <c r="C671" s="49"/>
    </row>
    <row r="672" spans="2:3">
      <c r="B672" s="49"/>
      <c r="C672" s="49"/>
    </row>
    <row r="673" spans="2:3">
      <c r="B673" s="49"/>
      <c r="C673" s="49"/>
    </row>
    <row r="674" spans="2:3">
      <c r="B674" s="49"/>
      <c r="C674" s="49"/>
    </row>
    <row r="675" spans="2:3">
      <c r="B675" s="49"/>
      <c r="C675" s="49"/>
    </row>
    <row r="676" spans="2:3">
      <c r="B676" s="49"/>
      <c r="C676" s="49"/>
    </row>
    <row r="677" spans="2:3">
      <c r="B677" s="49"/>
      <c r="C677" s="49"/>
    </row>
    <row r="678" spans="2:3">
      <c r="B678" s="49"/>
      <c r="C678" s="49"/>
    </row>
    <row r="679" spans="2:3">
      <c r="B679" s="49"/>
      <c r="C679" s="49"/>
    </row>
    <row r="680" spans="2:3">
      <c r="B680" s="49"/>
      <c r="C680" s="49"/>
    </row>
    <row r="681" spans="2:3">
      <c r="B681" s="49"/>
      <c r="C681" s="49"/>
    </row>
    <row r="682" spans="2:3">
      <c r="B682" s="49"/>
      <c r="C682" s="49"/>
    </row>
    <row r="683" spans="2:3">
      <c r="B683" s="49"/>
      <c r="C683" s="49"/>
    </row>
    <row r="684" spans="2:3">
      <c r="B684" s="49"/>
      <c r="C684" s="49"/>
    </row>
    <row r="685" spans="2:3">
      <c r="B685" s="49"/>
      <c r="C685" s="49"/>
    </row>
    <row r="686" spans="2:3">
      <c r="B686" s="49"/>
      <c r="C686" s="49"/>
    </row>
    <row r="687" spans="2:3">
      <c r="B687" s="49"/>
      <c r="C687" s="49"/>
    </row>
    <row r="688" spans="2:3">
      <c r="B688" s="49"/>
      <c r="C688" s="49"/>
    </row>
    <row r="689" spans="2:3">
      <c r="B689" s="49"/>
      <c r="C689" s="49"/>
    </row>
    <row r="690" spans="2:3">
      <c r="B690" s="49"/>
      <c r="C690" s="49"/>
    </row>
    <row r="691" spans="2:3">
      <c r="B691" s="49"/>
      <c r="C691" s="49"/>
    </row>
    <row r="692" spans="2:3">
      <c r="B692" s="49"/>
      <c r="C692" s="49"/>
    </row>
    <row r="693" spans="2:3">
      <c r="B693" s="49"/>
      <c r="C693" s="49"/>
    </row>
    <row r="694" spans="2:3">
      <c r="B694" s="49"/>
      <c r="C694" s="49"/>
    </row>
    <row r="695" spans="2:3">
      <c r="B695" s="49"/>
      <c r="C695" s="49"/>
    </row>
    <row r="696" spans="2:3">
      <c r="B696" s="49"/>
      <c r="C696" s="49"/>
    </row>
    <row r="697" spans="2:3">
      <c r="B697" s="49"/>
      <c r="C697" s="49"/>
    </row>
    <row r="698" spans="2:3">
      <c r="B698" s="49"/>
      <c r="C698" s="49"/>
    </row>
    <row r="699" spans="2:3">
      <c r="B699" s="49"/>
      <c r="C699" s="49"/>
    </row>
    <row r="700" spans="2:3">
      <c r="B700" s="49"/>
      <c r="C700" s="49"/>
    </row>
    <row r="701" spans="2:3">
      <c r="B701" s="49"/>
      <c r="C701" s="49"/>
    </row>
    <row r="702" spans="2:3">
      <c r="B702" s="49"/>
      <c r="C702" s="49"/>
    </row>
    <row r="703" spans="2:3">
      <c r="B703" s="49"/>
      <c r="C703" s="49"/>
    </row>
    <row r="704" spans="2:3">
      <c r="B704" s="49"/>
      <c r="C704" s="49"/>
    </row>
    <row r="705" spans="2:3">
      <c r="B705" s="49"/>
      <c r="C705" s="49"/>
    </row>
    <row r="706" spans="2:3">
      <c r="B706" s="49"/>
      <c r="C706" s="49"/>
    </row>
    <row r="707" spans="2:3">
      <c r="B707" s="49"/>
      <c r="C707" s="49"/>
    </row>
    <row r="708" spans="2:3">
      <c r="B708" s="49"/>
      <c r="C708" s="49"/>
    </row>
    <row r="709" spans="2:3">
      <c r="B709" s="49"/>
      <c r="C709" s="49"/>
    </row>
    <row r="710" spans="2:3">
      <c r="B710" s="49"/>
      <c r="C710" s="49"/>
    </row>
    <row r="711" spans="2:3">
      <c r="B711" s="49"/>
      <c r="C711" s="49"/>
    </row>
    <row r="712" spans="2:3">
      <c r="B712" s="49"/>
      <c r="C712" s="49"/>
    </row>
    <row r="713" spans="2:3">
      <c r="B713" s="49"/>
      <c r="C713" s="49"/>
    </row>
    <row r="714" spans="2:3">
      <c r="B714" s="49"/>
      <c r="C714" s="49"/>
    </row>
    <row r="715" spans="2:3">
      <c r="B715" s="49"/>
      <c r="C715" s="49"/>
    </row>
    <row r="716" spans="2:3">
      <c r="B716" s="49"/>
      <c r="C716" s="49"/>
    </row>
    <row r="717" spans="2:3">
      <c r="B717" s="49"/>
      <c r="C717" s="49"/>
    </row>
    <row r="718" spans="2:3">
      <c r="B718" s="49"/>
      <c r="C718" s="49"/>
    </row>
    <row r="719" spans="2:3">
      <c r="B719" s="49"/>
      <c r="C719" s="49"/>
    </row>
    <row r="720" spans="2:3">
      <c r="B720" s="49"/>
      <c r="C720" s="49"/>
    </row>
    <row r="721" spans="2:3">
      <c r="B721" s="49"/>
      <c r="C721" s="49"/>
    </row>
    <row r="722" spans="2:3">
      <c r="B722" s="49"/>
      <c r="C722" s="49"/>
    </row>
    <row r="723" spans="2:3">
      <c r="B723" s="49"/>
      <c r="C723" s="49"/>
    </row>
    <row r="724" spans="2:3">
      <c r="B724" s="49"/>
      <c r="C724" s="49"/>
    </row>
    <row r="725" spans="2:3">
      <c r="B725" s="49"/>
      <c r="C725" s="49"/>
    </row>
    <row r="726" spans="2:3">
      <c r="B726" s="49"/>
      <c r="C726" s="49"/>
    </row>
    <row r="727" spans="2:3">
      <c r="B727" s="49"/>
      <c r="C727" s="49"/>
    </row>
    <row r="728" spans="2:3">
      <c r="B728" s="49"/>
      <c r="C728" s="49"/>
    </row>
    <row r="729" spans="2:3">
      <c r="B729" s="49"/>
      <c r="C729" s="49"/>
    </row>
    <row r="730" spans="2:3">
      <c r="B730" s="49"/>
      <c r="C730" s="49"/>
    </row>
    <row r="731" spans="2:3">
      <c r="B731" s="49"/>
      <c r="C731" s="49"/>
    </row>
    <row r="732" spans="2:3">
      <c r="B732" s="49"/>
      <c r="C732" s="49"/>
    </row>
    <row r="733" spans="2:3">
      <c r="B733" s="49"/>
      <c r="C733" s="49"/>
    </row>
    <row r="734" spans="2:3">
      <c r="B734" s="49"/>
      <c r="C734" s="49"/>
    </row>
    <row r="735" spans="2:3">
      <c r="B735" s="49"/>
      <c r="C735" s="49"/>
    </row>
    <row r="736" spans="2:3">
      <c r="B736" s="49"/>
      <c r="C736" s="49"/>
    </row>
    <row r="737" spans="2:3">
      <c r="B737" s="49"/>
      <c r="C737" s="49"/>
    </row>
    <row r="738" spans="2:3">
      <c r="B738" s="49"/>
      <c r="C738" s="49"/>
    </row>
    <row r="739" spans="2:3">
      <c r="B739" s="49"/>
      <c r="C739" s="49"/>
    </row>
    <row r="740" spans="2:3">
      <c r="B740" s="49"/>
      <c r="C740" s="49"/>
    </row>
    <row r="741" spans="2:3">
      <c r="B741" s="49"/>
      <c r="C741" s="49"/>
    </row>
    <row r="742" spans="2:3">
      <c r="B742" s="49"/>
      <c r="C742" s="49"/>
    </row>
    <row r="743" spans="2:3">
      <c r="B743" s="49"/>
      <c r="C743" s="49"/>
    </row>
    <row r="744" spans="2:3">
      <c r="B744" s="49"/>
      <c r="C744" s="49"/>
    </row>
    <row r="745" spans="2:3">
      <c r="B745" s="49"/>
      <c r="C745" s="49"/>
    </row>
    <row r="746" spans="2:3">
      <c r="B746" s="49"/>
      <c r="C746" s="49"/>
    </row>
    <row r="747" spans="2:3">
      <c r="B747" s="49"/>
      <c r="C747" s="49"/>
    </row>
    <row r="748" spans="2:3">
      <c r="B748" s="49"/>
      <c r="C748" s="49"/>
    </row>
    <row r="749" spans="2:3">
      <c r="B749" s="49"/>
      <c r="C749" s="49"/>
    </row>
    <row r="750" spans="2:3">
      <c r="B750" s="49"/>
      <c r="C750" s="49"/>
    </row>
    <row r="751" spans="2:3">
      <c r="B751" s="49"/>
      <c r="C751" s="49"/>
    </row>
    <row r="752" spans="2:3">
      <c r="B752" s="49"/>
      <c r="C752" s="49"/>
    </row>
    <row r="753" spans="2:3">
      <c r="B753" s="49"/>
      <c r="C753" s="49"/>
    </row>
    <row r="754" spans="2:3">
      <c r="B754" s="49"/>
      <c r="C754" s="49"/>
    </row>
    <row r="755" spans="2:3">
      <c r="B755" s="49"/>
      <c r="C755" s="49"/>
    </row>
    <row r="756" spans="2:3">
      <c r="B756" s="49"/>
      <c r="C756" s="49"/>
    </row>
    <row r="757" spans="2:3">
      <c r="B757" s="49"/>
      <c r="C757" s="49"/>
    </row>
    <row r="758" spans="2:3">
      <c r="B758" s="49"/>
      <c r="C758" s="49"/>
    </row>
    <row r="759" spans="2:3">
      <c r="B759" s="49"/>
      <c r="C759" s="49"/>
    </row>
    <row r="760" spans="2:3">
      <c r="B760" s="49"/>
      <c r="C760" s="49"/>
    </row>
    <row r="761" spans="2:3">
      <c r="B761" s="49"/>
      <c r="C761" s="49"/>
    </row>
    <row r="762" spans="2:3">
      <c r="B762" s="49"/>
      <c r="C762" s="49"/>
    </row>
    <row r="763" spans="2:3">
      <c r="B763" s="49"/>
      <c r="C763" s="49"/>
    </row>
    <row r="764" spans="2:3">
      <c r="B764" s="49"/>
      <c r="C764" s="49"/>
    </row>
    <row r="765" spans="2:3">
      <c r="B765" s="49"/>
      <c r="C765" s="49"/>
    </row>
    <row r="766" spans="2:3">
      <c r="B766" s="49"/>
      <c r="C766" s="49"/>
    </row>
    <row r="767" spans="2:3">
      <c r="B767" s="49"/>
      <c r="C767" s="49"/>
    </row>
    <row r="768" spans="2:3">
      <c r="B768" s="49"/>
      <c r="C768" s="49"/>
    </row>
    <row r="769" spans="2:3">
      <c r="B769" s="49"/>
      <c r="C769" s="49"/>
    </row>
    <row r="770" spans="2:3">
      <c r="B770" s="49"/>
      <c r="C770" s="49"/>
    </row>
    <row r="771" spans="2:3">
      <c r="B771" s="49"/>
      <c r="C771" s="49"/>
    </row>
    <row r="772" spans="2:3">
      <c r="B772" s="49"/>
      <c r="C772" s="49"/>
    </row>
    <row r="773" spans="2:3">
      <c r="B773" s="49"/>
      <c r="C773" s="49"/>
    </row>
    <row r="774" spans="2:3">
      <c r="B774" s="49"/>
      <c r="C774" s="49"/>
    </row>
    <row r="775" spans="2:3">
      <c r="B775" s="49"/>
      <c r="C775" s="49"/>
    </row>
    <row r="776" spans="2:3">
      <c r="B776" s="49"/>
      <c r="C776" s="49"/>
    </row>
    <row r="777" spans="2:3">
      <c r="B777" s="49"/>
      <c r="C777" s="49"/>
    </row>
    <row r="778" spans="2:3">
      <c r="B778" s="49"/>
      <c r="C778" s="49"/>
    </row>
    <row r="779" spans="2:3">
      <c r="B779" s="49"/>
      <c r="C779" s="49"/>
    </row>
    <row r="780" spans="2:3">
      <c r="B780" s="49"/>
      <c r="C780" s="49"/>
    </row>
    <row r="781" spans="2:3">
      <c r="B781" s="49"/>
      <c r="C781" s="49"/>
    </row>
    <row r="782" spans="2:3">
      <c r="B782" s="49"/>
      <c r="C782" s="49"/>
    </row>
    <row r="783" spans="2:3">
      <c r="B783" s="49"/>
      <c r="C783" s="49"/>
    </row>
    <row r="784" spans="2:3">
      <c r="B784" s="49"/>
      <c r="C784" s="49"/>
    </row>
    <row r="785" spans="2:3">
      <c r="B785" s="49"/>
      <c r="C785" s="49"/>
    </row>
    <row r="786" spans="2:3">
      <c r="B786" s="49"/>
      <c r="C786" s="49"/>
    </row>
    <row r="787" spans="2:3">
      <c r="B787" s="49"/>
      <c r="C787" s="49"/>
    </row>
    <row r="788" spans="2:3">
      <c r="B788" s="49"/>
      <c r="C788" s="49"/>
    </row>
    <row r="789" spans="2:3">
      <c r="B789" s="49"/>
      <c r="C789" s="49"/>
    </row>
    <row r="790" spans="2:3">
      <c r="B790" s="49"/>
      <c r="C790" s="49"/>
    </row>
    <row r="791" spans="2:3">
      <c r="B791" s="49"/>
      <c r="C791" s="49"/>
    </row>
    <row r="792" spans="2:3">
      <c r="B792" s="49"/>
      <c r="C792" s="49"/>
    </row>
    <row r="793" spans="2:3">
      <c r="B793" s="49"/>
      <c r="C793" s="49"/>
    </row>
    <row r="794" spans="2:3">
      <c r="B794" s="49"/>
      <c r="C794" s="49"/>
    </row>
    <row r="795" spans="2:3">
      <c r="B795" s="49"/>
      <c r="C795" s="49"/>
    </row>
    <row r="796" spans="2:3">
      <c r="B796" s="49"/>
      <c r="C796" s="49"/>
    </row>
    <row r="797" spans="2:3">
      <c r="B797" s="49"/>
      <c r="C797" s="49"/>
    </row>
    <row r="798" spans="2:3">
      <c r="B798" s="49"/>
      <c r="C798" s="49"/>
    </row>
    <row r="799" spans="2:3">
      <c r="B799" s="49"/>
      <c r="C799" s="49"/>
    </row>
    <row r="800" spans="2:3">
      <c r="B800" s="49"/>
      <c r="C800" s="49"/>
    </row>
    <row r="801" spans="2:3">
      <c r="B801" s="49"/>
      <c r="C801" s="49"/>
    </row>
    <row r="802" spans="2:3">
      <c r="B802" s="49"/>
      <c r="C802" s="49"/>
    </row>
    <row r="803" spans="2:3">
      <c r="B803" s="49"/>
      <c r="C803" s="49"/>
    </row>
    <row r="804" spans="2:3">
      <c r="B804" s="49"/>
      <c r="C804" s="49"/>
    </row>
    <row r="805" spans="2:3">
      <c r="B805" s="49"/>
      <c r="C805" s="49"/>
    </row>
    <row r="806" spans="2:3">
      <c r="B806" s="49"/>
      <c r="C806" s="49"/>
    </row>
    <row r="807" spans="2:3">
      <c r="B807" s="49"/>
      <c r="C807" s="49"/>
    </row>
    <row r="808" spans="2:3">
      <c r="B808" s="49"/>
      <c r="C808" s="49"/>
    </row>
    <row r="809" spans="2:3">
      <c r="B809" s="49"/>
      <c r="C809" s="49"/>
    </row>
    <row r="810" spans="2:3">
      <c r="B810" s="49"/>
      <c r="C810" s="49"/>
    </row>
    <row r="811" spans="2:3">
      <c r="B811" s="49"/>
      <c r="C811" s="49"/>
    </row>
    <row r="812" spans="2:3">
      <c r="B812" s="49"/>
      <c r="C812" s="49"/>
    </row>
    <row r="813" spans="2:3">
      <c r="B813" s="49"/>
      <c r="C813" s="49"/>
    </row>
    <row r="814" spans="2:3">
      <c r="B814" s="49"/>
      <c r="C814" s="49"/>
    </row>
    <row r="815" spans="2:3">
      <c r="B815" s="49"/>
      <c r="C815" s="49"/>
    </row>
    <row r="816" spans="2:3">
      <c r="B816" s="49"/>
      <c r="C816" s="49"/>
    </row>
    <row r="817" spans="2:3">
      <c r="B817" s="49"/>
      <c r="C817" s="49"/>
    </row>
    <row r="818" spans="2:3">
      <c r="B818" s="49"/>
      <c r="C818" s="49"/>
    </row>
    <row r="819" spans="2:3">
      <c r="B819" s="49"/>
      <c r="C819" s="49"/>
    </row>
    <row r="820" spans="2:3">
      <c r="B820" s="49"/>
      <c r="C820" s="49"/>
    </row>
    <row r="821" spans="2:3">
      <c r="B821" s="49"/>
      <c r="C821" s="49"/>
    </row>
    <row r="822" spans="2:3">
      <c r="B822" s="49"/>
      <c r="C822" s="49"/>
    </row>
    <row r="823" spans="2:3">
      <c r="B823" s="49"/>
      <c r="C823" s="49"/>
    </row>
    <row r="824" spans="2:3">
      <c r="B824" s="49"/>
      <c r="C824" s="49"/>
    </row>
    <row r="825" spans="2:3">
      <c r="B825" s="49"/>
      <c r="C825" s="49"/>
    </row>
    <row r="826" spans="2:3">
      <c r="B826" s="49"/>
      <c r="C826" s="49"/>
    </row>
    <row r="827" spans="2:3">
      <c r="B827" s="49"/>
      <c r="C827" s="49"/>
    </row>
    <row r="828" spans="2:3">
      <c r="B828" s="49"/>
      <c r="C828" s="49"/>
    </row>
    <row r="829" spans="2:3">
      <c r="B829" s="49"/>
      <c r="C829" s="49"/>
    </row>
    <row r="830" spans="2:3">
      <c r="B830" s="49"/>
      <c r="C830" s="49"/>
    </row>
    <row r="831" spans="2:3">
      <c r="B831" s="49"/>
      <c r="C831" s="49"/>
    </row>
    <row r="832" spans="2:3">
      <c r="B832" s="49"/>
      <c r="C832" s="49"/>
    </row>
    <row r="833" spans="2:3">
      <c r="B833" s="49"/>
      <c r="C833" s="49"/>
    </row>
    <row r="834" spans="2:3">
      <c r="B834" s="49"/>
      <c r="C834" s="49"/>
    </row>
    <row r="835" spans="2:3">
      <c r="B835" s="49"/>
      <c r="C835" s="49"/>
    </row>
    <row r="836" spans="2:3">
      <c r="B836" s="49"/>
      <c r="C836" s="49"/>
    </row>
    <row r="837" spans="2:3">
      <c r="B837" s="49"/>
      <c r="C837" s="49"/>
    </row>
    <row r="838" spans="2:3">
      <c r="B838" s="49"/>
      <c r="C838" s="49"/>
    </row>
    <row r="839" spans="2:3">
      <c r="B839" s="49"/>
      <c r="C839" s="49"/>
    </row>
    <row r="840" spans="2:3">
      <c r="B840" s="49"/>
      <c r="C840" s="49"/>
    </row>
    <row r="841" spans="2:3">
      <c r="B841" s="49"/>
      <c r="C841" s="49"/>
    </row>
    <row r="842" spans="2:3">
      <c r="B842" s="49"/>
      <c r="C842" s="49"/>
    </row>
    <row r="843" spans="2:3">
      <c r="B843" s="49"/>
      <c r="C843" s="49"/>
    </row>
    <row r="844" spans="2:3">
      <c r="B844" s="49"/>
      <c r="C844" s="49"/>
    </row>
    <row r="845" spans="2:3">
      <c r="B845" s="49"/>
      <c r="C845" s="49"/>
    </row>
    <row r="846" spans="2:3">
      <c r="B846" s="49"/>
      <c r="C846" s="49"/>
    </row>
    <row r="847" spans="2:3">
      <c r="B847" s="49"/>
      <c r="C847" s="49"/>
    </row>
    <row r="848" spans="2:3">
      <c r="B848" s="49"/>
      <c r="C848" s="49"/>
    </row>
    <row r="849" spans="2:3">
      <c r="B849" s="49"/>
      <c r="C849" s="49"/>
    </row>
    <row r="850" spans="2:3">
      <c r="B850" s="49"/>
      <c r="C850" s="49"/>
    </row>
    <row r="851" spans="2:3">
      <c r="B851" s="49"/>
      <c r="C851" s="49"/>
    </row>
    <row r="852" spans="2:3">
      <c r="B852" s="49"/>
      <c r="C852" s="49"/>
    </row>
    <row r="853" spans="2:3">
      <c r="B853" s="49"/>
      <c r="C853" s="49"/>
    </row>
    <row r="854" spans="2:3">
      <c r="B854" s="49"/>
      <c r="C854" s="49"/>
    </row>
    <row r="855" spans="2:3">
      <c r="B855" s="49"/>
      <c r="C855" s="49"/>
    </row>
    <row r="856" spans="2:3">
      <c r="B856" s="49"/>
      <c r="C856" s="49"/>
    </row>
    <row r="857" spans="2:3">
      <c r="B857" s="49"/>
      <c r="C857" s="49"/>
    </row>
    <row r="858" spans="2:3">
      <c r="B858" s="49"/>
      <c r="C858" s="49"/>
    </row>
    <row r="859" spans="2:3">
      <c r="B859" s="49"/>
      <c r="C859" s="49"/>
    </row>
    <row r="860" spans="2:3">
      <c r="B860" s="49"/>
      <c r="C860" s="49"/>
    </row>
    <row r="861" spans="2:3">
      <c r="B861" s="49"/>
      <c r="C861" s="49"/>
    </row>
    <row r="862" spans="2:3">
      <c r="B862" s="49"/>
      <c r="C862" s="49"/>
    </row>
    <row r="863" spans="2:3">
      <c r="B863" s="49"/>
      <c r="C863" s="49"/>
    </row>
    <row r="864" spans="2:3">
      <c r="B864" s="49"/>
      <c r="C864" s="49"/>
    </row>
    <row r="865" spans="2:3">
      <c r="B865" s="49"/>
      <c r="C865" s="49"/>
    </row>
    <row r="866" spans="2:3">
      <c r="B866" s="49"/>
      <c r="C866" s="49"/>
    </row>
    <row r="867" spans="2:3">
      <c r="B867" s="49"/>
      <c r="C867" s="49"/>
    </row>
    <row r="868" spans="2:3">
      <c r="B868" s="49"/>
      <c r="C868" s="49"/>
    </row>
    <row r="869" spans="2:3">
      <c r="B869" s="49"/>
      <c r="C869" s="49"/>
    </row>
    <row r="870" spans="2:3">
      <c r="B870" s="49"/>
      <c r="C870" s="49"/>
    </row>
    <row r="871" spans="2:3">
      <c r="B871" s="49"/>
      <c r="C871" s="49"/>
    </row>
    <row r="872" spans="2:3">
      <c r="B872" s="49"/>
      <c r="C872" s="49"/>
    </row>
    <row r="873" spans="2:3">
      <c r="B873" s="49"/>
      <c r="C873" s="49"/>
    </row>
    <row r="874" spans="2:3">
      <c r="B874" s="49"/>
      <c r="C874" s="49"/>
    </row>
    <row r="875" spans="2:3">
      <c r="B875" s="49"/>
      <c r="C875" s="49"/>
    </row>
    <row r="876" spans="2:3">
      <c r="B876" s="49"/>
      <c r="C876" s="49"/>
    </row>
    <row r="877" spans="2:3">
      <c r="B877" s="49"/>
      <c r="C877" s="49"/>
    </row>
    <row r="878" spans="2:3">
      <c r="B878" s="49"/>
      <c r="C878" s="49"/>
    </row>
    <row r="879" spans="2:3">
      <c r="B879" s="49"/>
      <c r="C879" s="49"/>
    </row>
    <row r="880" spans="2:3">
      <c r="B880" s="49"/>
      <c r="C880" s="49"/>
    </row>
    <row r="881" spans="2:3">
      <c r="B881" s="49"/>
      <c r="C881" s="49"/>
    </row>
    <row r="882" spans="2:3">
      <c r="B882" s="49"/>
      <c r="C882" s="49"/>
    </row>
    <row r="883" spans="2:3">
      <c r="B883" s="49"/>
      <c r="C883" s="49"/>
    </row>
    <row r="884" spans="2:3">
      <c r="B884" s="49"/>
      <c r="C884" s="49"/>
    </row>
    <row r="885" spans="2:3">
      <c r="B885" s="49"/>
      <c r="C885" s="49"/>
    </row>
    <row r="886" spans="2:3">
      <c r="B886" s="49"/>
      <c r="C886" s="49"/>
    </row>
    <row r="887" spans="2:3">
      <c r="B887" s="49"/>
      <c r="C887" s="49"/>
    </row>
    <row r="888" spans="2:3">
      <c r="B888" s="49"/>
      <c r="C888" s="49"/>
    </row>
    <row r="889" spans="2:3">
      <c r="B889" s="49"/>
      <c r="C889" s="49"/>
    </row>
    <row r="890" spans="2:3">
      <c r="B890" s="49"/>
      <c r="C890" s="49"/>
    </row>
    <row r="891" spans="2:3">
      <c r="B891" s="49"/>
      <c r="C891" s="49"/>
    </row>
    <row r="892" spans="2:3">
      <c r="B892" s="49"/>
      <c r="C892" s="49"/>
    </row>
    <row r="893" spans="2:3">
      <c r="B893" s="49"/>
      <c r="C893" s="49"/>
    </row>
    <row r="894" spans="2:3">
      <c r="B894" s="49"/>
      <c r="C894" s="49"/>
    </row>
    <row r="895" spans="2:3">
      <c r="B895" s="49"/>
      <c r="C895" s="49"/>
    </row>
    <row r="896" spans="2:3">
      <c r="B896" s="49"/>
      <c r="C896" s="49"/>
    </row>
    <row r="897" spans="2:3">
      <c r="B897" s="49"/>
      <c r="C897" s="49"/>
    </row>
    <row r="898" spans="2:3">
      <c r="B898" s="49"/>
      <c r="C898" s="49"/>
    </row>
    <row r="899" spans="2:3">
      <c r="B899" s="49"/>
      <c r="C899" s="49"/>
    </row>
    <row r="900" spans="2:3">
      <c r="B900" s="49"/>
      <c r="C900" s="49"/>
    </row>
    <row r="901" spans="2:3">
      <c r="B901" s="49"/>
      <c r="C901" s="49"/>
    </row>
    <row r="902" spans="2:3">
      <c r="B902" s="49"/>
      <c r="C902" s="49"/>
    </row>
    <row r="903" spans="2:3">
      <c r="B903" s="49"/>
      <c r="C903" s="49"/>
    </row>
    <row r="904" spans="2:3">
      <c r="B904" s="49"/>
      <c r="C904" s="49"/>
    </row>
    <row r="905" spans="2:3">
      <c r="B905" s="49"/>
      <c r="C905" s="49"/>
    </row>
    <row r="906" spans="2:3">
      <c r="B906" s="49"/>
      <c r="C906" s="49"/>
    </row>
    <row r="907" spans="2:3">
      <c r="B907" s="49"/>
      <c r="C907" s="49"/>
    </row>
    <row r="908" spans="2:3">
      <c r="B908" s="49"/>
      <c r="C908" s="49"/>
    </row>
    <row r="909" spans="2:3">
      <c r="B909" s="49"/>
      <c r="C909" s="49"/>
    </row>
    <row r="910" spans="2:3">
      <c r="B910" s="49"/>
      <c r="C910" s="49"/>
    </row>
    <row r="911" spans="2:3">
      <c r="B911" s="49"/>
      <c r="C911" s="49"/>
    </row>
    <row r="912" spans="2:3">
      <c r="B912" s="49"/>
      <c r="C912" s="49"/>
    </row>
    <row r="913" spans="2:3">
      <c r="B913" s="49"/>
      <c r="C913" s="49"/>
    </row>
    <row r="914" spans="2:3">
      <c r="B914" s="49"/>
      <c r="C914" s="49"/>
    </row>
    <row r="915" spans="2:3">
      <c r="B915" s="49"/>
      <c r="C915" s="49"/>
    </row>
    <row r="916" spans="2:3">
      <c r="B916" s="49"/>
      <c r="C916" s="49"/>
    </row>
    <row r="917" spans="2:3">
      <c r="B917" s="49"/>
      <c r="C917" s="49"/>
    </row>
    <row r="918" spans="2:3">
      <c r="B918" s="49"/>
      <c r="C918" s="49"/>
    </row>
    <row r="919" spans="2:3">
      <c r="B919" s="49"/>
      <c r="C919" s="49"/>
    </row>
    <row r="920" spans="2:3">
      <c r="B920" s="49"/>
      <c r="C920" s="49"/>
    </row>
    <row r="921" spans="2:3">
      <c r="B921" s="49"/>
      <c r="C921" s="49"/>
    </row>
    <row r="922" spans="2:3">
      <c r="B922" s="49"/>
      <c r="C922" s="49"/>
    </row>
    <row r="923" spans="2:3">
      <c r="B923" s="49"/>
      <c r="C923" s="49"/>
    </row>
    <row r="924" spans="2:3">
      <c r="B924" s="49"/>
      <c r="C924" s="49"/>
    </row>
    <row r="925" spans="2:3">
      <c r="B925" s="49"/>
      <c r="C925" s="49"/>
    </row>
    <row r="926" spans="2:3">
      <c r="B926" s="49"/>
      <c r="C926" s="49"/>
    </row>
    <row r="927" spans="2:3">
      <c r="B927" s="49"/>
      <c r="C927" s="49"/>
    </row>
    <row r="928" spans="2:3">
      <c r="B928" s="49"/>
      <c r="C928" s="49"/>
    </row>
    <row r="929" spans="2:3">
      <c r="B929" s="49"/>
      <c r="C929" s="49"/>
    </row>
    <row r="930" spans="2:3">
      <c r="B930" s="49"/>
      <c r="C930" s="49"/>
    </row>
    <row r="931" spans="2:3">
      <c r="B931" s="49"/>
      <c r="C931" s="49"/>
    </row>
    <row r="932" spans="2:3">
      <c r="B932" s="49"/>
      <c r="C932" s="49"/>
    </row>
    <row r="933" spans="2:3">
      <c r="B933" s="49"/>
      <c r="C933" s="49"/>
    </row>
    <row r="934" spans="2:3">
      <c r="B934" s="49"/>
      <c r="C934" s="49"/>
    </row>
    <row r="935" spans="2:3">
      <c r="B935" s="49"/>
      <c r="C935" s="49"/>
    </row>
    <row r="936" spans="2:3">
      <c r="B936" s="49"/>
      <c r="C936" s="49"/>
    </row>
    <row r="937" spans="2:3">
      <c r="B937" s="49"/>
      <c r="C937" s="49"/>
    </row>
    <row r="938" spans="2:3">
      <c r="B938" s="49"/>
      <c r="C938" s="49"/>
    </row>
    <row r="939" spans="2:3">
      <c r="B939" s="49"/>
      <c r="C939" s="49"/>
    </row>
    <row r="940" spans="2:3">
      <c r="B940" s="49"/>
      <c r="C940" s="49"/>
    </row>
    <row r="941" spans="2:3">
      <c r="B941" s="49"/>
      <c r="C941" s="49"/>
    </row>
    <row r="942" spans="2:3">
      <c r="B942" s="49"/>
      <c r="C942" s="49"/>
    </row>
    <row r="943" spans="2:3">
      <c r="B943" s="49"/>
      <c r="C943" s="49"/>
    </row>
    <row r="944" spans="2:3">
      <c r="B944" s="49"/>
      <c r="C944" s="49"/>
    </row>
    <row r="945" spans="2:3">
      <c r="B945" s="49"/>
      <c r="C945" s="49"/>
    </row>
    <row r="946" spans="2:3">
      <c r="B946" s="49"/>
      <c r="C946" s="49"/>
    </row>
    <row r="947" spans="2:3">
      <c r="B947" s="49"/>
      <c r="C947" s="49"/>
    </row>
    <row r="948" spans="2:3">
      <c r="B948" s="49"/>
      <c r="C948" s="49"/>
    </row>
    <row r="949" spans="2:3">
      <c r="B949" s="49"/>
      <c r="C949" s="49"/>
    </row>
    <row r="950" spans="2:3">
      <c r="B950" s="49"/>
      <c r="C950" s="49"/>
    </row>
    <row r="951" spans="2:3">
      <c r="B951" s="49"/>
      <c r="C951" s="49"/>
    </row>
    <row r="952" spans="2:3">
      <c r="B952" s="49"/>
      <c r="C952" s="49"/>
    </row>
    <row r="953" spans="2:3">
      <c r="B953" s="49"/>
      <c r="C953" s="49"/>
    </row>
    <row r="954" spans="2:3">
      <c r="B954" s="49"/>
      <c r="C954" s="49"/>
    </row>
    <row r="955" spans="2:3">
      <c r="B955" s="49"/>
      <c r="C955" s="49"/>
    </row>
    <row r="956" spans="2:3">
      <c r="B956" s="49"/>
      <c r="C956" s="49"/>
    </row>
    <row r="957" spans="2:3">
      <c r="B957" s="49"/>
      <c r="C957" s="49"/>
    </row>
    <row r="958" spans="2:3">
      <c r="B958" s="49"/>
      <c r="C958" s="49"/>
    </row>
    <row r="959" spans="2:3">
      <c r="B959" s="49"/>
      <c r="C959" s="49"/>
    </row>
    <row r="960" spans="2:3">
      <c r="B960" s="49"/>
      <c r="C960" s="49"/>
    </row>
    <row r="961" spans="2:3">
      <c r="B961" s="49"/>
      <c r="C961" s="49"/>
    </row>
    <row r="962" spans="2:3">
      <c r="B962" s="49"/>
      <c r="C962" s="49"/>
    </row>
    <row r="963" spans="2:3">
      <c r="B963" s="49"/>
      <c r="C963" s="49"/>
    </row>
    <row r="964" spans="2:3">
      <c r="B964" s="49"/>
      <c r="C964" s="49"/>
    </row>
    <row r="965" spans="2:3">
      <c r="B965" s="49"/>
      <c r="C965" s="49"/>
    </row>
    <row r="966" spans="2:3">
      <c r="B966" s="49"/>
      <c r="C966" s="49"/>
    </row>
    <row r="967" spans="2:3">
      <c r="B967" s="49"/>
      <c r="C967" s="49"/>
    </row>
    <row r="968" spans="2:3">
      <c r="B968" s="49"/>
      <c r="C968" s="49"/>
    </row>
    <row r="969" spans="2:3">
      <c r="B969" s="49"/>
      <c r="C969" s="49"/>
    </row>
    <row r="970" spans="2:3">
      <c r="B970" s="49"/>
      <c r="C970" s="49"/>
    </row>
    <row r="971" spans="2:3">
      <c r="B971" s="49"/>
      <c r="C971" s="49"/>
    </row>
    <row r="972" spans="2:3">
      <c r="B972" s="49"/>
      <c r="C972" s="49"/>
    </row>
    <row r="973" spans="2:3">
      <c r="B973" s="49"/>
      <c r="C973" s="49"/>
    </row>
    <row r="974" spans="2:3">
      <c r="B974" s="49"/>
      <c r="C974" s="49"/>
    </row>
    <row r="975" spans="2:3">
      <c r="B975" s="49"/>
      <c r="C975" s="49"/>
    </row>
    <row r="976" spans="2:3">
      <c r="B976" s="49"/>
      <c r="C976" s="49"/>
    </row>
    <row r="977" spans="2:3">
      <c r="B977" s="49"/>
      <c r="C977" s="49"/>
    </row>
    <row r="978" spans="2:3">
      <c r="B978" s="49"/>
      <c r="C978" s="49"/>
    </row>
    <row r="979" spans="2:3">
      <c r="B979" s="49"/>
      <c r="C979" s="49"/>
    </row>
    <row r="980" spans="2:3">
      <c r="B980" s="49"/>
      <c r="C980" s="49"/>
    </row>
    <row r="981" spans="2:3">
      <c r="B981" s="49"/>
      <c r="C981" s="49"/>
    </row>
    <row r="982" spans="2:3">
      <c r="B982" s="49"/>
      <c r="C982" s="49"/>
    </row>
    <row r="983" spans="2:3">
      <c r="B983" s="49"/>
      <c r="C983" s="49"/>
    </row>
    <row r="984" spans="2:3">
      <c r="B984" s="49"/>
      <c r="C984" s="49"/>
    </row>
    <row r="985" spans="2:3">
      <c r="B985" s="49"/>
      <c r="C985" s="49"/>
    </row>
    <row r="986" spans="2:3">
      <c r="B986" s="49"/>
      <c r="C986" s="49"/>
    </row>
    <row r="987" spans="2:3">
      <c r="B987" s="49"/>
      <c r="C987" s="49"/>
    </row>
  </sheetData>
  <mergeCells count="6">
    <mergeCell ref="A16:F16"/>
    <mergeCell ref="A1:F1"/>
    <mergeCell ref="A3:F3"/>
    <mergeCell ref="A5:F5"/>
    <mergeCell ref="A11:F11"/>
    <mergeCell ref="A13: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GPT Test</vt:lpstr>
      <vt:lpstr>Codebook (revised)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2026-08-14T10:15:34Z</dcterms:modified>
</cp:coreProperties>
</file>
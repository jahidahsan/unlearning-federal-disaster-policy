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6902044D-BC11-4E82-8306-EA70E56BB699}" xr6:coauthVersionLast="47" xr6:coauthVersionMax="47" xr10:uidLastSave="{00000000-0000-0000-0000-000000000000}"/>
  <bookViews>
    <workbookView xWindow="-66" yWindow="-66" windowWidth="23172" windowHeight="12372" xr2:uid="{00000000-000D-0000-FFFF-FFFF00000000}"/>
  </bookViews>
  <sheets>
    <sheet name="GPT Test" sheetId="1" r:id="rId1"/>
    <sheet name="Codebook (revised)"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13" i="1" l="1"/>
  <c r="AI13" i="1"/>
  <c r="AH13" i="1"/>
  <c r="AJ12" i="1"/>
  <c r="AI12" i="1"/>
  <c r="AH12" i="1"/>
  <c r="AJ11" i="1"/>
  <c r="AI11" i="1"/>
  <c r="AH11" i="1"/>
  <c r="AD11" i="1"/>
  <c r="AD10" i="1"/>
  <c r="AD9" i="1"/>
  <c r="AD8" i="1"/>
  <c r="AN7" i="1"/>
  <c r="AM7" i="1"/>
  <c r="AL7" i="1"/>
  <c r="AK7" i="1"/>
  <c r="AJ7" i="1"/>
  <c r="AI7" i="1"/>
  <c r="AH7" i="1"/>
  <c r="AD7" i="1"/>
  <c r="AN6" i="1"/>
  <c r="AM6" i="1"/>
  <c r="AL6" i="1"/>
  <c r="AK6" i="1"/>
  <c r="AJ6" i="1"/>
  <c r="AI6" i="1"/>
  <c r="AH6" i="1"/>
  <c r="AD6" i="1"/>
  <c r="AN5" i="1"/>
  <c r="AM5" i="1"/>
  <c r="AL5" i="1"/>
  <c r="AK5" i="1"/>
  <c r="AJ5" i="1"/>
  <c r="AI5" i="1"/>
  <c r="AH5" i="1"/>
  <c r="AD5" i="1"/>
  <c r="AN4" i="1"/>
  <c r="AM4" i="1"/>
  <c r="AL4" i="1"/>
  <c r="AK4" i="1"/>
  <c r="AJ4" i="1"/>
  <c r="AI4" i="1"/>
  <c r="AH4" i="1"/>
  <c r="AD4" i="1"/>
  <c r="AN3" i="1"/>
  <c r="AM3" i="1"/>
  <c r="AL3" i="1"/>
  <c r="AK3" i="1"/>
  <c r="AJ3" i="1"/>
  <c r="AI3" i="1"/>
  <c r="AH3" i="1"/>
  <c r="AD3" i="1"/>
  <c r="AD2" i="1"/>
</calcChain>
</file>

<file path=xl/sharedStrings.xml><?xml version="1.0" encoding="utf-8"?>
<sst xmlns="http://schemas.openxmlformats.org/spreadsheetml/2006/main" count="2018" uniqueCount="976">
  <si>
    <t>Passage_ID</t>
  </si>
  <si>
    <t>Original_Number</t>
  </si>
  <si>
    <t>Reference</t>
  </si>
  <si>
    <t>Text_Content</t>
  </si>
  <si>
    <t>Document</t>
  </si>
  <si>
    <t>Source_File</t>
  </si>
  <si>
    <t>old_gold_unlearning</t>
  </si>
  <si>
    <t>old_gold_binary</t>
  </si>
  <si>
    <t>new_gold_unlearning</t>
  </si>
  <si>
    <t>new_gold_binary</t>
  </si>
  <si>
    <t>anmol_unlearning</t>
  </si>
  <si>
    <t>prerana_unlearning</t>
  </si>
  <si>
    <t>kyle_unlearning</t>
  </si>
  <si>
    <t>Original_Labeler</t>
  </si>
  <si>
    <t>Selected_Codes</t>
  </si>
  <si>
    <t>Adjudication_Rationale</t>
  </si>
  <si>
    <t>Latest_Label_Source</t>
  </si>
  <si>
    <t>Rationale_Source</t>
  </si>
  <si>
    <t>Review_Flag</t>
  </si>
  <si>
    <t>Review_Issue</t>
  </si>
  <si>
    <t>Gold_Change</t>
  </si>
  <si>
    <t>Duplicate_Type</t>
  </si>
  <si>
    <t>Dedup_Action</t>
  </si>
  <si>
    <t>Text_Cleaning_Notes</t>
  </si>
  <si>
    <t>Label_History</t>
  </si>
  <si>
    <t>Source_Records</t>
  </si>
  <si>
    <t>Leakage_Check</t>
  </si>
  <si>
    <t>Curation Summary</t>
  </si>
  <si>
    <t>Included Passages by Document</t>
  </si>
  <si>
    <t>Included passages</t>
  </si>
  <si>
    <t>Included</t>
  </si>
  <si>
    <t>Old Yes</t>
  </si>
  <si>
    <t>Old No</t>
  </si>
  <si>
    <t>New Yes</t>
  </si>
  <si>
    <t>New No</t>
  </si>
  <si>
    <t>Review Flags</t>
  </si>
  <si>
    <t>Gold Changes</t>
  </si>
  <si>
    <t>Old Gold Yes</t>
  </si>
  <si>
    <t>Prior curated gold labels</t>
  </si>
  <si>
    <t>ERP Report</t>
  </si>
  <si>
    <t>Old Gold No</t>
  </si>
  <si>
    <t>Newly added EPA passages are No in old gold</t>
  </si>
  <si>
    <t>GAO</t>
  </si>
  <si>
    <t>New Gold Yes</t>
  </si>
  <si>
    <t>Latest labels with anmol &gt; prerana &gt; kyle</t>
  </si>
  <si>
    <t>EPA</t>
  </si>
  <si>
    <t>New Gold No</t>
  </si>
  <si>
    <t>Hurricane Katrina</t>
  </si>
  <si>
    <t>Gold labels changed</t>
  </si>
  <si>
    <t>9 existing EPA Yes→No changes plus 1 new EPA No→Yes passage</t>
  </si>
  <si>
    <t>PAR</t>
  </si>
  <si>
    <t>Manual-review flags</t>
  </si>
  <si>
    <t>Rows needing label/text/dedup review</t>
  </si>
  <si>
    <t>Missing original labeler</t>
  </si>
  <si>
    <t>Findings-only rows; no labeler invented</t>
  </si>
  <si>
    <t>Latest Coder-Specific Labels</t>
  </si>
  <si>
    <t>Excluded passage groups</t>
  </si>
  <si>
    <t>Duplicate/leakage/non-paragraph exclusions</t>
  </si>
  <si>
    <t>Labeler</t>
  </si>
  <si>
    <t>Labeled rows</t>
  </si>
  <si>
    <t>Yes</t>
  </si>
  <si>
    <t>No</t>
  </si>
  <si>
    <t>New EPA passages</t>
  </si>
  <si>
    <t>Both old-gold No; latest P4=No and P5=Yes</t>
  </si>
  <si>
    <t>anmol</t>
  </si>
  <si>
    <t>prerana</t>
  </si>
  <si>
    <t>kyle</t>
  </si>
  <si>
    <t>EPA Re-evaluation Audit — Prerana Latest Labels</t>
  </si>
  <si>
    <r>
      <rPr>
        <b/>
        <sz val="11"/>
        <color theme="1"/>
        <rFont val="Arial"/>
      </rPr>
      <t>Objective:</t>
    </r>
    <r>
      <rPr>
        <sz val="11"/>
        <color theme="1"/>
        <rFont val="Arial"/>
      </rPr>
      <t xml:space="preserve"> The key objective of this paper is "how to study unlearning?" This codebook supports this objective through the development of an empirical, and evidence-based understanding of how unlearning shows up in large U.S. government bureaucracies, particularly in the context of catastrophic disasters and climate-amplified risks. Additionally, to explore the utility of LLMs for the annotation of policy documents. The codebook enables this by: 
1. Differentiating unlearning from learning, reform, and innovation
2. Classifying unlearning into analytically distinct pillars
3. Assessing the depth and nature of unlearning
4. Identifying specific agencies, sub-units, procedures, and legal mechanisms requiring unlearning</t>
    </r>
  </si>
  <si>
    <t>Code</t>
  </si>
  <si>
    <t>Definition</t>
  </si>
  <si>
    <t>Detection Logic</t>
  </si>
  <si>
    <t>Examples</t>
  </si>
  <si>
    <t>Positive Clarification</t>
  </si>
  <si>
    <t>Negative Clarification</t>
  </si>
  <si>
    <t>Step 1 -- Binary classification based on unlearning definition</t>
  </si>
  <si>
    <t>Unlearning (Yes/No)</t>
  </si>
  <si>
    <r>
      <rPr>
        <sz val="10"/>
        <color theme="1"/>
        <rFont val="Arial"/>
      </rPr>
      <t xml:space="preserve">Unlearning is the deliberate process by which a government agency discards misaligned assumptions, obsolete knowledge, or outdated routines in response to demonstrated failure — here, Hurricane Katrina. It becomes visible in discourse when institutions explicitly problematise a prior practice, justify its abandonment, and signal a departure from established norms. The three key attributes of unlarning are: </t>
    </r>
    <r>
      <rPr>
        <b/>
        <sz val="10"/>
        <color theme="1"/>
        <rFont val="Arial"/>
      </rPr>
      <t>Intentionality</t>
    </r>
    <r>
      <rPr>
        <sz val="10"/>
        <color theme="1"/>
        <rFont val="Arial"/>
      </rPr>
      <t xml:space="preserve"> speaks to the motivation: unlearning is deliberate and purposeful, rather than passive forgetting. 
</t>
    </r>
    <r>
      <rPr>
        <b/>
        <sz val="10"/>
        <color theme="1"/>
        <rFont val="Arial"/>
      </rPr>
      <t>Subtraction</t>
    </r>
    <r>
      <rPr>
        <sz val="10"/>
        <color theme="1"/>
        <rFont val="Arial"/>
      </rPr>
      <t xml:space="preserve"> speaks to the direction: unlearning focuses on reassessing or discarding what is already known or taken for granted, acknowledging that past knowledge is now obsolete. It removes rather than adds.
</t>
    </r>
    <r>
      <rPr>
        <b/>
        <sz val="10"/>
        <color theme="1"/>
        <rFont val="Arial"/>
      </rPr>
      <t>Discontinuity</t>
    </r>
    <r>
      <rPr>
        <sz val="10"/>
        <color theme="1"/>
        <rFont val="Arial"/>
      </rPr>
      <t xml:space="preserve"> speaks to the magnitude: unlearning entails a fundamental departure from inherited assumptions, often involving shifts in worldview, norms, objectives and approaches. It's a rupture, not an adjustment.
</t>
    </r>
  </si>
  <si>
    <t>Does the text explicitly identify a prior policy, assumption, practice, or technical system as inadequate or harmful — AND call for its removal, replacement, or fundamental rethinking?
If YES → code as Unlearning; proceed to Step 2.
If NO  → do not code; stop here.</t>
  </si>
  <si>
    <t>"[Keep safety at the forefront of public priorities by having all responsible agencies re-evaluate their policies and practices to ensure that protection of public safety, health, and welfare is the top priority for infrequent but potentially devastating impacts from hurricanes and flooding. Also, encourage Congress to establish and fund a mechanism for a nationwide levee safety program, similar to that which is in place for dams."
— EPA Report
(Prior assumption explicitly rejected; new approach mandated.)</t>
  </si>
  <si>
    <t>Code when the text:
• Names a specific prior assumption, policy, practice, or system as the source of failure.
• Explicitly calls for abandoning, replacing, dismantling, or fundamentally rethinking it.
• Frames the departure from past practice as necessary — not merely aspirational.</t>
  </si>
  <si>
    <t>DO NOT code if:
• The text only documents what went wrong without calling for change ('the levees failed').
• The change is purely additive — new resources or capacity added without rejecting prior logic.
• The text uses 'lessons learned' language that implies improvement, not replacement.
• A new tool/software is adopted but the underlying governance assumption is unchanged.
BOUNDARY CASE: Problem diagnosis alone ≠ unlearning. 'The command structure was inadequate' is NOT unlearning unless the text also calls for dismantling or replacing that structure.</t>
  </si>
  <si>
    <t>STEP 2 — TARGET OF UNLEARNING (assign one per passage)</t>
  </si>
  <si>
    <t>Target (Leadership)</t>
  </si>
  <si>
    <t>The text questions or redefines the role, authority, or responsibilities of a specific leadership position (e.g., DHS Secretary, FEMA Director, POTUS) in disaster management — not merely who occupies the role, but whether the role itself is fit for purpose.</t>
  </si>
  <si>
    <t>Does the text call for redefining or redistributing leadership authority — not just replacing the person in the role?</t>
  </si>
  <si>
    <t>"[A] single individual directly responsible and accountable to the President must be designated to act as the central focal point to lead and coordinate the overall federal response…"
 — GAO
 (Prior distributed-authority model is rejected in favour of unified accountability.)</t>
  </si>
  <si>
    <t>Code when the text:
 • Calls into question whether an existing leadership structure is capable of managing catastrophic events.
 • Proposes redistributing, consolidating, or redefining authority at the leadership level.
 • Frames past leadership arrangements as a root cause of failure.</t>
  </si>
  <si>
    <t>DO NOT code if:
 • The text recommends appointing a new person to an existing, unchanged role.
 • Minor reporting-line adjustments are proposed without questioning the underlying authority structure.
 • Leadership is mentioned only as context, not as the object of change.</t>
  </si>
  <si>
    <t>Target (laws, plans and policies)</t>
  </si>
  <si>
    <t>The text calls for terminating, replacing, or fundamentally revising a law, regulation, plan, or formal policy that is now seen as harmful, unjust, or structurally inadequate.</t>
  </si>
  <si>
    <t>Does the text identify a specific law, plan, or policy as harmful or obsolete — and call for its elimination or replacement?</t>
  </si>
  <si>
    <t>"Removing statutory restrictions on DOD authority to activate Reserve units for catastrophic disaster relief."
 — GAO 
 (Existing statutory constraint identified as harmful; removal explicitly recommended.)</t>
  </si>
  <si>
    <t>Code when the text:
 • Calls for eliminating or replacing a specific statute, executive order, plan, or doctrine.
 • Frames an existing legal or policy arrangement as a root cause of failure.
 • Proposes dismantling a governance structure, not merely amending it at the margins.</t>
  </si>
  <si>
    <t>DO NOT code if:
 • The text proposes reform or better implementation of an existing policy without questioning its underlying logic.
 • A new plan is added alongside an old one, with no indication the old one is discarded.
 • The change is a routine policy update with no connection to Katrina-identified failure.</t>
  </si>
  <si>
    <t>Target (capabilities)</t>
  </si>
  <si>
    <t>The text identifies a technical system — model, map, software, infrastructure, training protocol, or engineering standard, assessing damage, citizen service, communications, exercise  — as built on obsolete assumptions and calls for its recalibration or replacement.</t>
  </si>
  <si>
    <t>Does the text identify a specific technical system as misaligned with catastrophic or climate-amplified risk — and call for its revision or replacement?</t>
  </si>
  <si>
    <t>"We identified the need for the federal government to upgrade training and exercises for state and local governments specifically geared towards catastrophic disaster response."
 — GAO 
 (Existing training regime is identified as inadequate for catastrophic-scale events; replacement mandated.)</t>
  </si>
  <si>
    <t>Code when the text:
 • Identifies a technical system (model, protocol, map, standard) as based on outdated or inadequate assumptions.
 • Calls for replacing engineering standards, revising risk models, or overhauling training regimes.
 • Frames the technical failure as rooted in prior assumptions, not just under-resourcing.</t>
  </si>
  <si>
    <t>DO NOT code if:
 • The text describes routine maintenance or a standard equipment upgrade with no prior assumption rejected.
 • New technology is added as a supplement without any existing system being questioned.
 • The text identifies a gap without calling for the replacement of the system that created the gap.</t>
  </si>
  <si>
    <t>Target (funds and resource allocation)</t>
  </si>
  <si>
    <t>The text calls for changing how disaster funds are allocated, distributed, or governed — not merely requesting more funding, but questioning the rules or structures that govern resource flow.</t>
  </si>
  <si>
    <t>Does the text identify the existing funds management structure as inadequate — and call for changing how resources are allocated or governed?</t>
  </si>
  <si>
    <t>"Federal agencies involved in managing international assistance were not prepared to coordinate, receive, distribute, or account for the assistance… agencies had not planned for the acceptance of international assistance for use in the United States."
 — GAO 
 (Absence of a resource-management framework identified; new procedures explicitly required.)</t>
  </si>
  <si>
    <t>Code when the text:
 • Calls for changing the rules, structures, or authorities governing funds distribution.
 • Identifies an existing allocation logic as a source of inequity or failure.
 • Proposes dismantling or replacing a resource governance mechanism.</t>
  </si>
  <si>
    <t>DO NOT code if:
 • The text only requests additional funding without questioning how existing funds are managed.
 • A new grant programme is added without any existing allocation logic being rejected.
 • Funds management approach remains substantively unchanged.</t>
  </si>
  <si>
    <t>Target (misclleanous) organizational culture, communication norms, or inter-agency coordination logics, role of stakehodlers not captured above</t>
  </si>
  <si>
    <t>The text calls for unlearning in a domain not captured above — such as inter-agency coordination norms, communication protocols, or organisational culture — where a specific prior assumption or practice is explicitly rejected.</t>
  </si>
  <si>
    <t>Does the text call for discarding a prior assumption or practice in a domain not covered by the four targets above?</t>
  </si>
  <si>
    <t>Use sparingly. Flag for team discussion if used more than 10% of coded passages.</t>
  </si>
  <si>
    <t>Code when the text:
 • Explicitly rejects a prior norm or practice in coordination, culture, or communication.
 • Cannot reasonably be assigned to any of the four primary targets.</t>
  </si>
  <si>
    <t>DO NOT use as a default catch-all. If the passage is ambiguous across targets, assign the closest primary target and note the ambiguity. Reserve this code for genuinely novel domains.
 Flag all uses of this code for inter-coder discussion.</t>
  </si>
  <si>
    <t>STEP 3 — STAKEHOLDER / AGENCY (assign one per passage)</t>
  </si>
  <si>
    <t>Government Agency</t>
  </si>
  <si>
    <t>The specific federal agency, sub-unit, or institutional actor identified in the passage as the subject of unlearning — i.e., the entity whose prior assumption or practice is being rejected.</t>
  </si>
  <si>
    <t>Does the text name a specific agency, office, or sub-unit as the actor whose prior practice must change?</t>
  </si>
  <si>
    <t>"[O]ther factors such as leadership and resources may be more important to FEMA future success than organizational placement."
 — GAO
 (FEMA named as the agency whose organisational logic is under scrutiny.)</t>
  </si>
  <si>
    <t>Code when the text:
 • Names a specific government agency, office, or legal mechanism as the subject of change.
 • Code at the most specific level mentioned (e.g., 'FEMA Operations Division', not just 'FEMA').</t>
  </si>
  <si>
    <t>DO NOT code the agency calling for change (e.g., GAO recommending FEMA reform) — code only the agency whose practices are the object of unlearning.</t>
  </si>
  <si>
    <t>CODING PROCEDURE &amp; UNIT OF ANALYSIS</t>
  </si>
  <si>
    <t>Unit of Analysis</t>
  </si>
  <si>
    <t>Code at the paragraph level. Do not split a paragraph across multiple codes.</t>
  </si>
  <si>
    <t>Does the paragraph as a whole constitute an instance of unlearning?</t>
  </si>
  <si>
    <t>If a paragraph contains both diagnostic language and a call for change, code the paragraph as Unlearning (Yes).</t>
  </si>
  <si>
    <t>Code the entire paragraph — do not extract individual sentences.</t>
  </si>
  <si>
    <t>If the paragraph only diagnoses a problem without calling for change, do NOT code as unlearning.</t>
  </si>
  <si>
    <t>ICA Protocol</t>
  </si>
  <si>
    <t>Each coder assigns: (1) Unlearning Yes/No, (2) Target, (3) Agency. Disagreements on any dimension are flagged and resolved by majority or adjudication.</t>
  </si>
  <si>
    <t>—</t>
  </si>
  <si>
    <t>Target: Miscellaneous and boundary-case passages should be flagged for team discussion before finalising.</t>
  </si>
  <si>
    <t>Record all disagreements and resolutions in the ICA log.</t>
  </si>
  <si>
    <t>Do not adjudicate privately — all boundary cases go to the full team.</t>
  </si>
  <si>
    <t>Revised codebook — Pillars replaced by Targets | Depth &amp; Nature dimensions removed | Paragraph-level coding | Boundary cases flagged for team adjudication</t>
  </si>
  <si>
    <t>ERP-001</t>
  </si>
  <si>
    <t>2:1</t>
  </si>
  <si>
    <t>p 6</t>
  </si>
  <si>
    <t>erpreport.pdf</t>
  </si>
  <si>
    <t>Nature: Technical Nature, Pillar: Realignment (Technical), Unlearning</t>
  </si>
  <si>
    <t>It identifies an engineering problem and implicitly calls for armouring and a change in construction practice.</t>
  </si>
  <si>
    <t>AnmolRationale_August12!row 26 (Latest Anmol August 12 re-evaluation)</t>
  </si>
  <si>
    <t>AnmolRationale_August12!row 26</t>
  </si>
  <si>
    <t>Multiple labelers (anmol, kyle); exact-duplicate priority yields anmol.</t>
  </si>
  <si>
    <t>Exact annotation duplicate</t>
  </si>
  <si>
    <t>Consolidated exact duplicate annotations from multiple sheets into one passage row.</t>
  </si>
  <si>
    <t>AnmolRationale_August12!r26 (G044; anmol): Yes [SELECTED] | ICAResults_25April2026!r55 (G044; kyle): Yes | RationaleSheet_April20_v1!r30 (G044; kyle): Yes</t>
  </si>
  <si>
    <t>AnmolRationale_August12!r26[G044]; ICAResults_25April2026!r55[G044]; RationaleSheet_April20_v1!r30[G044]</t>
  </si>
  <si>
    <t>Clear — no codebook example passage retained</t>
  </si>
  <si>
    <t>Unique included rows after curation and removal of Kyle-only passages</t>
  </si>
  <si>
    <t>ERP-002</t>
  </si>
  <si>
    <t>2:2</t>
  </si>
  <si>
    <t>Depth: High depth, Nature: Technical Nature, Pillar: Realignment (Technical), Unlearning</t>
  </si>
  <si>
    <t>It identifies an engineering problem and calls for an inter-connected system.</t>
  </si>
  <si>
    <t>AnmolRationale_August12!row 27 (Latest Anmol August 12 re-evaluation)</t>
  </si>
  <si>
    <t>AnmolRationale_August12!row 27</t>
  </si>
  <si>
    <t>AnmolRationale_August12!r27 (G045; anmol): Yes [SELECTED] | ICAResults_25April2026!r56 (G045; kyle): Yes | RationaleSheet_April20_v1!r31 (G045; kyle): Yes</t>
  </si>
  <si>
    <t>AnmolRationale_August12!r27[G045]; ICAResults_25April2026!r56[G045]; RationaleSheet_April20_v1!r31[G045]</t>
  </si>
  <si>
    <t>ERP-003</t>
  </si>
  <si>
    <t>2:3</t>
  </si>
  <si>
    <t>p 7</t>
  </si>
  <si>
    <t>No single agency was in charge of hurricane protection in New Orleans. Rather, responsibility for the maintenance and operation of the levees and pump stations was spread over many federal, state, parish, and local agencies. This lack of inter-agency coordination led to many adverse consequences from Hurricane Katrina</t>
  </si>
  <si>
    <t>Depth: Moderate depth, Nature: Normative Nature, Pillar: Discarding (Normative), Unlearning</t>
  </si>
  <si>
    <t>it identifies inter-agency coordination as a problem and implicitly calls for change.</t>
  </si>
  <si>
    <t>AnmolRationale_August12!row 28 (Latest Anmol August 12 re-evaluation)</t>
  </si>
  <si>
    <t>AnmolRationale_August12!row 28</t>
  </si>
  <si>
    <t>AnmolRationale_August12!r28 (G048; anmol): Yes [SELECTED] | ICAResults_25April2026!r57 (G048; kyle): Yes | RationaleSheet_April20_v1!r32 (G048; kyle): Yes</t>
  </si>
  <si>
    <t>AnmolRationale_August12!r28[G048]; ICAResults_25April2026!r57[G048]; RationaleSheet_April20_v1!r32[G048]</t>
  </si>
  <si>
    <t>ERP-004</t>
  </si>
  <si>
    <t>2:4</t>
  </si>
  <si>
    <t>The hurricane protection system was funded on a project-by-project basis over many years. As a result, the system was constructed in a piecemeal fashion. In addition, there were pressures for tradeoffs and low-cost solutions that compromised quality, safety, and reliability.</t>
  </si>
  <si>
    <t>Depth: Moderate depth, Pillar: Reconsidering (Epistemic), Unlearning</t>
  </si>
  <si>
    <t>It identifies clear problems in project development and cost-cutting and implicitly calls for a fundamental change in the approach.</t>
  </si>
  <si>
    <t>AnmolRationale_August12!row 29 (Latest Anmol August 12 re-evaluation)</t>
  </si>
  <si>
    <t>AnmolRationale_August12!row 29</t>
  </si>
  <si>
    <t>Near/exact text variant</t>
  </si>
  <si>
    <t>Consolidated equivalent text groups G038, G052; retained cleaner representative G038. Also consolidated repeated annotations across source sheets.</t>
  </si>
  <si>
    <t>AnmolRationale_August12!r29 (G038; anmol): Yes [SELECTED] | ICAResults_25April2026!r58 (G052; kyle): Yes | RationaleSheet_April20_v1!r33 (G052; kyle): Yes</t>
  </si>
  <si>
    <t>AnmolRationale_August12!r29[G038]; ICAResults_25April2026!r58[G052]; RationaleSheet_April20_v1!r33[G052]</t>
  </si>
  <si>
    <t>ERP-005</t>
  </si>
  <si>
    <t>2:5</t>
  </si>
  <si>
    <t>The design of the New Orleans hurricane protection system was not subject to the rigorous external review by senior experts that is often conducted for similar life-safety structures and systems.</t>
  </si>
  <si>
    <t>Depth: High depth, Nature: Normative Nature, Pillar: Reconsidering (Epistemic), Unlearning</t>
  </si>
  <si>
    <t>It identifies review mechanism as problemtaic and implicitly calls for external review system</t>
  </si>
  <si>
    <t>AnmolRationale_August12!row 30 (Latest Anmol August 12 re-evaluation)</t>
  </si>
  <si>
    <t>AnmolRationale_August12!row 30</t>
  </si>
  <si>
    <t>AnmolRationale_August12!r30 (G049; anmol): Yes [SELECTED] | ICAResults_25April2026!r59 (G049; kyle): Yes | RationaleSheet_April20_v1!r34 (G049; kyle): Yes</t>
  </si>
  <si>
    <t>AnmolRationale_August12!r30[G049]; ICAResults_25April2026!r59[G049]; RationaleSheet_April20_v1!r34[G049]</t>
  </si>
  <si>
    <t>ERP-006</t>
  </si>
  <si>
    <t>2:7</t>
  </si>
  <si>
    <t>Quantify and periodically update the assessment of risk. This approach should be extended to all areas in the United States that are vulnerable to major losses from hurricanes and flooding.</t>
  </si>
  <si>
    <t>Depth: Low depth, Nature: Technical Nature, Pillar: Realignment (Technical), Unlearning</t>
  </si>
  <si>
    <t>not unlearning. Its not about fundamental rethingk or abandongin,b ut more of updating and extending.</t>
  </si>
  <si>
    <t>AnmolRationale_August12!row 32 (Latest Anmol August 12 re-evaluation)</t>
  </si>
  <si>
    <t>AnmolRationale_August12!row 32</t>
  </si>
  <si>
    <t>Conflicting historical binary labels (No/Yes); final label follows AnmolRationale_August12!row 32. Multiple labelers (anmol, kyle); exact-duplicate priority yields anmol. Latest rationale overrides stale code field (Yes in Codes vs No final).</t>
  </si>
  <si>
    <t>AnmolRationale_August12!r32 (G051; anmol): No [SELECTED] | ICAResults_25April2026!r61 (G051; kyle): Yes | RationaleSheet_April20_v1!r36 (G051; kyle): Yes</t>
  </si>
  <si>
    <t>AnmolRationale_August12!r32[G051]; ICAResults_25April2026!r61[G051]; RationaleSheet_April20_v1!r36[G051]</t>
  </si>
  <si>
    <t>ERP-007</t>
  </si>
  <si>
    <t>2:8</t>
  </si>
  <si>
    <t>pp 7-8</t>
  </si>
  <si>
    <t>Depth: Moderate depth, Nature: Normative Nature, Pillar: Merging (Integrative), Unlearning</t>
  </si>
  <si>
    <t>Not unlearnign. This is a generic statement and doesnt identify what was broken and needs to be rethought.</t>
  </si>
  <si>
    <t>AnmolRationale_August12!row 33 (Latest Anmol August 12 re-evaluation)</t>
  </si>
  <si>
    <t>AnmolRationale_August12!row 33</t>
  </si>
  <si>
    <t>Conflicting historical binary labels (No/Yes); final label follows AnmolRationale_August12!row 33. Multiple labelers (anmol, kyle); exact-duplicate priority yields anmol. Latest rationale overrides stale code field (Yes in Codes vs No final).</t>
  </si>
  <si>
    <t>Consolidated equivalent text groups G039, G042; retained cleaner representative G039. Also consolidated repeated annotations across source sheets.</t>
  </si>
  <si>
    <t>AnmolRationale_August12!r33 (G039; anmol): No [SELECTED] | ICAResults_25April2026!r62 (G042; kyle): Yes | RationaleSheet_April20_v1!r37 (G042; kyle): Yes</t>
  </si>
  <si>
    <t>AnmolRationale_August12!r33[G039]; ICAResults_25April2026!r62[G042]; RationaleSheet_April20_v1!r37[G042]</t>
  </si>
  <si>
    <t>ERP-008</t>
  </si>
  <si>
    <t>2:9</t>
  </si>
  <si>
    <t>p 8</t>
  </si>
  <si>
    <t>Correct the system’s deficiencies by establishing mechanisms to incorporate changing information, making the levees survivable if overtopped, strengthening the I-walls and levees, and upgrading the pumping stations</t>
  </si>
  <si>
    <t>Depth: Moderate depth, Nature: Technical Nature, Pillar: Realignment (Technical), Unlearning</t>
  </si>
  <si>
    <t>This is not unlearning. It speaks to upgrades and coorective measures, not fundamental rethink.</t>
  </si>
  <si>
    <t>AnmolRationale_August12!row 34 (Latest Anmol August 12 re-evaluation)</t>
  </si>
  <si>
    <t>AnmolRationale_August12!row 34</t>
  </si>
  <si>
    <t>Conflicting historical binary labels (No/Yes); final label follows AnmolRationale_August12!row 34. Multiple labelers (anmol, kyle); exact-duplicate priority yields anmol. Latest rationale overrides stale code field (Yes in Codes vs No final).</t>
  </si>
  <si>
    <t>AnmolRationale_August12!r34 (G059; anmol): No [SELECTED] | ICAResults_25April2026!r63 (G059; kyle): Yes | RationaleSheet_April20_v1!r38 (G059; kyle): Yes</t>
  </si>
  <si>
    <t>AnmolRationale_August12!r34[G059]; ICAResults_25April2026!r63[G059]; RationaleSheet_April20_v1!r38[G059]</t>
  </si>
  <si>
    <t>ERP-009</t>
  </si>
  <si>
    <t>2:10</t>
  </si>
  <si>
    <t>Assign to a single entity or individual (a licensed engineer) the responsibility of managing critical hurricane and flood protection systems such as the one in New Orleans.</t>
  </si>
  <si>
    <t>Depth: Moderate depth, Nature: Normative Nature, Pillar: Realignment (Technical), Unlearning</t>
  </si>
  <si>
    <t>This is unlearning. It doesnt identify a clear problem, but calls for fundamental rethink by assigning a single entity responsible managing criticl huyrricane.</t>
  </si>
  <si>
    <t>AnmolRationale_August12!row 35 (Latest Anmol August 12 re-evaluation)</t>
  </si>
  <si>
    <t>AnmolRationale_August12!row 35</t>
  </si>
  <si>
    <t>AnmolRationale_August12!r35 (G060; anmol): Yes [SELECTED] | ICAResults_25April2026!r64 (G060; kyle): Yes | RationaleSheet_April20_v1!r39 (G060; kyle): Yes</t>
  </si>
  <si>
    <t>AnmolRationale_August12!r35[G060]; ICAResults_25April2026!r64[G060]; RationaleSheet_April20_v1!r39[G060]</t>
  </si>
  <si>
    <t>ERP-010</t>
  </si>
  <si>
    <t>2:11</t>
  </si>
  <si>
    <t>Implement more effective mechanisms for coordination and cooperation. (For example, those responsible for maintenance of the system must collaborate with system designers and must upgrade their inspection, repair, and operations processes to ensure that the system is hurricane- and flood-ready.)</t>
  </si>
  <si>
    <t>Depth: Low depth, Nature: Technical Nature, Pillar: Merging (Integrative), Unlearning</t>
  </si>
  <si>
    <t>This is not unlearnign. It doesnt exolicitly identify a clear problem and asks for more additive changes related to upgrading.</t>
  </si>
  <si>
    <t>AnmolRationale_August12!row 36 (Latest Anmol August 12 re-evaluation)</t>
  </si>
  <si>
    <t>AnmolRationale_August12!row 36</t>
  </si>
  <si>
    <t>Conflicting historical binary labels (No/Yes); final label follows AnmolRationale_August12!row 36. Multiple labelers (anmol, kyle); exact-duplicate priority yields anmol. Latest rationale overrides stale code field (Yes in Codes vs No final).</t>
  </si>
  <si>
    <t>AnmolRationale_August12!r36 (G061; anmol): No [SELECTED] | ICAResults_25April2026!r65 (G061; kyle): Yes | RationaleSheet_April20_v1!r40 (G061; kyle): Yes</t>
  </si>
  <si>
    <t>AnmolRationale_August12!r36[G061]; ICAResults_25April2026!r65[G061]; RationaleSheet_April20_v1!r40[G061]</t>
  </si>
  <si>
    <t>ERP-011</t>
  </si>
  <si>
    <t>2:12</t>
  </si>
  <si>
    <t>This is unlearning. It doesn't identify the clear problem explicitly, but I can surmise that independent experts weren't part of the review, and it calls for a new approach where they are engaged.</t>
  </si>
  <si>
    <t>AnmolRationale_August12!row 37 (Latest Anmol August 12 re-evaluation)</t>
  </si>
  <si>
    <t>AnmolRationale_August12!row 37</t>
  </si>
  <si>
    <t>AnmolRationale_August12!r37 (G062; anmol): Yes [SELECTED] | ICAResults_25April2026!r66 (G062; kyle): Yes | RationaleSheet_April20_v1!r41 (G062; kyle): Yes</t>
  </si>
  <si>
    <t>AnmolRationale_August12!r37[G062]; ICAResults_25April2026!r66[G062]; RationaleSheet_April20_v1!r41[G062]</t>
  </si>
  <si>
    <t>Kyle-only passages removed</t>
  </si>
  <si>
    <t>4 GAO + 4 EPA rows; remaining Passage_IDs renumbered</t>
  </si>
  <si>
    <t>ERP-012</t>
  </si>
  <si>
    <t>2:19</t>
  </si>
  <si>
    <t>p 56</t>
  </si>
  <si>
    <t>Depth: Moderate depth, Nature: Technical Nature, Pillar: Realignment (Technical), Stakeholder: USACE, Unlearning</t>
  </si>
  <si>
    <t>This identifies a engineering flaw in soil strength estimation and calls for adopting more conservative estimates.</t>
  </si>
  <si>
    <t>AnmolRationale_August12!row 44 (Latest Anmol August 12 re-evaluation)</t>
  </si>
  <si>
    <t>AnmolRationale_August12!row 44</t>
  </si>
  <si>
    <t>Multiple labelers (anmol, kyle); exact-duplicate priority yields anmol. Source span contains two paragraphs; verify paragraph boundary.</t>
  </si>
  <si>
    <t>AnmolRationale_August12!r44 (G043; anmol): Yes [SELECTED] | ICAResults_25April2026!r73 (G043; kyle): Yes | RationaleSheet_April20_v1!r48 (G043; kyle): Yes</t>
  </si>
  <si>
    <t>AnmolRationale_August12!r44[G043]; ICAResults_25April2026!r73[G043]; RationaleSheet_April20_v1!r48[G043]</t>
  </si>
  <si>
    <t>ERP-013</t>
  </si>
  <si>
    <t>2:20</t>
  </si>
  <si>
    <t>p 67</t>
  </si>
  <si>
    <t>The pumping stations throughout the New Orleans area could have been—but were not—an integral part of the hurricane protection system. Most hurricanes and tropical storms bring heavy rainfall, but the pump stations were designed only to remove stormwater runoff and routine seepage water from the interior drainage system and pump it into Lake Pontchartrain or other nearby bodies of water.
During Hurricane Katrina, more than 12 inches of rain fell on parts of New Orleans. During and after Hurricane Katrina, a few pump stations operated, but their output, approximately 18,000 cubic feet per second (about 16 percent of total pumping capacity for the region), played no significant role in lowering floodwaters because the pump stations were not located in the areas of worst flooding.</t>
  </si>
  <si>
    <t>Depth: Moderate depth, Nature: Technical Nature, Pillar: Realignment (Technical), Stakeholder: Miscelleanous, Stakeholder: USACE, Unlearning</t>
  </si>
  <si>
    <t>It identifies the design, location and role of pump stations as a findamental problem and implicitly calls for them to be redesigned to play a larger role lowering floodwater.</t>
  </si>
  <si>
    <t>AnmolRationale_August12!row 45 (Latest Anmol August 12 re-evaluation)</t>
  </si>
  <si>
    <t>AnmolRationale_August12!row 45</t>
  </si>
  <si>
    <t>AnmolRationale_August12!r45 (G046; anmol): Yes [SELECTED] | ICAResults_25April2026!r74 (G046; kyle): Yes | RationaleSheet_April20_v1!r49 (G046; kyle): Yes</t>
  </si>
  <si>
    <t>AnmolRationale_August12!r45[G046]; ICAResults_25April2026!r74[G046]; RationaleSheet_April20_v1!r49[G046]</t>
  </si>
  <si>
    <t>Decision rule: old_gold_unlearning preserves the prior curated target. new_gold_unlearning uses each coder's latest judgment with priority anmol &gt; prerana &gt; kyle for retained passages. Passages labeled only by Kyle have been removed from the included test set. The three *_unlearning coder columns are Yes/No, with blanks meaning that coder did not label the retained passage. For coder-specific accuracy, score only rows where that coder's column is nonblank. Prerana's EPA annotations 1:6–1:19 are all No in her latest column; EPA-Re:P4 is No and EPA-Re:P5 is Yes but flagged as a weak/internal-consistency boundary case.</t>
  </si>
  <si>
    <t>ERP-014</t>
  </si>
  <si>
    <t>2:21</t>
  </si>
  <si>
    <t>p 68</t>
  </si>
  <si>
    <t>Unintended reverse flow through some pumps in Jefferson Parish even added to the flooding. While methods were available to prevent reverse flow, they depended on human operators and electrical power, neither of which were present at the time. In the absence of automatic backflow preventers within the pump stations, water in the canals flowed through some idle pumps back into the city.</t>
  </si>
  <si>
    <t>Depth: Moderate depth, Nature: Technical Nature, Pillar: Realignment (Technical), Stakeholder: Miscelleanous, Unlearning</t>
  </si>
  <si>
    <t>This idenfiies a clear flaw in the design of pump stations wherein there is no reverse flow mechanism and calls for redesign.</t>
  </si>
  <si>
    <t>AnmolRationale_August12!row 46 (Latest Anmol August 12 re-evaluation)</t>
  </si>
  <si>
    <t>AnmolRationale_August12!row 46</t>
  </si>
  <si>
    <t>AnmolRationale_August12!r46 (G047; anmol): Yes [SELECTED] | ICAResults_25April2026!r75 (G047; kyle): Yes | RationaleSheet_April20_v1!r50 (G047; kyle): Yes</t>
  </si>
  <si>
    <t>AnmolRationale_August12!r46[G047]; ICAResults_25April2026!r75[G047]; RationaleSheet_April20_v1!r50[G047]</t>
  </si>
  <si>
    <t>ERP-015</t>
  </si>
  <si>
    <t>2:22</t>
  </si>
  <si>
    <t>p 70</t>
  </si>
  <si>
    <t>Depth: High depth, Pillar: Merging (Integrative), Pillar: Realignment (Technical), Stakeholder: Miscelleanous, Unlearning</t>
  </si>
  <si>
    <t>This identifies a clear flaw in reisk estimation related to loss of life and asks for a rethink in estimates.</t>
  </si>
  <si>
    <t>AnmolRationale_August12!row 47 (Latest Anmol August 12 re-evaluation)</t>
  </si>
  <si>
    <t>AnmolRationale_August12!row 47</t>
  </si>
  <si>
    <t>AnmolRationale_August12!r47 (G053; anmol): Yes [SELECTED] | ICAResults_25April2026!r76 (G053; kyle): Yes | RationaleSheet_April20_v1!r51 (G053; kyle): Yes</t>
  </si>
  <si>
    <t>AnmolRationale_August12!r47[G053]; ICAResults_25April2026!r76[G053]; RationaleSheet_April20_v1!r51[G053]</t>
  </si>
  <si>
    <t>Source_Annotation</t>
  </si>
  <si>
    <t>Source_Row</t>
  </si>
  <si>
    <t>Kept_Passage_ID</t>
  </si>
  <si>
    <t>Previous_Prerana</t>
  </si>
  <si>
    <t>Latest_Prerana</t>
  </si>
  <si>
    <t>Verification_Note</t>
  </si>
  <si>
    <t>ERP-016</t>
  </si>
  <si>
    <t>2:23</t>
  </si>
  <si>
    <t>p 71</t>
  </si>
  <si>
    <t>Critical questions need to be answered about hurricane-induced levee and floodwall failure. What is the risk? How much risk is acceptable? How can this level of risk be effectively communicated? How should the hurricane protection system be designed based on risk? Work to define the frequency of hurricanes in New Orleans is on-going. It appears that Hurricane Katrina had a probability-based recurrence interval in the range of 50 to 500 years, meaning that, in the future, a storm such as Hurricane Katrina has 1 in 50 to 1 in 500 chance of occurring in any one year. Furthermore, work to define the probability that the hurricane protection system would fail from the hurricane forces is also on-going.</t>
  </si>
  <si>
    <t>Depth: High depth, Nature: Technical Nature, Pillar: Realignment (Technical), Stakeholder: Miscelleanous, Unlearning</t>
  </si>
  <si>
    <t>Not unlearning. There is no clear policy failure and fundamental change being suggested.</t>
  </si>
  <si>
    <t>AnmolRationale_August12!row 48 (Latest Anmol August 12 re-evaluation)</t>
  </si>
  <si>
    <t>AnmolRationale_August12!row 48</t>
  </si>
  <si>
    <t>Conflicting historical binary labels (No/Yes); final label follows AnmolRationale_August12!row 48. Multiple labelers (anmol, kyle); exact-duplicate priority yields anmol. Latest rationale overrides stale code field (Yes in Codes vs No final).</t>
  </si>
  <si>
    <t>AnmolRationale_August12!r48 (G054; anmol): No [SELECTED] | ICAResults_25April2026!r77 (G054; kyle): Yes | RationaleSheet_April20_v1!r52 (G054; kyle): Yes</t>
  </si>
  <si>
    <t>AnmolRationale_August12!r48[G054]; ICAResults_25April2026!r77[G054]; RationaleSheet_April20_v1!r52[G054]</t>
  </si>
  <si>
    <t>1:6</t>
  </si>
  <si>
    <t>EPA-004</t>
  </si>
  <si>
    <t>Yes → No</t>
  </si>
  <si>
    <t>Matched to EPA Re Prerana p. 7; cropped text replaced by complete sentence.</t>
  </si>
  <si>
    <t>ERP-017</t>
  </si>
  <si>
    <t>2:24</t>
  </si>
  <si>
    <t>pp 73-74</t>
  </si>
  <si>
    <t>The USACE defines the standard project hurricane (SPH) as a hypothetical hurricane intended to represent the most severe combination of hurricane parameters that is reasonably characteristic of a specified region.
The definition “reasonably characteristic” implies that the SPH is not an extreme hurricane event—particularly when compared with the probable maximum hurricane (PMH), which the National Weather Service defines as “a combination of meteorological parameters that will give the highest sustained wind speed that can probably occur at a specified coastal location.” The relationships between the meteorological parameters (central pressure index, forward speed, wind direction, and wind speed) are interrelated and complex. It appears that the USACE:
• Chose SPH meteorological parameters at the low end of the range of 101 to 111 mph listed by the USWB (now the National Weather Service) in 1959 as representative maximum wind speeds for a hurricane striking New Orleans
• Did not evaluate the hurricane protection system for the effects of a more severe storm such as the PMH,
• Did not update its SPH meteorological parameters when the National Weather Service issued revised numbers in 1979, and
• Did not improve previously designed and constructed components of the hurricane protection system to match updated design criteria.</t>
  </si>
  <si>
    <t>Depth: High depth, Nature: Technical Nature, Pillar: Realignment (Technical), Stakeholder: USACE, Unlearning</t>
  </si>
  <si>
    <t>It identifies an engineering problem in hurricane estimation and ask for evluation for PMH storms.</t>
  </si>
  <si>
    <t>AnmolRationale_August12!row 49 (Latest Anmol August 12 re-evaluation)</t>
  </si>
  <si>
    <t>AnmolRationale_August12!row 49</t>
  </si>
  <si>
    <t>Multiple labelers (anmol, kyle); exact-duplicate priority yields anmol. Source span contains a definition plus a bullet list; verify paragraph-level unit.</t>
  </si>
  <si>
    <t>Consolidated equivalent text groups G040, G041; retained cleaner representative G040. Also consolidated repeated annotations across source sheets.</t>
  </si>
  <si>
    <t>AnmolRationale_August12!r49 (G040; anmol): Yes [SELECTED] | ICAResults_25April2026!r78 (G041; kyle): Yes | RationaleSheet_April20_v1!r53 (G041; kyle): Yes</t>
  </si>
  <si>
    <t>AnmolRationale_August12!r49[G040]; ICAResults_25April2026!r78[G041]; RationaleSheet_April20_v1!r53[G041]</t>
  </si>
  <si>
    <t>1:7</t>
  </si>
  <si>
    <t>EPA-006</t>
  </si>
  <si>
    <t>No gold change (Prerana 1:7, 1:8, 1:9 → No)</t>
  </si>
  <si>
    <t>Exact/near-duplicate annotations consolidated into EPA-006.</t>
  </si>
  <si>
    <t>ERP-018</t>
  </si>
  <si>
    <t>2:25</t>
  </si>
  <si>
    <t>p 74</t>
  </si>
  <si>
    <t>The USACE’s apparent non-conservative selection of the design hurricane is inconsistent with that needed to protect public safety when an extreme natural force such as Hurricane Katrina strikes.</t>
  </si>
  <si>
    <t>It identifies selection of non-conservation estimates and asks for its replacement.</t>
  </si>
  <si>
    <t>AnmolRationale_August12!row 50 (Latest Anmol August 12 re-evaluation)</t>
  </si>
  <si>
    <t>AnmolRationale_August12!row 50</t>
  </si>
  <si>
    <t>AnmolRationale_August12!r50 (G055; anmol): Yes [SELECTED] | ICAResults_25April2026!r79 (G055; kyle): Yes | RationaleSheet_April20_v1!r54 (G055; kyle): Yes</t>
  </si>
  <si>
    <t>AnmolRationale_August12!r50[G055]; ICAResults_25April2026!r79[G055]; RationaleSheet_April20_v1!r54[G055]</t>
  </si>
  <si>
    <t>1:8</t>
  </si>
  <si>
    <t>ERP-019</t>
  </si>
  <si>
    <t>2:26</t>
  </si>
  <si>
    <t>p 76</t>
  </si>
  <si>
    <t>As shown in Table 8.1, various federal, state, and local agencies are responsible for the construction, operation, and maintenance of segments of the hurricane protection system. No single agency or organization is empowered to provide the much-needed system-wide oversight or focus on the critical life-safety issues. No formal coalition of agencies is directed to provide strategic direction, definition of roles and responsibilities, and coordination of critical construction, maintenance, and operations. Indeed, it appears that no agency or group of agencies ever defined clear, mutually agreed-upon expectations of what the hurricane protection system was really intended to achieve.</t>
  </si>
  <si>
    <t>Depth: High depth, Nature: Normative Nature, Pillar: Merging (Integrative), Stakeholder: Miscelleanous, Unlearning</t>
  </si>
  <si>
    <t>It identifies agency mandates, roles adn responsbilities as a clear area requiring rethink.</t>
  </si>
  <si>
    <t>AnmolRationale_August12!row 51 (Latest Anmol August 12 re-evaluation)</t>
  </si>
  <si>
    <t>AnmolRationale_August12!row 51</t>
  </si>
  <si>
    <t>AnmolRationale_August12!r51 (G056; anmol): Yes [SELECTED] | ICAResults_25April2026!r80 (G056; kyle): Yes | RationaleSheet_April20_v1!r55 (G056; kyle): Yes</t>
  </si>
  <si>
    <t>AnmolRationale_August12!r51[G056]; ICAResults_25April2026!r80[G056]; RationaleSheet_April20_v1!r55[G056]</t>
  </si>
  <si>
    <t>1:9</t>
  </si>
  <si>
    <t>ERP-020</t>
  </si>
  <si>
    <t>2:27</t>
  </si>
  <si>
    <t>p 79</t>
  </si>
  <si>
    <t>The problems that led to poor decision-making—the root cause of the catastrophe in New Orleans—thus lie within and amongst the cultures of key organizations. Protecting against life-threatening risk was put on the back burner of public priority. Perhaps no one truly realized how catastrophic levee failures would be. Perhaps no one was willing to pay the price necessary to build a reasonably safe levee system. Perhaps the levee boards became distracted by development projects, airports, parks, casinos, or other matters that were given priority above the primary task of caring for the levees.
Perhaps the political will needed to implement a rationally based hurricane protection system was simply too great to be achieved. However, to achieve a different outcome in the future, these cultures must change, focusing more on protecting peoples’ lives and less on “business as usual.”</t>
  </si>
  <si>
    <t>Nature: Normative Nature, Pillar: Discarding (Normative), Stakeholder: Miscelleanous, Unlearning</t>
  </si>
  <si>
    <t>It identifies culture, agency mandates, roles and responsibilities as a clear area requiring rethinking.</t>
  </si>
  <si>
    <t>AnmolRationale_August12!row 52 (Latest Anmol August 12 re-evaluation)</t>
  </si>
  <si>
    <t>AnmolRationale_August12!row 52</t>
  </si>
  <si>
    <t>Multiple labelers (anmol, kyle); exact-duplicate priority yields anmol. Source span contains multiple paragraphs; verify paragraph boundary.</t>
  </si>
  <si>
    <t>AnmolRationale_August12!r52 (G057; anmol): Yes [SELECTED] | ICAResults_25April2026!r81 (G057; kyle): Yes | RationaleSheet_April20_v1!r56 (G057; kyle): Yes</t>
  </si>
  <si>
    <t>AnmolRationale_August12!r52[G057]; ICAResults_25April2026!r81[G057]; RationaleSheet_April20_v1!r56[G057]</t>
  </si>
  <si>
    <t>1:10</t>
  </si>
  <si>
    <t>EPA-007</t>
  </si>
  <si>
    <t>ERP-021</t>
  </si>
  <si>
    <t>2:28</t>
  </si>
  <si>
    <t>The USACE’s peer reviews are discretionary, are not triggered by sound engineering principles, do not have a mechanism to gauge their fidelity, and contain vague processes for selecting reviewers. As a result, questionable engineering decisions were made for the New Orleans hurricane protection system. Margins of safety were too low in designing the levees. Improper datums were used in construction. The standard project hurricane was not updated.
The engineering decision-making process became “self-referential,” meaning that designers were forced to look to their own organizations to help guide decisions, not to the greater engineering community. Individuals within a selfreferential organization can lose step with technological advances and alternative solutions. The organizational culture (for instance, “it’s how we’ve always done it”) influenced behavior over the many years that the hurricane protection system was under design and construction. Proper and effective external peer review could have prevented these errors of judgment from occurring.</t>
  </si>
  <si>
    <t>Depth: High depth, Nature: Normative Nature, Nature: Technical Nature, Pillar: Discarding (Normative), Stakeholder: USACE, Unlearning</t>
  </si>
  <si>
    <t>It identifies clear deficiency in engineering chouices and asks for rethik of margins of safety, orgnizational culture and expternal peer review systems.</t>
  </si>
  <si>
    <t>AnmolRationale_August12!row 53 (Latest Anmol August 12 re-evaluation)</t>
  </si>
  <si>
    <t>AnmolRationale_August12!row 53</t>
  </si>
  <si>
    <t>AnmolRationale_August12!r53 (G058; anmol): Yes [SELECTED] | ICAResults_25April2026!r82 (G058; kyle): Yes | RationaleSheet_April20_v1!r57 (G058; kyle): Yes</t>
  </si>
  <si>
    <t>AnmolRationale_August12!r53[G058]; ICAResults_25April2026!r82[G058]; RationaleSheet_April20_v1!r57[G058]</t>
  </si>
  <si>
    <t>1:11</t>
  </si>
  <si>
    <t>EPA-008</t>
  </si>
  <si>
    <t>ERP-022</t>
  </si>
  <si>
    <t>2:29</t>
  </si>
  <si>
    <t>p 80</t>
  </si>
  <si>
    <t>As a federal agency, the USACE and its projects are funded by the federal government, with a share of the costs borne by the local sponsor. Every year, the USACE requests funding. Through the federal budget-setting process, the Executive Branch (via the Office of Management and Budget) and the United States Congress authorize a project and allocate funding, but not necessarily at the same dollar amounts as requested or required.
Because of the Congressional budgeting process, the stream of funding for the New Orleans hurricane protection system was irregular, at best. If a project was not sufficiently funded, the USACE was often required to delay implementation or to scale back the project.
This “push-pull” mechanism for the funding of critical life-safety structures such as the New Orleans hurricane protection system is essentially flawed. The process creates a “disconnect” between those responsible for design and construction decisions and those responsible for managing the purse-strings. The pressure for tradeoffs and low-cost solutions likely compromised quality, safety, and reliability.
The project-by-project approach—in which projects are built over time based on the availability of funding—resulted in the hurricane protection system being constructed piecemeal, with an overall lack of attention to “system” issues. In effect, it appears that the project-by-project approach was associated with Congressional limitations. The USACE was forced into a “reductionist’s” way of thinking: reduce the problem into one that can be solved within the given authority and budget. Focusing only on the primary problem to be solved inevitably makes the issues of risk, redundancy, and resilience a lower priority.
Decisions were made, for example, not to armor the land-side of the floodwalls and levees in the high-risk areas; this armoring, if installed, could conceivably have limited the flood damage from an infrequent storm event such as Hurricane Katrina. It has been stated by some that the USACE may have considered this option to be outside of their Congressional authority, because to armor the levees would apparently concede that the USACE was designing for storm surges above the “authorized level.” The design and construction of critical life-safety systems is beyond the expertise of the Executive Branch or United States Congress. However, the Congress exercised tight control over spending and even over design criteria. The USACE accepted these controls without fully addressing the associated issues, risks, and tradeoffs. For whatever reason, the USACE and its local sponsors did not argue vigorously enough for adequate funding to provide a high level of assurance for the public safety of New Orleanians</t>
  </si>
  <si>
    <t>Depth: High depth, Nature: Normative Nature, Pillar: Discarding (Normative), Stakeholder: Congress, Stakeholder: USACE, Unlearning</t>
  </si>
  <si>
    <t>This identifies the funding mechanism and oversigh as an issue and calls for a fundamental rethink.</t>
  </si>
  <si>
    <t>AnmolRationale_August12!row 54 (Latest Anmol August 12 re-evaluation)</t>
  </si>
  <si>
    <t>AnmolRationale_August12!row 54</t>
  </si>
  <si>
    <t>Multiple labelers (anmol, kyle); exact-duplicate priority yields anmol. Very long multi-paragraph source span; verify paragraph-level unit before modeling.</t>
  </si>
  <si>
    <t>AnmolRationale_August12!r54 (G063; anmol): Yes [SELECTED] | ICAResults_25April2026!r83 (G063; kyle): Yes | RationaleSheet_April20_v1!r58 (G063; kyle): Yes</t>
  </si>
  <si>
    <t>AnmolRationale_August12!r54[G063]; ICAResults_25April2026!r83[G063]; RationaleSheet_April20_v1!r58[G063]</t>
  </si>
  <si>
    <t>1:12</t>
  </si>
  <si>
    <t>EPA-005</t>
  </si>
  <si>
    <t>No gold change (Prerana 1:12 → No)</t>
  </si>
  <si>
    <t>Child annotation mapped to retained parent EPA-005.</t>
  </si>
  <si>
    <t>ERP-023</t>
  </si>
  <si>
    <t>2:14</t>
  </si>
  <si>
    <t>p 82</t>
  </si>
  <si>
    <t>Consistent inspection, maintenance, and repair of the hurricane protection system are essential. We cannot afford to permit our hurricane and flood protection systems to deteriorate. The United States Congress should establish and fund a program for nationwide levee safety and rehabilitation, much as we do for major dams. The levee safety program will help ensure that levee structures and components—in New Orleans and throughout the country—receive the level of attention needed for critical lifesafety systems</t>
  </si>
  <si>
    <t>Depth: High depth, Nature: Technical Nature, Pillar: Realignment (Technical), Stakeholder: Congress, Unlearning</t>
  </si>
  <si>
    <t>This is unlearning. They identify a lack of consistency as a problem and identify establishing a fund for leveee safety as a new way of solving this problem.</t>
  </si>
  <si>
    <t>AnmolRationale_August12!row 39 (Latest Anmol August 12 re-evaluation)</t>
  </si>
  <si>
    <t>AnmolRationale_August12!row 39</t>
  </si>
  <si>
    <t>Multiple labelers (anmol, kyle); exact-duplicate priority yields anmol. Retained: conceptually related to the levee-safety example, but it is not the same or a contained passage. Manual leakage review recommended.</t>
  </si>
  <si>
    <t>AnmolRationale_August12!r39 (G065; anmol): Yes [SELECTED] | ICAResults_25April2026!r68 (G065; kyle): Yes | RationaleSheet_April20_v1!r43 (G065; kyle): Yes</t>
  </si>
  <si>
    <t>AnmolRationale_August12!r39[G065]; ICAResults_25April2026!r68[G065]; RationaleSheet_April20_v1!r43[G065]</t>
  </si>
  <si>
    <t>Retained: conceptually related to the levee-safety example, but it is not the same or a contained passage. Manual leakage review recommended.</t>
  </si>
  <si>
    <t>1:13</t>
  </si>
  <si>
    <t>EPA-009</t>
  </si>
  <si>
    <t>Source passage remains cropped at the beginning and is review-flagged.</t>
  </si>
  <si>
    <t>ERP-024</t>
  </si>
  <si>
    <t>2:15</t>
  </si>
  <si>
    <t>p 84</t>
  </si>
  <si>
    <t>Not only did the hurricane protection system have many weak links— in the form of penetrations, low points, and gaps—but it lacked “redundancy.” If one component failed, there was no back-up component or strategy to take its place to reduce the damage. Internal levees were not used as much as they could have been to isolate various sub-sections of the city and prevent floodwaters from spreading. The pump stations, which might have removed water from the city more quickly, were not designed to function in a major hurricane or mitigate flooding if the levees were overtopped or breached. The “system” was not a system.</t>
  </si>
  <si>
    <t>They identify a clear set of engineering and design problems. And calls for a more systmeic approach.</t>
  </si>
  <si>
    <t>AnmolRationale_August12!row 40 (Latest Anmol August 12 re-evaluation)</t>
  </si>
  <si>
    <t>AnmolRationale_August12!row 40</t>
  </si>
  <si>
    <t>AnmolRationale_August12!r40 (G066; anmol): Yes [SELECTED] | ICAResults_25April2026!r69 (G066; kyle): Yes | RationaleSheet_April20_v1!r44 (G066; kyle): Yes</t>
  </si>
  <si>
    <t>AnmolRationale_August12!r40[G066]; ICAResults_25April2026!r69[G066]; RationaleSheet_April20_v1!r44[G066]</t>
  </si>
  <si>
    <t>1:14</t>
  </si>
  <si>
    <t>EPA-013</t>
  </si>
  <si>
    <t>No gold change (Prerana 1:14 → No)</t>
  </si>
  <si>
    <t>Anmol also labeled the retained exact/parent passage No; gold follows Anmol.</t>
  </si>
  <si>
    <t>ERP-025</t>
  </si>
  <si>
    <t>2:16</t>
  </si>
  <si>
    <t>p 85</t>
  </si>
  <si>
    <t>The future system will incorporate existing infrastructure (such as levees and pump stations) but must include other appropriate tools and strategies as well. Prudent land-use decisions (for example, limiting development in the most flood-prone areas, or establishing minimum firstfloor elevations) can put fewer people and less property at risk. More rigorous building requirements can reduce the impact of flooding on structures. A more effective hurricane warning, response, and evacuation protocol can be instituted and practiced in regular training exercises. Pre-planning can expedite recovery and reconstruction after a major hurricane.</t>
  </si>
  <si>
    <t>Depth: High depth, Nature: Normative Nature, Nature: Technical Nature, Pillar: Realignment (Technical), Unlearning</t>
  </si>
  <si>
    <t>This calls for fundamental reforms that take into account land use decisions adn various other reforms that discard old thinking and practices.</t>
  </si>
  <si>
    <t>AnmolRationale_August12!row 41 (Latest Anmol August 12 re-evaluation)</t>
  </si>
  <si>
    <t>AnmolRationale_August12!row 41</t>
  </si>
  <si>
    <t>AnmolRationale_August12!r41 (G067; anmol): Yes [SELECTED] | ICAResults_25April2026!r70 (G067; kyle): Yes | RationaleSheet_April20_v1!r45 (G067; kyle): Yes</t>
  </si>
  <si>
    <t>AnmolRationale_August12!r41[G067]; ICAResults_25April2026!r70[G067]; RationaleSheet_April20_v1!r45[G067]</t>
  </si>
  <si>
    <t>1:15</t>
  </si>
  <si>
    <t>EPA-011</t>
  </si>
  <si>
    <t>ERP-026</t>
  </si>
  <si>
    <t>2:30</t>
  </si>
  <si>
    <t>p 86</t>
  </si>
  <si>
    <t>Upgrade the pumping stations. Not only was the pumping system not fully integrated into the hurricane protection system, but many of the pump stations were not strong enough to withstand the forces of a hurricane. The pump stations need to be made survivable from flooding caused by hurricanes and unanticipated levee breaches. If this is not done, New Orleans will remain unnecessarily vulnerable.</t>
  </si>
  <si>
    <t>Not unlearning. It calls for upgrade and reinforcement, not a fundamental rethink of the system.</t>
  </si>
  <si>
    <t>AnmolRationale_August12!row 55 (Latest Anmol August 12 re-evaluation)</t>
  </si>
  <si>
    <t>AnmolRationale_August12!row 55</t>
  </si>
  <si>
    <t>Conflicting historical binary labels (No/Yes); final label follows AnmolRationale_August12!row 55. Multiple labelers (anmol, kyle); exact-duplicate priority yields anmol. Latest rationale overrides stale code field (Yes in Codes vs No final).</t>
  </si>
  <si>
    <t>AnmolRationale_August12!r55 (G068; anmol): No [SELECTED] | ICAResults_25April2026!r84 (G068; kyle): Yes | RationaleSheet_April20_v1!r59 (G068; kyle): Yes</t>
  </si>
  <si>
    <t>AnmolRationale_August12!r55[G068]; ICAResults_25April2026!r84[G068]; RationaleSheet_April20_v1!r59[G068]</t>
  </si>
  <si>
    <t>1:16</t>
  </si>
  <si>
    <t>EPA-012</t>
  </si>
  <si>
    <t>Kyle also labeled the retained passage Yes; gold follows Prerana by priority.</t>
  </si>
  <si>
    <t>ERP-027</t>
  </si>
  <si>
    <t>2:17</t>
  </si>
  <si>
    <t>p 87</t>
  </si>
  <si>
    <t>The management of New Orleans’s hurricane protection system was dysfunctional because there were too many organizations involved in managing individual pieces of the system. No one entity or person was in charge. Many agencies had partially overlapping roles, yet there was no effective coordination between agencies.
The members of the ASCE Hurricane Katrina External Review Panel believe that correcting the management deficiencies of the hurricane protection system is just as important as correcting the physical deficiencies.
With effective management comes a more unified approach to hurricane protection—which is greatly needed in New Orleans.</t>
  </si>
  <si>
    <t>Depth: Moderate depth, Nature: Technical Nature, Pillar: Discarding (Normative), Pillar: Realignment (Technical), Stakeholder: USACE, Unlearning</t>
  </si>
  <si>
    <t>It identifies a problem and calls for change in governing structure where one agency or person takes charge over spread out responsbility.</t>
  </si>
  <si>
    <t>AnmolRationale_August12!row 42 (Latest Anmol August 12 re-evaluation)</t>
  </si>
  <si>
    <t>AnmolRationale_August12!row 42</t>
  </si>
  <si>
    <t>AnmolRationale_August12!r42 (G069; anmol): Yes [SELECTED] | ICAResults_25April2026!r71 (G069; kyle): Yes | RationaleSheet_April20_v1!r46 (G069; kyle): Yes</t>
  </si>
  <si>
    <t>AnmolRationale_August12!r42[G069]; ICAResults_25April2026!r71[G069]; RationaleSheet_April20_v1!r46[G069]</t>
  </si>
  <si>
    <t>1:17</t>
  </si>
  <si>
    <t>EPA-015</t>
  </si>
  <si>
    <t>ERP-028</t>
  </si>
  <si>
    <t>2:18</t>
  </si>
  <si>
    <t>p 89</t>
  </si>
  <si>
    <t>ASCE has a long-standing policy that recommends independent external peer review for all public works projects where performance is critical to public safety, health, and welfare; where reliability of performance under emergency conditions is critical; that use innovative materials or techniques; that lack redundancy in design; or that have unique construction sequencing or a short/ overlapping design-construction schedule.
The ASCE Hurricane Katrina External Review Panel believes that many of the major deficiencies in New Orleans’s hurricane protection system could have been avoided if the engineering plans and designs had undergone highlevel, independent engineering review by external experts.
Agencies responsible for design of hurricane and flood protection systems and other critical life-safety structures should engage independent experts in high-level review of every project.</t>
  </si>
  <si>
    <t>This identifies a clear problem in not engaging independent experts and asks for independent high-level engineering review.</t>
  </si>
  <si>
    <t>AnmolRationale_August12!row 43 (Latest Anmol August 12 re-evaluation)</t>
  </si>
  <si>
    <t>AnmolRationale_August12!row 43</t>
  </si>
  <si>
    <t>AnmolRationale_August12!r43 (G070; anmol): Yes [SELECTED] | ICAResults_25April2026!r72 (G070; kyle): Yes | RationaleSheet_April20_v1!r47 (G070; kyle): Yes</t>
  </si>
  <si>
    <t>AnmolRationale_August12!r43[G070]; ICAResults_25April2026!r72[G070]; RationaleSheet_April20_v1!r47[G070]</t>
  </si>
  <si>
    <t>1:18</t>
  </si>
  <si>
    <t>EPA-017</t>
  </si>
  <si>
    <t>GAO-001</t>
  </si>
  <si>
    <t>12:8</t>
  </si>
  <si>
    <t>p 5</t>
  </si>
  <si>
    <t>Second, to best position the nation to prepare for, respond to, and recover from major catastrophes like Hurricane Katrina, there must be strong advance planning, both within and among responder organizations, as well as robust training and exercise programs to test these plans in advance of a real disaster. Although the NRP framework envisions a proactive national response in the event of a catastrophe, the nation does not yet have the types of detailed plans needed to better delineate capabilities that might be required and how such assistance will be provided and coordinated. In addition, we observed that the training and exercises necessary to carry out these plans were not always developed or completed among the first responder community. The leadership to ensure these plans and exercises are in place must come from DHS in conjunction with other federal agencies, state and local authorities, and involved nongovernmental organizations.</t>
  </si>
  <si>
    <t>gao-06-365r.pdf</t>
  </si>
  <si>
    <t>Unlearning</t>
  </si>
  <si>
    <t>Unlearning. It identifies the lack of plans as a problem and makes a case for detailed plans that delineate capabilities as well as training exercises/</t>
  </si>
  <si>
    <t>AnmolRationale_August12!row 11 (Latest Anmol August 12 re-evaluation)</t>
  </si>
  <si>
    <t>AnmolRationale_August12!row 11</t>
  </si>
  <si>
    <t>None</t>
  </si>
  <si>
    <t>AnmolRationale_August12!r11 (G071; anmol): Yes [SELECTED]</t>
  </si>
  <si>
    <t>AnmolRationale_August12!r11[G071]</t>
  </si>
  <si>
    <t>1:19</t>
  </si>
  <si>
    <t>EPA-018</t>
  </si>
  <si>
    <t>GAO-002</t>
  </si>
  <si>
    <t>12:4</t>
  </si>
  <si>
    <t>Response and recovery capabilities needed during a major catastrophic event differ significantly from those required to respond to and recover from a “normal disaster.” Key capabilities such as emergency communications, continuity of essential government services, and logistics and distribution systems underpin citizen safety and security. In addition, as these capabilities are brought to bear, streamlining, simplifying, and expediting decision making must quickly replace “business as usual” approaches to doing business. The following provides examples of capabilities we have identified in our preliminary work. All of these areas require better contingency plans and the resources to carry them out.</t>
  </si>
  <si>
    <t>Unlearning, as it makes a case for removing the business-as-usual approach for catastrophic events inlcuding emergency communications, continuity adn logistics and distributions.</t>
  </si>
  <si>
    <t>AnmolRationale_August12!row 8 (Latest Anmol August 12 re-evaluation)</t>
  </si>
  <si>
    <t>AnmolRationale_August12!row 8</t>
  </si>
  <si>
    <t>AnmolRationale_August12!r8 (G078; anmol): Yes [SELECTED] | ICAResults_25April2026!r32 (G078; kyle): Yes | RationaleSheet_April20_v1!r63 (G078; kyle): Yes</t>
  </si>
  <si>
    <t>AnmolRationale_August12!r8[G078]; ICAResults_25April2026!r32[G078]; RationaleSheet_April20_v1!r63[G078]</t>
  </si>
  <si>
    <t>EPA-Re:P4</t>
  </si>
  <si>
    <t>EPA-002</t>
  </si>
  <si>
    <t>New passage: No → No</t>
  </si>
  <si>
    <t>New unique boundary-case passage; latest sheet explicitly says Not strictly Unlearning.</t>
  </si>
  <si>
    <t>GAO-003</t>
  </si>
  <si>
    <t>12:6</t>
  </si>
  <si>
    <t>The magnitude of the affected population in a major catastrophe also calls for greater capabilities in several areas. For example, evacuation capabilities must include evacuating special needs populations such as those in hospitals and nursing homes, coordinating transportation assets, and ensuring that receiving shelters are not overwhelmed.
Search and rescue and mass care should work together in a seamless transition so that victims are not just rescued, but can be taken to a place of shelter.</t>
  </si>
  <si>
    <t>Unlearning as it identifies departure from past practices of disaster response wherein evucation capabilities include special needs population.</t>
  </si>
  <si>
    <t>AnmolRationale_August12!row 9 (Latest Anmol August 12 re-evaluation)</t>
  </si>
  <si>
    <t>AnmolRationale_August12!row 9</t>
  </si>
  <si>
    <t>Removed embedded PDF page header/footer</t>
  </si>
  <si>
    <t>AnmolRationale_August12!r9 (G074; anmol): Yes [SELECTED] | ICAResults_25April2026!r34 (G074; kyle): Yes | RationaleSheet_April20_v1!r65 (G074; kyle): Yes</t>
  </si>
  <si>
    <t>AnmolRationale_August12!r9[G074]; ICAResults_25April2026!r34[G074]; RationaleSheet_April20_v1!r65[G074]</t>
  </si>
  <si>
    <t>EPA-Re:P5</t>
  </si>
  <si>
    <t>EPA-003</t>
  </si>
  <si>
    <t>New passage: No → Yes</t>
  </si>
  <si>
    <t>New unique weak-signal passage; code is positive but rationale is internally cautious, so manual adjudication is flagged.</t>
  </si>
  <si>
    <t>EPA-001</t>
  </si>
  <si>
    <t>1:1</t>
  </si>
  <si>
    <t>p 3</t>
  </si>
  <si>
    <t>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</si>
  <si>
    <t>Depth: Moderate depth, Nature: Technical Nature, Pillar: Merging (Integrative), Stakeholder: EPA, Unlearning</t>
  </si>
  <si>
    <t>I woudng classify this as unlearning. I identifies a problem but doesnt call for abandoning anything. It ask for additiv change or improved coordination.</t>
  </si>
  <si>
    <t>AnmolRationale_August12!row 2 (Latest Anmol August 12 re-evaluation)</t>
  </si>
  <si>
    <t>AnmolRationale_August12!row 2</t>
  </si>
  <si>
    <t>Latest rationale overrides stale code field (Yes in Codes vs No final).</t>
  </si>
  <si>
    <t>AnmolRationale_August12!r2 (G022; anmol): No [SELECTED] | ICAResults_25April2026!r2 (G022; anmol): No | RationaleSheet_April20_v1!r2 (G022; anmol): No</t>
  </si>
  <si>
    <t>AnmolRationale_August12!r2[G022]; ICAResults_25April2026!r2[G022]; RationaleSheet_April20_v1!r2[G022]</t>
  </si>
  <si>
    <t>p 4</t>
  </si>
  <si>
    <t>The number of samples required to lift the boil water notice was conveyed to each affected system when the State contacted them after the event. For Katrina, two consecutive days of 100-percent clean samples had to be obtained before a boil water notice was lifted. In this regard, the criterion used after Katrina was stricter than the TCR, which allows for 5 percent or less of the samples to test positive.</t>
  </si>
  <si>
    <t>Borderline case — Not strictly Unlearning</t>
  </si>
  <si>
    <t>This is a strong boundary case. Katrina applied a stricter sampling criterion than the ordinary TCR threshold, which may suggest reconsideration of whether the prior criterion was sufficient under catastrophic conditions. However, the passage does not explicitly state that the earlier criterion was inadequate or abandoned, so Prerana's latest label is Not Unlearning.</t>
  </si>
  <si>
    <t>EPA Re Prerana!row 3 (latest Prerana assessment)</t>
  </si>
  <si>
    <t>EPA Re Prerana!row 3</t>
  </si>
  <si>
    <t>New EPA passage added by Prerana. Strong boundary case; retained as New Gold = No because the sheet explicitly says 'Not strictly Unlearning.'</t>
  </si>
  <si>
    <t>Added as a new unique EPA passage after exact, near-duplicate, parent-child, and codebook-example leakage checks.</t>
  </si>
  <si>
    <t>EPA Re Prerana!r3 (prerana): No [LATEST/SELECTED]</t>
  </si>
  <si>
    <t>EPA Re Prerana!r3</t>
  </si>
  <si>
    <t>Clear — no revised-codebook example passage retained</t>
  </si>
  <si>
    <t>The procedures discussed above were not designed to detect the presence of chemicals or other contaminants in the water that could cause health problems from drinking water over a longer period. However, Mississippi and EPA public water officials told us they were not concerned about potential long-term health risks resulting from chemical or other contamination in Mississippi’s drinking water after Katrina for three reasons.</t>
  </si>
  <si>
    <t>Unlearning; Target: Capabilities; possible weak signal</t>
  </si>
  <si>
    <t>The passage identifies that existing procedures were not designed to detect contaminants associated with longer-term health risks. Prerana coded this as a possible weak Unlearning signal targeting capabilities. Because her rationale also notes that the passage does not explicitly call for replacing or fundamentally revising the procedure, this positive label is retained but flagged for team adjudication.</t>
  </si>
  <si>
    <t>EPA Re Prerana!row 4 (latest Prerana assessment)</t>
  </si>
  <si>
    <t>EPA Re Prerana!row 4</t>
  </si>
  <si>
    <t>New EPA passage. The Codes cell is positive, but the rationale states that no replacement or fundamental revision is called for; New Gold = Yes follows the latest Prerana code and is flagged as a weak/borderline signal.</t>
  </si>
  <si>
    <t>EPA Re Prerana!r4 (prerana): Yes [LATEST/SELECTED]</t>
  </si>
  <si>
    <t>EPA Re Prerana!r4</t>
  </si>
  <si>
    <t>Exclusion Audit — Removed Passages Retained for Manual Verification</t>
  </si>
  <si>
    <t>Did EPA follow its emergency response protocols, including those lessons learned from the World Trade Center and its responsibilities, as delineated in the National Response Plan, to ensure the public had access to safe drinking water?</t>
  </si>
  <si>
    <t>Not Unlearning (borderline under revised codebook)</t>
  </si>
  <si>
    <t>This passage evaluates whether EPA followed existing emergency-response protocols and previously learned lessons. It does not identify those protocols or their underlying assumptions as inadequate, nor call for their abandonment, replacement, or fundamental revision.</t>
  </si>
  <si>
    <t>EPA Re Prerana!row 2 (latest Prerana re-evaluation)</t>
  </si>
  <si>
    <t>EPA Re Prerana!row 2</t>
  </si>
  <si>
    <t>Prerana re-evaluated ICA 1:6 as Not Unlearning under the revised codebook; old gold was Yes and new gold is No. The cropped source excerpt was replaced with the fuller p. 7 sentence from EPA Re Prerana.</t>
  </si>
  <si>
    <t>Re-evaluated text variant</t>
  </si>
  <si>
    <t>Matched EPA Re Prerana p. 7 to existing ICAResults_25April2026 annotation 1:6; retained one passage row.</t>
  </si>
  <si>
    <t>Replaced the cropped 'ollowed...' excerpt with the complete sentence supplied in EPA Re Prerana.</t>
  </si>
  <si>
    <t>ICAResults_25April2026!r7 (G023; prerana): Yes [SELECTED] | EPA Re Prerana!r2 (prerana): No [LATEST PRERANA]</t>
  </si>
  <si>
    <t>ICAResults_25April2026!r7[G023]; EPA Re Prerana!r2</t>
  </si>
  <si>
    <t>Excluded_Group_ID</t>
  </si>
  <si>
    <t>Original_Number(s)</t>
  </si>
  <si>
    <t>Reference(s)</t>
  </si>
  <si>
    <t>Excluded_Text</t>
  </si>
  <si>
    <t>Exclusion_Category</t>
  </si>
  <si>
    <t>Exclusion_Reason</t>
  </si>
  <si>
    <t>Historical_Labels</t>
  </si>
  <si>
    <t>Historical_Labelers</t>
  </si>
  <si>
    <t>Latest_Update</t>
  </si>
  <si>
    <t>1:2</t>
  </si>
  <si>
    <t>pp 9-10</t>
  </si>
  <si>
    <t>EPA officials told us that, in some instances, coordination could be improved for future disaster responses. Areas where coordination could be improved occurred with respect to both the drinking water and wastewater responses.
Drinking Water Response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</si>
  <si>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Not Unlearning</t>
  </si>
  <si>
    <t>It identifies specific areas that dont work namely driking water response and limited understanding of each others work and asks for better coodination. however, it doesnt mention a specific aspect that needs abandonging or rethink.</t>
  </si>
  <si>
    <t>AnmolRationale_August12!row 3 (Latest Anmol August 12 re-evaluation)</t>
  </si>
  <si>
    <t>AnmolRationale_August12!row 3</t>
  </si>
  <si>
    <t>Conflicting historical binary labels (No/Yes); final label follows AnmolRationale_August12!row 3. Multiple labelers (anmol, prerana, kyle); parent-passage labeler rule yields anmol. Latest rationale overrides stale code field (Yes in Codes vs No final). Source span contains multiple paragraphs/section heading; kept the full parent span under the parent-child rule. Prerana's latest EPA re-evaluation changes her coder-specific label for 1:12 to No. Gold remains No because the higher-priority/selected gold label is already No. Current coder disagreement is anmol=No, prerana=No, kyle=Yes; new gold follows Anmol.</t>
  </si>
  <si>
    <t>Near/exact text variant; Parent-child</t>
  </si>
  <si>
    <t>Consolidated equivalent text groups G003, G004; retained cleaner representative G003. Kept parent span G003; removed child group(s) G005, G008. Parent passage labeler retained. Also consolidated repeated annotations across source sheets. University of Delaware duplicate/system annotation(s) ignored.</t>
  </si>
  <si>
    <t>AnmolRationale_August12!r3 (G004; anmol): No [SELECTED] | ICAResults_25April2026!r26 (G008; kyle): Yes | ICAResults_25April2026!r13 (G005; prerana): Yes | ICAResults_25April2026!r3 (G003; anmol): No | RationaleSheet_April20_v1!r29 (G008; kyle): Yes | RationaleSheet_April20_v1!r3 (G004; anmol): Yes | Prerana EPA re-evaluation (user-confirmed for ICAResults_25April2026 1:12): No [LATEST PRERANA]</t>
  </si>
  <si>
    <t>AnmolRationale_August12!r3[G004]; ICAResults_25April2026!r3[G003]; ICAResults_25April2026!r13[G005]; ICAResults_25April2026!r26[G008]; RationaleSheet_April20_v1!r3[G004]; RationaleSheet_April20_v1!r29[G008]; User-confirmed Prerana EPA re-evaluation [1:12]</t>
  </si>
  <si>
    <t>G005</t>
  </si>
  <si>
    <t>p 10</t>
  </si>
  <si>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</si>
  <si>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Parent-child duplicate</t>
  </si>
  <si>
    <t>Child passage removed; parent passage retained as EPA-005. Parent labeler and parent-level label control. University of Delaware duplicate/system annotation(s) were ignored.</t>
  </si>
  <si>
    <t>ICAResults_25April2026!r13</t>
  </si>
  <si>
    <t>Prerana's latest re-evaluation sets source annotation 1:12 to No; retained parent EPA-005 new gold remains No.</t>
  </si>
  <si>
    <t>p 9</t>
  </si>
  <si>
    <t>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</si>
  <si>
    <t>Not Unlearning (Prerana re-evaluation under revised codebook)</t>
  </si>
  <si>
    <t>Prerana re-evaluated her EPA annotation(s) 1:7, 1:8, 1:9 under the revised codebook and concluded that the passage does not meet the binary Unlearning threshold. The earlier coding did not establish the required combination of explicit problematization and abandonment, replacement, or fundamental rethinking.</t>
  </si>
  <si>
    <t>User-confirmed Prerana EPA re-evaluation of ICAResults_25April2026 1:7, 1:8, 1:9 (latest)</t>
  </si>
  <si>
    <t>User-confirmed Prerana EPA re-evaluation</t>
  </si>
  <si>
    <t>Conflicting historical binary labels (No/Yes); final label follows ICAResults_25April2026!row 10. Same/equivalent passage has conflicting annotation numbers (1:7, 1:8, 1:9); selected 1:9. Latest rationale overrides stale code field (Yes in Codes vs No final). Manual latest-label rule applied: Manual recency/adjudication rule. Prerana's latest EPA re-evaluation changes her coder-specific label for 1:7, 1:8, 1:9 to No. Gold remains No because the higher-priority/selected gold label is already No.</t>
  </si>
  <si>
    <t>Consolidated equivalent text groups G024, G025; retained cleaner representative G025. Also consolidated repeated annotations across source sheets. University of Delaware duplicate/system annotation(s) ignored.</t>
  </si>
  <si>
    <t>ICAResults_25April2026!r10 (G025; prerana): No [SELECTED] | ICAResults_25April2026!r9 (G025; prerana): Yes | ICAResults_25April2026!r8 (G024; prerana): Yes | Prerana EPA re-evaluation (user-confirmed for ICAResults_25April2026 1:7, 1:8, 1:9): No [LATEST PRERANA]</t>
  </si>
  <si>
    <t>ICAResults_25April2026!r8[G024]; ICAResults_25April2026!r9[G025]; ICAResults_25April2026!r10[G025]; User-confirmed Prerana EPA re-evaluation [1:7, 1:8, 1:9]</t>
  </si>
  <si>
    <t>G008</t>
  </si>
  <si>
    <t>1:25, 1:28</t>
  </si>
  <si>
    <t>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</si>
  <si>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Child passage removed; parent passage retained as EPA-005. Parent labeler and parent-level label control.</t>
  </si>
  <si>
    <t>ICAResults_25April2026!r26; RationaleSheet_April20_v1!r29</t>
  </si>
  <si>
    <t>Coordination within EPA, as well as EPA’s coordination with State and local officials and the USACE, could have been better. In some instances, coordination problems resulted in duplicative work being completed by EPA and Louisiana officials.</t>
  </si>
  <si>
    <t>Prerana re-evaluated her EPA annotation(s) 1:10 under the revised codebook and concluded that the passage does not meet the binary Unlearning threshold. The earlier coding did not establish the required combination of explicit problematization and abandonment, replacement, or fundamental rethinking.</t>
  </si>
  <si>
    <t>User-confirmed Prerana EPA re-evaluation of ICAResults_25April2026 1:10 (latest)</t>
  </si>
  <si>
    <t>Prerana's latest EPA re-evaluation changes her coder-specific label for 1:10 to No. New gold changes Yes → No under the anmol &gt; prerana &gt; kyle priority rule.</t>
  </si>
  <si>
    <t>Consolidated exact duplicate annotations from multiple sheets into one passage row. University of Delaware duplicate/system annotation(s) ignored.</t>
  </si>
  <si>
    <t>ICAResults_25April2026!r11 (G026; prerana): Yes [SELECTED] | Prerana EPA re-evaluation (user-confirmed for ICAResults_25April2026 1:10): No [LATEST PRERANA]</t>
  </si>
  <si>
    <t>ICAResults_25April2026!r11[G026]; User-confirmed Prerana EPA re-evaluation [1:10]</t>
  </si>
  <si>
    <t>G013</t>
  </si>
  <si>
    <t>1:24</t>
  </si>
  <si>
    <t>p 11</t>
  </si>
  <si>
    <t>With respect to both coordination issues discussed, Region 6 informed us that, to the extent there was any duplication of effort, it was only a result of an attempt to ensure that all wastewater facilities were reached, evaluated, and assisted as quickly as possible.</t>
  </si>
  <si>
    <t>Child passage removed; parent passage retained as EPA-012. Parent labeler and parent-level label control.</t>
  </si>
  <si>
    <t>ICAResults_25April2026!r25; RationaleSheet_April20_v1!r25</t>
  </si>
  <si>
    <t>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</si>
  <si>
    <t>Prerana re-evaluated her EPA annotation(s) 1:11 under the revised codebook and concluded that the passage does not meet the binary Unlearning threshold. The earlier coding did not establish the required combination of explicit problematization and abandonment, replacement, or fundamental rethinking.</t>
  </si>
  <si>
    <t>User-confirmed Prerana EPA re-evaluation of ICAResults_25April2026 1:11 (latest)</t>
  </si>
  <si>
    <t>Source text begins lowercase and may be cropped; verify the beginning against the PDF. Prerana's latest EPA re-evaluation changes her coder-specific label for 1:11 to No. New gold changes Yes → No under the anmol &gt; prerana &gt; kyle priority rule.</t>
  </si>
  <si>
    <t>ICAResults_25April2026!r12 (G027; prerana): Yes [SELECTED] | Prerana EPA re-evaluation (user-confirmed for ICAResults_25April2026 1:11): No [LATEST PRERANA]</t>
  </si>
  <si>
    <t>ICAResults_25April2026!r12[G027]; User-confirmed Prerana EPA re-evaluation [1:11]</t>
  </si>
  <si>
    <t>G017</t>
  </si>
  <si>
    <t>1:21</t>
  </si>
  <si>
    <t>p 13</t>
  </si>
  <si>
    <t>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</si>
  <si>
    <t>Child passage removed; parent passage retained as EPA-017. Parent labeler and parent-level label control.</t>
  </si>
  <si>
    <t>ICAResults_25April2026!r22; RationaleSheet_April20_v1!r22</t>
  </si>
  <si>
    <t>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</si>
  <si>
    <t>Prerana re-evaluated her EPA annotation(s) 1:13 under the revised codebook and concluded that the passage does not meet the binary Unlearning threshold. The earlier coding did not establish the required combination of explicit problematization and abandonment, replacement, or fundamental rethinking.</t>
  </si>
  <si>
    <t>User-confirmed Prerana EPA re-evaluation of ICAResults_25April2026 1:13 (latest)</t>
  </si>
  <si>
    <t>Source text begins mid-word ('y these...'); verify the beginning against the PDF. Prerana's latest EPA re-evaluation changes her coder-specific label for 1:13 to No. New gold changes Yes → No under the anmol &gt; prerana &gt; kyle priority rule.</t>
  </si>
  <si>
    <t>ICAResults_25April2026!r14 (G006; prerana): Yes [SELECTED] | Prerana EPA re-evaluation (user-confirmed for ICAResults_25April2026 1:13): No [LATEST PRERANA]</t>
  </si>
  <si>
    <t>ICAResults_25April2026!r14[G006]; User-confirmed Prerana EPA re-evaluation [1:13]</t>
  </si>
  <si>
    <t>G021</t>
  </si>
  <si>
    <t>1:26, 1:27</t>
  </si>
  <si>
    <t>p 27</t>
  </si>
  <si>
    <t>EPA will meet with USACE and other ESF #3 support agencies in August to discuss ESF-3 agency roles and capabilities and will continue to work with USACE to ensure that current ESF #3 SOPs can be appropriately updated and revised</t>
  </si>
  <si>
    <t>Child passage removed; parent passage retained as EPA-018. Parent labeler and parent-level label control.</t>
  </si>
  <si>
    <t>ICAResults_25April2026!r28; RationaleSheet_April20_v1!r27</t>
  </si>
  <si>
    <t>EPA-010</t>
  </si>
  <si>
    <t>1:3</t>
  </si>
  <si>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</si>
  <si>
    <t>Depth: Low depth, Nature: Technical Nature, Pillar: Merging (Integrative), Stakeholder: EPA, Stakeholder: Stakeholders, Unlearning</t>
  </si>
  <si>
    <t>I wouldn't classify this as unlearning. It identifies coordination and dialogue as a problem, however doesnt call for discarding anything. It also doesnt make a case for any fundamental shift.</t>
  </si>
  <si>
    <t>AnmolRationale_August12!row 4 (Latest Anmol August 12 re-evaluation)</t>
  </si>
  <si>
    <t>AnmolRationale_August12!row 4</t>
  </si>
  <si>
    <t>Conflicting historical binary labels (No/Yes); final label follows AnmolRationale_August12!row 4. Latest rationale overrides stale code field (Yes in Codes vs No final).</t>
  </si>
  <si>
    <t>AnmolRationale_August12!r4 (G009; anmol): No [SELECTED] | ICAResults_25April2026!r4 (G009; anmol): Yes | RationaleSheet_April20_v1!r4 (G009; anmol): No</t>
  </si>
  <si>
    <t>AnmolRationale_August12!r4[G009]; ICAResults_25April2026!r4[G009]; RationaleSheet_April20_v1!r4[G009]</t>
  </si>
  <si>
    <t>G029</t>
  </si>
  <si>
    <t>Failures and subsequent recommendations by the federal government are documented in reports issued by the U.S. House of Representatives, the U.S. Senate, and the White House, the last of which focused on the federal administrative response and off ered a total of 125 recommendations in a multitude of areas, including review and revision of the NRP; increased involvement of the private sector and other nongovernmental organizations; the education and empowerment of citizens; and further integration and coordination of federal, state, and local eff orts (U.S. House 2006; U.S. Senate 2006; White House 2006).
However, little attention was given to strategic thinking and acting, and how incorporating strategic issues management into the bureaucratic process as well as intergovernmental coordination and collaboration might improve the management of future catastrophes.</t>
  </si>
  <si>
    <t>Child passage removed; parent passage retained as PAR-002. Parent labeler and parent-level label control.</t>
  </si>
  <si>
    <t>PAR-002</t>
  </si>
  <si>
    <t>PAR_Prerana_July17!r1</t>
  </si>
  <si>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</si>
  <si>
    <t>Prerana re-evaluated her EPA annotation(s) 1:15 under the revised codebook and concluded that the passage does not meet the binary Unlearning threshold. The earlier coding did not establish the required combination of explicit problematization and abandonment, replacement, or fundamental rethinking.</t>
  </si>
  <si>
    <t>User-confirmed Prerana EPA re-evaluation of ICAResults_25April2026 1:15 (latest)</t>
  </si>
  <si>
    <t>Prerana's latest EPA re-evaluation changes her coder-specific label for 1:15 to No. New gold changes Yes → No under the anmol &gt; prerana &gt; kyle priority rule.</t>
  </si>
  <si>
    <t>ICAResults_25April2026!r16 (G011; prerana): Yes [SELECTED] | Prerana EPA re-evaluation (user-confirmed for ICAResults_25April2026 1:15): No [LATEST PRERANA]</t>
  </si>
  <si>
    <t>ICAResults_25April2026!r16[G011]; User-confirmed Prerana EPA re-evaluation [1:15]</t>
  </si>
  <si>
    <t>G004</t>
  </si>
  <si>
    <t>EPA officials told us that, in some instances, coordination could be improved for future disaster responses. Areas where coordination could be improved occurred with respect to both the drinking water and wastewater responses.
Drinking Water Response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</si>
  <si>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Near/exact duplicate variant</t>
  </si>
  <si>
    <t>Equivalent text variant merged into EPA-005; cleaner representative retained.</t>
  </si>
  <si>
    <t>No/Yes</t>
  </si>
  <si>
    <t>RationaleSheet_April20_v1!r3; AnmolRationale_August12!r3</t>
  </si>
  <si>
    <t>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</si>
  <si>
    <t>Prerana re-evaluated her EPA annotation(s) 1:16 under the revised codebook and concluded that the passage does not meet the binary Unlearning threshold. The earlier coding did not establish the required combination of explicit problematization and abandonment, replacement, or fundamental rethinking.</t>
  </si>
  <si>
    <t>User-confirmed Prerana EPA re-evaluation of ICAResults_25April2026 1:16 (latest)</t>
  </si>
  <si>
    <t>Multiple labelers (prerana, kyle); parent-passage labeler rule yields prerana. Prerana's latest EPA re-evaluation changes her coder-specific label for 1:16 to No. New gold changes Yes → No under the anmol &gt; prerana &gt; kyle priority rule. Current coder disagreement is prerana=No and kyle=Yes; new gold follows Prerana.</t>
  </si>
  <si>
    <t>Parent-child</t>
  </si>
  <si>
    <t>Kept parent span G012; removed child group(s) G013. Parent passage labeler retained. Also consolidated repeated annotations across source sheets. University of Delaware duplicate/system annotation(s) ignored.</t>
  </si>
  <si>
    <t>ICAResults_25April2026!r25 (G013; kyle): Yes | ICAResults_25April2026!r17 (G012; prerana): Yes [SELECTED] | RationaleSheet_April20_v1!r25 (G013; kyle): Yes | Prerana EPA re-evaluation (user-confirmed for ICAResults_25April2026 1:16): No [LATEST PRERANA]</t>
  </si>
  <si>
    <t>ICAResults_25April2026!r17[G012]; ICAResults_25April2026!r25[G013]; RationaleSheet_April20_v1!r25[G013]; User-confirmed Prerana EPA re-evaluation [1:16]</t>
  </si>
  <si>
    <t>G024</t>
  </si>
  <si>
    <t>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</si>
  <si>
    <t>Equivalent text variant merged into EPA-006; cleaner representative retained. University of Delaware duplicate/system annotation(s) were ignored.</t>
  </si>
  <si>
    <t>ICAResults_25April2026!r8</t>
  </si>
  <si>
    <t>Prerana's latest re-evaluation sets annotations 1:7-1:9 to No; retained representative EPA-006 new gold remains No.</t>
  </si>
  <si>
    <t>1:20</t>
  </si>
  <si>
    <t>ESF and support annex should develop a detailed operations plan on how they will become operational and coordinate with other annexes and ESF’s during a major incident</t>
  </si>
  <si>
    <t>This is not unlearning. It doesn't identify a problem area or show a departure from past practice. It is an additive change.</t>
  </si>
  <si>
    <t>RationaleSheet_April20_v1!row 21 (Manual recency/adjudication rule)</t>
  </si>
  <si>
    <t>RationaleSheet_April20_v1!row 21</t>
  </si>
  <si>
    <t>Conflicting historical binary labels (No/Yes); final label follows RationaleSheet_April20_v1!row 21. Multiple labelers (anmol, prerana); exact-duplicate priority yields anmol. Same/equivalent passage has conflicting annotation numbers (1:14, 1:20); selected 1:20. Latest rationale overrides stale code field (Yes in Codes vs No final). Manual latest-label rule applied: Manual recency/adjudication rule. Prerana's latest EPA re-evaluation changes her coder-specific label for 1:14 to No. Gold remains No because the higher-priority/selected gold label is already No.</t>
  </si>
  <si>
    <t>ICAResults_25April2026!r15 (G010; prerana): Yes | RationaleSheet_April20_v1!r21 (G010; anmol): No [SELECTED] | Prerana EPA re-evaluation (user-confirmed for ICAResults_25April2026 1:14): No [LATEST PRERANA]</t>
  </si>
  <si>
    <t>ICAResults_25April2026!r15[G010]; RationaleSheet_April20_v1!r21[G010]; User-confirmed Prerana EPA re-evaluation [1:14]</t>
  </si>
  <si>
    <t>G002</t>
  </si>
  <si>
    <t>1:5</t>
  </si>
  <si>
    <t>pp 13-14</t>
  </si>
  <si>
    <t>EPA regional officials concurred that tremendous communication issues existed following Hurricane Katrina. Both Regions 4 and 6 indicated they have taken a number of steps to 7
improve communication during future disasters, including upgrading the current telecommunications equipment, planning to deploy additional staff during the next disaster, and reevaluating current communication standard operating procedures.</t>
  </si>
  <si>
    <t>Equivalent text variant merged into EPA-016; cleaner representative retained.</t>
  </si>
  <si>
    <t>EPA-016</t>
  </si>
  <si>
    <t>RationaleSheet_April20_v1!r6; AnmolRationale_August12!r6</t>
  </si>
  <si>
    <t>EPA-014</t>
  </si>
  <si>
    <t>1:4</t>
  </si>
  <si>
    <t>p 12</t>
  </si>
  <si>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</si>
  <si>
    <t>This is unlearning. It identifies communication and coordination as problems. it goes on to share specific solutions which seem to present fundamental change.</t>
  </si>
  <si>
    <t>AnmolRationale_August12!row 5 (Latest Anmol August 12 re-evaluation)</t>
  </si>
  <si>
    <t>AnmolRationale_August12!row 5</t>
  </si>
  <si>
    <t>Source span contains multiple paragraphs and a bullet list; verify paragraph-level unit.</t>
  </si>
  <si>
    <t>AnmolRationale_August12!r5 (G014; anmol): Yes [SELECTED] | ICAResults_25April2026!r5 (G014; anmol): Yes | RationaleSheet_April20_v1!r5 (G014; anmol): Yes</t>
  </si>
  <si>
    <t>AnmolRationale_August12!r5[G014]; ICAResults_25April2026!r5[G014]; RationaleSheet_April20_v1!r5[G014]</t>
  </si>
  <si>
    <t>G052</t>
  </si>
  <si>
    <t>The hurricane protection system was funded on a project-byproject basis over many years. As a result, the system was constructed in a piecemeal fashion. In addition, there were pressures for tradeoffs and low-cost solutions that compromised quality, safety, and reliability.</t>
  </si>
  <si>
    <t>Equivalent text variant merged into ERP-004; cleaner representative retained.</t>
  </si>
  <si>
    <t>ICAResults_25April2026!r58; RationaleSheet_April20_v1!r33</t>
  </si>
  <si>
    <t>Region 6 officials said they have established a senior liaison position between Region 6 and Louisiana, defined roles and responsibilities between EPA and the States, and developed a DVD that addresses emergency response activities.</t>
  </si>
  <si>
    <t>Prerana re-evaluated her EPA annotation(s) 1:17 under the revised codebook and concluded that the passage does not meet the binary Unlearning threshold. The earlier coding did not establish the required combination of explicit problematization and abandonment, replacement, or fundamental rethinking.</t>
  </si>
  <si>
    <t>User-confirmed Prerana EPA re-evaluation of ICAResults_25April2026 1:17 (latest)</t>
  </si>
  <si>
    <t>Prerana's latest EPA re-evaluation changes her coder-specific label for 1:17 to No. New gold changes Yes → No under the anmol &gt; prerana &gt; kyle priority rule.</t>
  </si>
  <si>
    <t>ICAResults_25April2026!r18 (G015; prerana): Yes [SELECTED] | Prerana EPA re-evaluation (user-confirmed for ICAResults_25April2026 1:17): No [LATEST PRERANA]</t>
  </si>
  <si>
    <t>ICAResults_25April2026!r18[G015]; User-confirmed Prerana EPA re-evaluation [1:17]</t>
  </si>
  <si>
    <t>G042</t>
  </si>
  <si>
    <t>Determine the level of acceptable risk in the community through quality interactive public risk communication programs in New Orleans and other areas threatened by hurricanes and flooding.
Once determined, manage the risks accordingly.</t>
  </si>
  <si>
    <t>Equivalent text variant merged into ERP-007; cleaner representative retained.</t>
  </si>
  <si>
    <t>ICAResults_25April2026!r62; RationaleSheet_April20_v1!r37</t>
  </si>
  <si>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</si>
  <si>
    <t>Depth: Moderate depth, Nature: Technical Nature, Pillar: Realignment (Technical), Stakeholder: EPA, Stakeholder: Stakeholders, Unlearning</t>
  </si>
  <si>
    <t>This is unlearning. They are specifically using keyword reevaluation, which speaks to departure from past practices. They identify specific problems regarding communication, equipment and data</t>
  </si>
  <si>
    <t>AnmolRationale_August12!row 6 (Latest Anmol August 12 re-evaluation)</t>
  </si>
  <si>
    <t>AnmolRationale_August12!row 6</t>
  </si>
  <si>
    <t>Consolidated equivalent text groups G001, G002; retained cleaner representative G001. Also consolidated repeated annotations across source sheets.</t>
  </si>
  <si>
    <t>Removed embedded SCRIBE footnote</t>
  </si>
  <si>
    <t>AnmolRationale_August12!r6 (G002; anmol): Yes [SELECTED] | ICAResults_25April2026!r6 (G001; anmol): Yes | RationaleSheet_April20_v1!r6 (G002; anmol): Yes</t>
  </si>
  <si>
    <t>AnmolRationale_August12!r6[G002]; ICAResults_25April2026!r6[G001]; RationaleSheet_April20_v1!r6[G002]</t>
  </si>
  <si>
    <t>G041</t>
  </si>
  <si>
    <t>The USACE defines the standard project hurricane (SPH) as a hypothetical hurricane intended to represent the most severe combination of hurricane parameters that is reasonably characteristic of a specified region.
The definition “reasonably characteristic” implies that the SPH is not an extreme hurricane event—particularly when compared with the probable maximum hurricane (PMH), which the National Weather Service defines as “a combination of meteorological parameters that will give the highest sustained wind speed that can probably occur at a specified coastal location.” The relationships between the meteorological parameters (central pressure index, forward speed, wind direction, and wind speed) are interrelated and complex. It appears that the USACE:
• Chose SPH meteorological parameters at the low end of the range of 101 to 111 mph listed by the USWB (now the National Weather Service) in 1959 as representative maximum wind speeds for a hurricane striking New Orleans • Did not evaluate the hurricane protection system for the effects of a more severe storm such as the PMH,
• Did not update its SPH meteorological parameters when the National Weather Service issued revised numbers in 1979, and
• Did not improve previously designed and constructed components of the hurricane protection system to match updated design criteria.</t>
  </si>
  <si>
    <t>Equivalent text variant merged into ERP-017; cleaner representative retained.</t>
  </si>
  <si>
    <t>ICAResults_25April2026!r78; RationaleSheet_April20_v1!r53</t>
  </si>
  <si>
    <t>During emergencies such as Hurricane Katrina, there is an immediate need for decision makers at various levels of government to have reliable water quality data. 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</si>
  <si>
    <t>Prerana re-evaluated her EPA annotation(s) 1:18 under the revised codebook and concluded that the passage does not meet the binary Unlearning threshold. The earlier coding did not establish the required combination of explicit problematization and abandonment, replacement, or fundamental rethinking.</t>
  </si>
  <si>
    <t>User-confirmed Prerana EPA re-evaluation of ICAResults_25April2026 1:18 (latest)</t>
  </si>
  <si>
    <t>Multiple labelers (prerana, kyle); parent-passage labeler rule yields prerana. Prerana's latest EPA re-evaluation changes her coder-specific label for 1:18 to No. New gold changes Yes → No under the anmol &gt; prerana &gt; kyle priority rule. Current coder disagreement is prerana=No and kyle=Yes; new gold follows Prerana.</t>
  </si>
  <si>
    <t>Kept parent span G016; removed child group(s) G017. Parent passage labeler retained. Also consolidated repeated annotations across source sheets. University of Delaware duplicate/system annotation(s) ignored.</t>
  </si>
  <si>
    <t>ICAResults_25April2026!r22 (G017; kyle): Yes | ICAResults_25April2026!r19 (G016; prerana): Yes [SELECTED] | RationaleSheet_April20_v1!r22 (G017; kyle): Yes | Prerana EPA re-evaluation (user-confirmed for ICAResults_25April2026 1:18): No [LATEST PRERANA]</t>
  </si>
  <si>
    <t>ICAResults_25April2026!r19[G016]; ICAResults_25April2026!r22[G017]; RationaleSheet_April20_v1!r22[G017]; User-confirmed Prerana EPA re-evaluation [1:18]</t>
  </si>
  <si>
    <t>G077</t>
  </si>
  <si>
    <t>12:8, 12:9</t>
  </si>
  <si>
    <t>Our initial review of the NRP base plan and its supporting catastrophic provisions as well as lessons based on Hurricane Katrina suggest the need for these documents to be supported and supplemented by more detailed and robust implementation plans. Our previous work has also underscored the need to prepare for both natural disasters and manmade disasters such as terrorist event</t>
  </si>
  <si>
    <t>This near/exact duplicate belonged to a Kyle-only GAO passage group that was removed from the final test set; no passage is retained.</t>
  </si>
  <si>
    <t>ICAResults_25April2026!r37; RationaleSheet_April20_v1!r67</t>
  </si>
  <si>
    <t>Kyle-only retained passage removed and its Passage_ID reference cleared during final cleanup.</t>
  </si>
  <si>
    <t>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</si>
  <si>
    <t>Prerana re-evaluated her EPA annotation(s) 1:19 under the revised codebook and concluded that the passage does not meet the binary Unlearning threshold. The earlier coding did not establish the required combination of explicit problematization and abandonment, replacement, or fundamental rethinking.</t>
  </si>
  <si>
    <t>User-confirmed Prerana EPA re-evaluation of ICAResults_25April2026 1:19 (latest)</t>
  </si>
  <si>
    <t>Multiple labelers (prerana, kyle); parent-passage labeler rule yields prerana. Prerana's latest EPA re-evaluation changes her coder-specific label for 1:19 to No. New gold changes Yes → No under the anmol &gt; prerana &gt; kyle priority rule. Current coder disagreement is prerana=No and kyle=Yes; new gold follows Prerana.</t>
  </si>
  <si>
    <t>Kept parent span G020; removed child group(s) G021. Parent passage labeler retained. Also consolidated repeated annotations across source sheets. University of Delaware duplicate/system annotation(s) ignored.</t>
  </si>
  <si>
    <t>ICAResults_25April2026!r28 (G021; kyle): Yes | ICAResults_25April2026!r20 (G020; prerana): Yes [SELECTED] | RationaleSheet_April20_v1!r27 (G021; kyle): Yes | Prerana EPA re-evaluation (user-confirmed for ICAResults_25April2026 1:19): No [LATEST PRERANA]</t>
  </si>
  <si>
    <t>ICAResults_25April2026!r20[G020]; ICAResults_25April2026!r28[G021]; RationaleSheet_April20_v1!r27[G021]; User-confirmed Prerana EPA re-evaluation [1:19]</t>
  </si>
  <si>
    <t>G085</t>
  </si>
  <si>
    <t>14:10</t>
  </si>
  <si>
    <t>pp 19-20</t>
  </si>
  <si>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oversight.8</t>
  </si>
  <si>
    <t>Equivalent text variant merged into HK-006; cleaner representative retained.</t>
  </si>
  <si>
    <t>HK-006</t>
  </si>
  <si>
    <t>ICAResults_25April2026!r47; RationaleSheet_April20_v1!r78</t>
  </si>
  <si>
    <t>HK-001</t>
  </si>
  <si>
    <t>14:5</t>
  </si>
  <si>
    <t>pp 14-15</t>
  </si>
  <si>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</si>
  <si>
    <t>gao-06-442t.pdf</t>
  </si>
  <si>
    <t>Depth: Moderate depth, Nature: Normative Nature, Pillar: Reconsidering (Epistemic), Stakeholder: Miscelleanous, Unlearning</t>
  </si>
  <si>
    <t>unlearning as it discards teh assumption of the traditional layered approach for evolving incidents.</t>
  </si>
  <si>
    <t>AnmolRationale_August12!row 16 (Latest Anmol August 12 re-evaluation)</t>
  </si>
  <si>
    <t>AnmolRationale_August12!row 16</t>
  </si>
  <si>
    <t>AnmolRationale_August12!r16 (G084; anmol): Yes [SELECTED] | ICAResults_25April2026!r42 (G084; kyle): Yes | RationaleSheet_April20_v1!r73 (G084; kyle): Yes | GPT Test!r5 (G084; anmol): Yes</t>
  </si>
  <si>
    <t>AnmolRationale_August12!r16[G084]; GPT Test!r5[G084]; ICAResults_25April2026!r42[G084]; RationaleSheet_April20_v1!r73[G084]</t>
  </si>
  <si>
    <t>G050</t>
  </si>
  <si>
    <t>2:6</t>
  </si>
  <si>
    <t>Keep safety at the forefront of public priorities by having all responsible agencies re-evaluate their policies and practices to ensure that protection of public safety, health, and welfare is the top priority for infrequent but potentially devastating impacts from hurricanes and flooding. Also, encourage Congress to establish and fund a mechanism for a nationwide levee safety program, similar to that which is in place for dams.</t>
  </si>
  <si>
    <t>Codebook-example leakage</t>
  </si>
  <si>
    <t>Removed for direct test leakage: exact match to the revised codebook's binary Unlearning example.</t>
  </si>
  <si>
    <t>anmol, kyle</t>
  </si>
  <si>
    <t>ICAResults_25April2026!r60; RationaleSheet_April20_v1!r35; AnmolRationale_August12!r31</t>
  </si>
  <si>
    <t>HK-002</t>
  </si>
  <si>
    <t>14:6</t>
  </si>
  <si>
    <t>p 15</t>
  </si>
  <si>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</si>
  <si>
    <t>Depth: Moderate depth, Nature: Normative Nature, Pillar: Reconsidering (Epistemic), Stakeholder: Congress, Unlearning</t>
  </si>
  <si>
    <t>Not unlearning. It doesnt identify a specific issue and the change it suggest in atuhority doesnt sound like amajor departure from teh past norms.</t>
  </si>
  <si>
    <t>AnmolRationale_August12!row 17 (Latest Anmol August 12 re-evaluation)</t>
  </si>
  <si>
    <t>AnmolRationale_August12!row 17</t>
  </si>
  <si>
    <t>Conflicting historical binary labels (No/Yes); final label follows AnmolRationale_August12!row 17. Multiple labelers (anmol, kyle); exact-duplicate priority yields anmol. Latest rationale overrides stale code field (Yes in Codes vs No final).</t>
  </si>
  <si>
    <t>AnmolRationale_August12!r17 (G088; anmol): No [SELECTED] | ICAResults_25April2026!r43 (G088; kyle): Yes | RationaleSheet_April20_v1!r74 (G088; kyle): Yes | GPT Test!r6 (G088; anmol): Yes</t>
  </si>
  <si>
    <t>AnmolRationale_August12!r17[G088]; GPT Test!r6[G088]; ICAResults_25April2026!r43[G088]; RationaleSheet_April20_v1!r74[G088]</t>
  </si>
  <si>
    <t>G064</t>
  </si>
  <si>
    <t>2:13</t>
  </si>
  <si>
    <t>It is human nature—both at a personal and institutional level—to lose focus of long-term needs in the light of short-term demands. The infrequency of major hurricanes tends to lull society into neglect and inaction, but longterm safety must take precedence. Without a significant elevation of safety as a priority, the hurricane and flood protection systems in New Orleans, and across the nation, have the potential to return to a low priority. All responsible agencies in New Orleans and throughout the nation should re-evaluate their policies and practices to ensure that protection of public safety, health, and welfare is the top priority for the infrequent but potentially devastating impacts from hurricanes and flooding.</t>
  </si>
  <si>
    <t>Removed for test leakage: contains a 21-token verbatim segment from the revised codebook's binary Unlearning example.</t>
  </si>
  <si>
    <t>ICAResults_25April2026!r67; RationaleSheet_April20_v1!r42; AnmolRationale_August12!r38</t>
  </si>
  <si>
    <t>HK-003</t>
  </si>
  <si>
    <t>14:7</t>
  </si>
  <si>
    <t>p 18</t>
  </si>
  <si>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</si>
  <si>
    <t>Depth: High depth, Nature: Normative Nature, Pillar: Discarding (Normative), Pillar: Reconsidering (Epistemic), Stakeholder: Miscelleanous, Unlearning</t>
  </si>
  <si>
    <t>Unlearning as it specifically talks about discarding rules and regulations and SOPs that come in the way of flexibility and vital supplies.</t>
  </si>
  <si>
    <t>AnmolRationale_August12!row 18 (Latest Anmol August 12 re-evaluation)</t>
  </si>
  <si>
    <t>AnmolRationale_August12!row 18</t>
  </si>
  <si>
    <t>AnmolRationale_August12!r18 (G089; anmol): Yes [SELECTED] | ICAResults_25April2026!r44 (G089; kyle): Yes | RationaleSheet_April20_v1!r75 (G089; kyle): Yes | GPT Test!r7 (G089; anmol): Yes | Findings!r7 (G089; no labeler): Yes</t>
  </si>
  <si>
    <t>AnmolRationale_August12!r18[G089]; Findings!r7[G089]; GPT Test!r7[G089]; ICAResults_25April2026!r44[G089]; RationaleSheet_April20_v1!r75[G089]</t>
  </si>
  <si>
    <t>G072</t>
  </si>
  <si>
    <t>12:1</t>
  </si>
  <si>
    <t>pp 3-4</t>
  </si>
  <si>
    <t>First, prior to a catastrophic event, the leadership roles, responsibilities, and lines of authority for the response at all levels must be clearly defined and effectively communicated in order to facilitate rapid and effective decision making, especially in preparing for and in the early hours and days after the event. As we recommended in 1993, we continue to believe that a single individual directly responsible and accountable to the President must be designated to act as the central focal point to lead and coordinate the overall federal response in the event of a major catastrophe. This person would work on behalf of the President to ensure that federal agencies treat the catastrophe as a top priority and that the federal government’s response is both timely and effective. In cases where there is warning, such as the high probability of a major hurricane (e.g., a category 4 or 5), the senior official should be designated prior to the event, be deployed appropriately, and be ready to step forward as events unfold.
Neither the DHS Secretary nor any of his designees, such as the Principal Federal Official (PFO), filled this leadership role during Hurricane Katrina, which serves to underscore the immaturity of and weaknesses relating to Clear and Decisive Leadership the current national response framework. More specifically with regard to the lessons to be learned from Hurricane Katrina:</t>
  </si>
  <si>
    <t>Removed for direct test leakage: contains the complete revised codebook Leadership example.</t>
  </si>
  <si>
    <t>ICAResults_25April2026!r29; RationaleSheet_April20_v1!r60; AnmolRationale_August12!r7</t>
  </si>
  <si>
    <t>HK-004</t>
  </si>
  <si>
    <t>14:8</t>
  </si>
  <si>
    <t>p 19</t>
  </si>
  <si>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</si>
  <si>
    <t>Depth: High depth, Nature: Technical Nature, Pillar: Merging (Integrative), Stakeholder: Miscelleanous, Unlearning</t>
  </si>
  <si>
    <t>Unlearning as it identifies interoperable communication as a clear policy problem and tmakes recommendations that seem to suggest departure from teh past approached.</t>
  </si>
  <si>
    <t>AnmolRationale_August12!row 19 (Latest Anmol August 12 re-evaluation)</t>
  </si>
  <si>
    <t>AnmolRationale_August12!row 19</t>
  </si>
  <si>
    <t>AnmolRationale_August12!r19 (G091; anmol): Yes [SELECTED] | ICAResults_25April2026!r45 (G091; kyle): Yes | RationaleSheet_April20_v1!r76 (G091; kyle): Yes | GPT Test!r8 (G091; anmol): Yes | Findings!r6 (G091; no labeler): Yes</t>
  </si>
  <si>
    <t>AnmolRationale_August12!r19[G091]; Findings!r6[G091]; GPT Test!r8[G091]; ICAResults_25April2026!r45[G091]; RationaleSheet_April20_v1!r76[G091]</t>
  </si>
  <si>
    <t>G080</t>
  </si>
  <si>
    <t>12:7</t>
  </si>
  <si>
    <t>Additional capability will be needed to effectively manage and deploy volunteers and unsolicited donations. Our early work indicates that because of the magnitude of the storms, volunteers and donations, including from the international community were not generally well integrated into the overall response and recovery activities. For example, there were challenges in integrating the efforts of the Salvation Army and smaller organizations, often local churches and other “faith-based” organizations. In addition, federal agencies involved in managing the international assistance were not prepared to coordinate, receive, distribute, or account for the assistance. Agency officials involved in the cash and in-kind international assistance told us the agencies had not planned for the acceptance of international assistance for use in the United States and, therefore, had not developed processes and procedures to address this scenario.</t>
  </si>
  <si>
    <t>Removed for direct test leakage: contains the complete revised codebook Funds/resource-allocation example.</t>
  </si>
  <si>
    <t>ICAResults_25April2026!r35; RationaleSheet_April20_v1!r66; AnmolRationale_August12!r10</t>
  </si>
  <si>
    <t>HK-005</t>
  </si>
  <si>
    <t>14:9</t>
  </si>
  <si>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</si>
  <si>
    <t>Depth: High depth, Nature: Normative Nature, Pillar: Reconsidering (Epistemic), Stakeholder: Dept of Defense, Unlearning</t>
  </si>
  <si>
    <t>Not unleaarning. They identify a problem, but offer not clear reform that breaks from the past practices.</t>
  </si>
  <si>
    <t>AnmolRationale_August12!row 20 (Latest Anmol August 12 re-evaluation)</t>
  </si>
  <si>
    <t>AnmolRationale_August12!row 20</t>
  </si>
  <si>
    <t>Conflicting historical binary labels (No/Yes); final label follows AnmolRationale_August12!row 20. Multiple labelers (anmol, kyle); exact-duplicate priority yields anmol. Latest rationale overrides stale code field (Yes in Codes vs No final).</t>
  </si>
  <si>
    <t>AnmolRationale_August12!r20 (G090; anmol): No [SELECTED] | ICAResults_25April2026!r46 (G090; kyle): Yes | RationaleSheet_April20_v1!r77 (G090; kyle): Yes | GPT Test!r9 (G090; anmol): Yes | Findings!r5 (G090; no labeler): Yes</t>
  </si>
  <si>
    <t>AnmolRationale_August12!r20[G090]; Findings!r5[G090]; GPT Test!r9[G090]; ICAResults_25April2026!r46[G090]; RationaleSheet_April20_v1!r77[G090]</t>
  </si>
  <si>
    <t>G086</t>
  </si>
  <si>
    <t>14:12</t>
  </si>
  <si>
    <t>pp 29-30</t>
  </si>
  <si>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</si>
  <si>
    <t>Removed for direct test leakage: contains the revised codebook Agency example within a longer passage.</t>
  </si>
  <si>
    <t>ICAResults_25April2026!r49; RationaleSheet_April20_v1!r80; AnmolRationale_August12!r23; GPT Test!r10</t>
  </si>
  <si>
    <t>205</t>
  </si>
  <si>
    <t>not unlearning as the reforms seem additive capacity building related, not fundamental changes.</t>
  </si>
  <si>
    <t>AnmolRationale_August12!row 21 (Latest Anmol August 12 re-evaluation)</t>
  </si>
  <si>
    <t>AnmolRationale_August12!row 21</t>
  </si>
  <si>
    <t>Consolidated equivalent text groups G083, G085; retained cleaner representative G083. Also consolidated repeated annotations across source sheets.</t>
  </si>
  <si>
    <t>AnmolRationale_August12!r21 (G083; anmol): No [SELECTED] | ICAResults_25April2026!r47 (G085; kyle): No | RationaleSheet_April20_v1!r78 (G085; kyle): No</t>
  </si>
  <si>
    <t>AnmolRationale_August12!r21[G083]; ICAResults_25April2026!r47[G085]; RationaleSheet_April20_v1!r78[G085]</t>
  </si>
  <si>
    <t>G092</t>
  </si>
  <si>
    <t>14:1, 14:15, 14:16, 14:2</t>
  </si>
  <si>
    <t>p 2</t>
  </si>
  <si>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</si>
  <si>
    <t>Removed for direct test leakage: near-verbatim/full-content match to the revised codebook Agency example. University of Delaware duplicate/system annotation(s) were ignored.</t>
  </si>
  <si>
    <t>ICAResults_25April2026!r53; RationaleSheet_April20_v1!r70; AnmolRationale_August12!r13; GPT Test!r2; Findings!r8</t>
  </si>
  <si>
    <t>HK-007</t>
  </si>
  <si>
    <t>14:11</t>
  </si>
  <si>
    <t>p 24</t>
  </si>
  <si>
    <t>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</si>
  <si>
    <t>Not unlearning as these seem additional capacity related.</t>
  </si>
  <si>
    <t>AnmolRationale_August12!row 22 (Latest Anmol August 12 re-evaluation)</t>
  </si>
  <si>
    <t>AnmolRationale_August12!row 22</t>
  </si>
  <si>
    <t>AnmolRationale_August12!r22 (G093; anmol): No [SELECTED] | ICAResults_25April2026!r48 (G093; kyle): No | RationaleSheet_April20_v1!r79 (G093; kyle): No | Findings!r2 (G093; no labeler): No</t>
  </si>
  <si>
    <t>AnmolRationale_August12!r22[G093]; Findings!r2[G093]; ICAResults_25April2026!r48[G093]; RationaleSheet_April20_v1!r79[G093]</t>
  </si>
  <si>
    <t>G096</t>
  </si>
  <si>
    <t>14:3</t>
  </si>
  <si>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</si>
  <si>
    <t>Removed for direct test leakage: contains Leadership and Laws/plans/policies example language from the revised codebook.</t>
  </si>
  <si>
    <t>ICAResults_25April2026!r40; RationaleSheet_April20_v1!r71; AnmolRationale_August12!r14; GPT Test!r3</t>
  </si>
  <si>
    <t>HK-008</t>
  </si>
  <si>
    <t>14:13</t>
  </si>
  <si>
    <t>p 37</t>
  </si>
  <si>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</si>
  <si>
    <t>This is unlearning as it identifies a problem in resettlement adn healthcare, and makes a cse for shifting away from hospital-centric system</t>
  </si>
  <si>
    <t>AnmolRationale_August12!row 24 (Latest Anmol August 12 re-evaluation)</t>
  </si>
  <si>
    <t>RationaleSheet_April20_v1!row 81 (supporting older rationale)</t>
  </si>
  <si>
    <t>Multiple labelers (anmol, kyle); exact-duplicate priority yields anmol. Selected latest record has no rationale; an older consistent rationale is shown for context.</t>
  </si>
  <si>
    <t>AnmolRationale_August12!r24 (G094; anmol): Yes [SELECTED] | ICAResults_25April2026!r50 (G094; kyle): Yes | RationaleSheet_April20_v1!r81 (G094; kyle): Yes | GPT Test!r11 (G094; anmol): Yes</t>
  </si>
  <si>
    <t>AnmolRationale_August12!r24[G094]; GPT Test!r11[G094]; ICAResults_25April2026!r50[G094]; RationaleSheet_April20_v1!r81[G094]</t>
  </si>
  <si>
    <t>G097</t>
  </si>
  <si>
    <t>14:1, 14:15</t>
  </si>
  <si>
    <t>2) removing statutory restrictions on DOD’s authority to activate Reserve units for catastrophic disaster relief.</t>
  </si>
  <si>
    <t>Removed for direct test leakage: near-verbatim match to the revised codebook Laws/plans/policies example; also a child of G096.</t>
  </si>
  <si>
    <t>ICAResults_25April2026!r52; RationaleSheet_April20_v1!r69; AnmolRationale_August12!r12</t>
  </si>
  <si>
    <t>HK-009</t>
  </si>
  <si>
    <t>14:14</t>
  </si>
  <si>
    <t>p 39</t>
  </si>
  <si>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</si>
  <si>
    <t>Depth: High depth, Nature: Technical Nature, Pillar: Reconsidering (Epistemic), Stakeholder: Miscelleanous, Unlearning</t>
  </si>
  <si>
    <t>Unlearning as it idenfieis fundamental shift in healthcare practice toward preventative care</t>
  </si>
  <si>
    <t>AnmolRationale_August12!row 25 (Latest Anmol August 12 re-evaluation)</t>
  </si>
  <si>
    <t>AnmolRationale_August12!row 25</t>
  </si>
  <si>
    <t>AnmolRationale_August12!r25 (G095; anmol): Yes [SELECTED] | ICAResults_25April2026!r51 (G095; kyle): Yes | RationaleSheet_April20_v1!r82 (G095; kyle): Yes | GPT Test!r12 (G095; anmol): Yes</t>
  </si>
  <si>
    <t>AnmolRationale_August12!r25[G095]; GPT Test!r12[G095]; ICAResults_25April2026!r51[G095]; RationaleSheet_April20_v1!r82[G095]</t>
  </si>
  <si>
    <t>G098</t>
  </si>
  <si>
    <t>14:16, 14:2</t>
  </si>
  <si>
    <t>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</si>
  <si>
    <t>Removed for direct test leakage: contains the revised codebook Laws/plans/policies example; also a child of G096. University of Delaware duplicate/system annotation(s) were ignored.</t>
  </si>
  <si>
    <t>HK-010</t>
  </si>
  <si>
    <t>“As was noted during a hearing before this committee, technological advances should provide the capability to prevent or significantly reduce “the fog of war” during a catastrophe. The secretary also has announced plans for better logistics and debris removal capabilities.”</t>
  </si>
  <si>
    <t>example of learning through better logistics and debris removal capabilities.</t>
  </si>
  <si>
    <t>Findings!row 3 (Latest available record by sheet chronology)</t>
  </si>
  <si>
    <t>Findings!row 3</t>
  </si>
  <si>
    <t>No original human labeler was recorded; passage appears only in Findings.</t>
  </si>
  <si>
    <t>Findings!r3 (G081; no labeler): No [SELECTED]</t>
  </si>
  <si>
    <t>Findings!r3[G081]</t>
  </si>
  <si>
    <t>G099</t>
  </si>
  <si>
    <t>14:4</t>
  </si>
  <si>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</si>
  <si>
    <t>ICAResults_25April2026!r41; RationaleSheet_April20_v1!r72; AnmolRationale_August12!r15; GPT Test!r4</t>
  </si>
  <si>
    <t>HK-011</t>
  </si>
  <si>
    <t>“For example, although the National Disaster Medical System (NDMS) is a mechanism through which the federal government can provide assistance with patient evacuations, NDMS has agreements with hospitals only and does not address the needs of nursing homes.”</t>
  </si>
  <si>
    <t>It aims to add nursing homes to the medical system but the underlying logic of the NDMS</t>
  </si>
  <si>
    <t>Findings!row 4 (Latest available record by sheet chronology)</t>
  </si>
  <si>
    <t>Findings!row 4</t>
  </si>
  <si>
    <t>Findings!r4 (G082; no labeler): No [SELECTED]</t>
  </si>
  <si>
    <t>Findings!r4[G082]</t>
  </si>
  <si>
    <t>G087</t>
  </si>
  <si>
    <t>14:17</t>
  </si>
  <si>
    <t>p 1</t>
  </si>
  <si>
    <t>March 8, 2006 HURRICANE KATRINA</t>
  </si>
  <si>
    <t>Non-paragraph artifact</t>
  </si>
  <si>
    <t>Removed because the record is a report title/date line, not a paragraph.</t>
  </si>
  <si>
    <t>ICAResults_25April2026!r54; RationaleSheet_April20_v1!r85</t>
  </si>
  <si>
    <t>PAR-001</t>
  </si>
  <si>
    <t>At the time of Hurricane Katrina, the NRP was in place yet remained largely untested. It had been used for smaller emergencies prior to Katrina, but the hurricane marked the fi rst time the NRP was used for a catastrophic event. Complicating matters further, FEMA headquarters and its 10 regions diff ered in their philosophies and cultures. Headquarters was responsible for setting policy, but each region was responsible for interpreting and implementing that policy.
With political appointees heading up each FEMA region as well as headquarters, and FEMA overall weakened by its absorption into the Department of Homeland Security, regional administrators felt free to act independently, and to rely on their own judgment and that of the states and locals within their region. Confl ict among regions and even between managers within a FEMA region and at headquarters occurred frequently (Olasky 2006; Sylves 2006).</t>
  </si>
  <si>
    <t>Public Administration Review - 2010 - McGuire - What if Hurricane Katrina Hit in 2020 The Need for Strategic Management of (1).pdf</t>
  </si>
  <si>
    <t>It identifies NRP as a specific plan that didn't work as well as conflict among regions. It asks for discontinuous change but implicitly.</t>
  </si>
  <si>
    <t>AnmolRationale_August12!row 56 (Latest Anmol August 12 re-evaluation)</t>
  </si>
  <si>
    <t>AnmolRationale_August12!row 56</t>
  </si>
  <si>
    <t>AnmolRationale_August12!r56 (G031; anmol): Yes [SELECTED] | PAR_Anmol_June27!r2 (G031; anmol): Yes</t>
  </si>
  <si>
    <t>AnmolRationale_August12!r56[G031]; PAR_Anmol_June27!r2[G031]</t>
  </si>
  <si>
    <t>It is hardly a surprise, then, that preparation for and the response to Hurricane Katrina resulted in failure. Shortly after the storm struck, Sandra Schneider asserts, “some of the major problems encountered during the response to Katrina stemmed from breakdowns in the administrative elements of the governmental emergency management system. Eff ective bureaucratic agencies are characterized by well-established procedures, eff ective leadership, and clear objectives. An early assessment suggests that problems associated with all three of these bureaucratic characteristics weakened governmental eff orts to respond quickly and eff ectively” (2005, 515). State and local governments in Louisiana and Mississippi were simply overwhelmed following Hurricane Katrina. Failures and subsequent recommendations by the federal government are documented in reports issued by the U.S. House of Representatives, the U.S. Senate, and the White House, the last of which focused on the federal administrative response and off ered a total of 125 recommendations in a multitude of areas, including review and revision of the NRP; increased involvement of the private sector and other nongovernmental organizations; the education and empowerment of citizens; and further integration and coordination of federal, state, and local eff orts (U.S. House 2006; U.S. Senate 2006; White House 2006).
However, little attention was given to strategic thinking and acting, and how incorporating strategic issues management into the bureaucratic process as well as intergovernmental coordination and collaboration might improve the management of future catastrophes.</t>
  </si>
  <si>
    <t>Target: Laws &amp; Policies, Target: Leadership, Target: Misclleanous (culture, communication norms, or inter-agency coordination), Unlearning</t>
  </si>
  <si>
    <t>Identifies lack of strategic management, coordination and collaboration as failures requiring discontinuous reform.</t>
  </si>
  <si>
    <t>AnmolRationale_August12!row 57 (Latest Anmol August 12 re-evaluation)</t>
  </si>
  <si>
    <t>AnmolRationale_August12!row 57</t>
  </si>
  <si>
    <t>Multiple labelers (anmol, prerana); parent-passage labeler rule yields anmol. Long parent span contains multiple component paragraphs; kept parent and removed child duplicate.</t>
  </si>
  <si>
    <t>Kept parent span G032; removed child group(s) G029. Parent passage labeler retained. Also consolidated repeated annotations across source sheets.</t>
  </si>
  <si>
    <t>AnmolRationale_August12!r57 (G032; anmol): Yes [SELECTED] | PAR_Prerana_July17!r1 (G029; prerana): Yes | PAR_Anmol_June27!r3 (G032; anmol): Yes</t>
  </si>
  <si>
    <t>AnmolRationale_August12!r57[G032]; PAR_Anmol_June27!r3[G032]; PAR_Prerana_July17!r1[G029]</t>
  </si>
  <si>
    <t>PAR-003</t>
  </si>
  <si>
    <t>The use of strategic issues management, which addresses the primary strategic concerns of an organization or organizational system, is important in emergency management because of the occurrence of unexpected and surprise events. Koteen (1997) argues that the criteria for identifying strategic issues include assessing (1) the current or potential impact on organizational performance, (2) the perceived urgency in signifi cant consequences, and (3) the impact or interdependency with other issues. For more than three decades, emergency management has been described in terms of a comprehensive, systems-based approach to activities comprising four management phases: mitigation, planning and preparedness, response, and recovery. However, most of the academic and popular literature has focused on one phase—emergency response— even as Hurricane Katrina exposed weaknesses in mitigation and recovery. Eff ective strategic management of disasters necessarily must focus on all issues and phases.</t>
  </si>
  <si>
    <t>Target: Misclleanous (culture, communication norms, or inter-agency coordination), Unlearning</t>
  </si>
  <si>
    <t>It clearly reject excessive focus on one phase of emergency mgmt and calls for focus on others.</t>
  </si>
  <si>
    <t>AnmolRationale_August12!row 58 (Latest Anmol August 12 re-evaluation)</t>
  </si>
  <si>
    <t>AnmolRationale_August12!row 58</t>
  </si>
  <si>
    <t>AnmolRationale_August12!r58 (G033; anmol): Yes [SELECTED] | PAR_Anmol_June27!r4 (G033; anmol): Yes</t>
  </si>
  <si>
    <t>AnmolRationale_August12!r58[G033]; PAR_Anmol_June27!r4[G033]</t>
  </si>
  <si>
    <t>PAR-004</t>
  </si>
  <si>
    <t>Historically, major hurricanes have left in their wake fresh congressional enactments that enlarged the federal role in disaster response, and Katrina was no diff erent. One of the fi rst major casualties of the emergency management infrastructure overhaul was the National Response Plan. It was deemed diffi cult to understand and implement; at more than 400 pages, overly complicated and bureaucratic; and generally confusing (Birkland and Waterman 2008). Its development had eff ectively excluded the participation of nonfederal stakeholders, such as states and localities, and suff ered from limited comment periods for all parties, including federal partners and the public.</t>
  </si>
  <si>
    <t>Target: Laws &amp; Policies, Target: Misclleanous (culture, communication norms, or inter-agency coordination), Unlearning</t>
  </si>
  <si>
    <t>Identifies national response plan as problematic and long and indicates subtraction/consciness. Rejects govt led approach for more collaborataive approach.</t>
  </si>
  <si>
    <t>AnmolRationale_August12!row 59 (Latest Anmol August 12 re-evaluation)</t>
  </si>
  <si>
    <t>AnmolRationale_August12!row 59</t>
  </si>
  <si>
    <t>Multiple labelers (anmol, prerana); exact-duplicate priority yields anmol.</t>
  </si>
  <si>
    <t>AnmolRationale_August12!r59 (G034; anmol): Yes [SELECTED] | PAR_Prerana_July17!r4 (G034; prerana): Yes | PAR_Anmol_June27!r5 (G034; anmol): Yes</t>
  </si>
  <si>
    <t>AnmolRationale_August12!r59[G034]; PAR_Anmol_June27!r5[G034]; PAR_Prerana_July17!r4[G034]</t>
  </si>
  <si>
    <t>PAR-005</t>
  </si>
  <si>
    <t>In response to the post-Katrina legislation and perceived problems with the implementation of the NRP, the Department of Homeland Security substantially revised the plan, with more involvement from stakeholders, and reissued it in 2008 as the National Response Framework. In its fi nal form, the National Response Framework is part of an overall national strategy for homeland security, attempting to build adaptability and fl exibility into response eff orts by setting up a general framework rather than a specifi c prescription. Its intent is to provide the doctrine and guiding principles for a unifi ed response at all levels of government for all types of hazards, but to give users some latitude as to how they choose to respond.</t>
  </si>
  <si>
    <t>Unlearning; Target: Laws, Plans &amp; Policies; Agency: Department of Homeland Security</t>
  </si>
  <si>
    <t>Prior framework identified as problematic; deliberate revision and replacement with a new framework.</t>
  </si>
  <si>
    <t>PAR_Prerana_July17!row 7 (Latest available record by sheet chronology)</t>
  </si>
  <si>
    <t>PAR_Prerana_July17!row 7</t>
  </si>
  <si>
    <t>PAR_Prerana_July17!r7 (G030; prerana): Yes [SELECTED]</t>
  </si>
  <si>
    <t>PAR_Prerana_July17!r7[G030]</t>
  </si>
  <si>
    <t>PAR-006</t>
  </si>
  <si>
    <t>While the National Response Plan was justifi ably deemed a failure and new general frameworks for response and recovery have been developed, many nongovernmental, street-level actors such as nonprofi t agencies and social service organizations desire a strategic playbook of sorts based on past experience and designed to clarify expected actions during response and recovery. Th is desire for a stepby-step guide refl ects (1) a failure of attention by local government planners to properly and thoroughly elucidate those involved, why, and how; (2) a gap in the extent to which learning occurs across and within communities that experience disasters; and (3) a need for street-level actors to know who in real time fulfi lls specifi c leadership and complementary roles. Th e frameworks guiding FEMA assume that federal, state, and local entities communicate and coordinate, and that localities establish and support over time the relationships, connectedness, and coordination essential for successful response and recovery. Th ese assumptions belie the actual state of strategic capacity</t>
  </si>
  <si>
    <t>Target: Laws &amp; Policies, Unlearning</t>
  </si>
  <si>
    <t>It identifies a clear fault in NRP and assumptions around stakeholder communication, capacity and responsibility. It asks for a change in thinking of strategic capacity.</t>
  </si>
  <si>
    <t>AnmolRationale_August12!row 60 (Latest Anmol August 12 re-evaluation)</t>
  </si>
  <si>
    <t>AnmolRationale_August12!row 60</t>
  </si>
  <si>
    <t>AnmolRationale_August12!r60 (G035; anmol): Yes [SELECTED] | PAR_Prerana_July17!r11 (G035; prerana): Yes | PAR_Anmol_June27!r6 (G035; anmol): Yes</t>
  </si>
  <si>
    <t>AnmolRationale_August12!r60[G035]; PAR_Anmol_June27!r6[G035]; PAR_Prerana_July17!r11[G035]</t>
  </si>
  <si>
    <t>PAR-007</t>
  </si>
  <si>
    <t>However, the need to strategically manage actors within a networked framework suggests a fundamental tension between topdown, command and control management and more externally oriented bottom-up or lateral strategies (Harrald 2006). As current FEMA administrator Craig Fugate asserts, “[Emergency managers] who get into this business and think that [their] job is to take charge, lead the response, and tell everybody how to do their jobs get very frustrated and don’t last very long” (Pastula 2010). Th us, a necessary but sometimes diffi cult balance, the merging of hierarchy and collaborative networks, is present in emergency management.</t>
  </si>
  <si>
    <t>Target: Leadership, Target: Misclleanous (culture, communication norms, or inter-agency coordination), Unlearning</t>
  </si>
  <si>
    <t>It calls for abandoning or at least reforming top-down management for a more balanced and collborative networked approach.</t>
  </si>
  <si>
    <t>AnmolRationale_August12!row 61 (Latest Anmol August 12 re-evaluation)</t>
  </si>
  <si>
    <t>AnmolRationale_August12!row 61</t>
  </si>
  <si>
    <t>AnmolRationale_August12!r61 (G036; anmol): Yes [SELECTED] | PAR_Anmol_June27!r7 (G036; anmol): Yes</t>
  </si>
  <si>
    <t>AnmolRationale_August12!r61[G036]; PAR_Anmol_June27!r7[G036]</t>
  </si>
  <si>
    <t>PAR-008</t>
  </si>
  <si>
    <t>Th ere are countless opportunities to improve the diff erent aspects of emergency management. For example, managers are fi nding that externally oriented management through networks and collaboration is not just a “soft” skill; it can also be facilitated by the innovative use of information technology. As Banipal demonstrates, integrated information management systems can impact and improve upon virtually all aspects of disaster response and recovery, “such as loss data accuracy, operational complexity reduction, purchasing and distribution of supplies, enhanced inter-agency communication and cooperation” (2006, 491). A relational database used to store and retrieve information can be used for various applications. For example, during an evacuation process, A system similar to this could also be used for supply chain management, such as identifying the emergency resources needed at specifi c locations and the critical facilities within the supply chain (Hale and Moberg 2005).
FEMA administrator Fugate noted that “[i]t used to be that you needed a sophisticated GIS lab to do good mapping, incorporate satellite imagery and all that other stuff . Now you have so many products out there for the average person that you’re putting tools in the hands of responders that in many cases they never had access to. Th ey can bring in data layers and real-time data from various sources and look at it in a GIS environment without needing a GIS shop to produce that” (Pastula 2010).</t>
  </si>
  <si>
    <t>Target: Capacity, Unlearning</t>
  </si>
  <si>
    <t>This points technology related unlearning. The earlier assumption that needs to be abandoned is that gis related tools is widley accessible and usable than before. Also, abandoning the assumption that externally oriented mgmt and networkign and collaboration is a soft skill.</t>
  </si>
  <si>
    <t>AnmolRationale_August12!row 62 (Latest Anmol August 12 re-evaluation)</t>
  </si>
  <si>
    <t>AnmolRationale_August12!row 62</t>
  </si>
  <si>
    <t>Source span contains more than one paragraph; verify paragraph boundary.</t>
  </si>
  <si>
    <t>AnmolRationale_August12!r62 (G037; anmol): Yes [SELECTED] | PAR_Anmol_June27!r8 (G037; anmol): Yes</t>
  </si>
  <si>
    <t>AnmolRationale_August12!r62[G037]; PAR_Anmol_June27!r8[G037]</t>
  </si>
  <si>
    <t>Some overtopping of levees is to be expected in a major storm. However, the levees were not armored or protected against erosion—an engineering choice of catastrophic consequences because this allowed the levees, some constructed of highly erodible soil, to be scoured away, allowing water to pour into New Orleans.</t>
  </si>
  <si>
    <t>Determine the level of acceptable risk in the community through quality interactive public risk communication programs in New Orleans and other areas threatened by hurricanes and flooding. Once determined, manage the risks accordingly.</t>
  </si>
  <si>
    <t>The hurricane protection system was constructed as individual pieces—not as an interconnected system — with strong portions built adjacent to weak portions, some pump stations that could not withstand the hurricane forces, and many penetrations through the levees for roads, railroads, and utilities. Furthermore, the levees were not designed to withstand overtopping.</t>
  </si>
  <si>
    <t>Engage independent experts in high-level reviews of all critical life safety structures, including hurricane and flood-protection systems.</t>
  </si>
  <si>
    <t>Figure 7.2 illustrates how the soil data were mis-interpreted. During a soil investigation, samples are obtained from drill holes and tested in a laboratory to determine soil properties. From a plot of the soil strength data, conservative values should be selected for design.</t>
  </si>
  <si>
    <t>One of the most glaring results of not taking risk into account in the design and construction of the hurricane protection system is this: the consequence of failure — catastrophic loss of life — did not seem to be acknowledged. If nothing else, understanding these risks could have led to a much more proactive and effective evacuation program for people to be 
removed from harm’s 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</si>
</sst>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name val="Carlito"/>
    </font>
    <font>
      <b/>
      <sz val="10"/>
      <color rgb="FFFFFFFF"/>
      <name val="Carlito"/>
    </font>
    <font>
      <sz val="9"/>
      <color rgb="FF1F1F1F"/>
      <name val="Carlito"/>
    </font>
    <font>
      <sz val="9"/>
      <name val="Carlito"/>
    </font>
    <font>
      <b/>
      <sz val="9"/>
      <name val="Carlito"/>
    </font>
    <font>
      <b/>
      <sz val="9"/>
      <color rgb="FF7F6000"/>
      <name val="Carlito"/>
    </font>
    <font>
      <b/>
      <sz val="9"/>
      <color rgb="FF17365D"/>
      <name val="Carlito"/>
    </font>
    <font>
      <sz val="8"/>
      <name val="Carlito"/>
    </font>
    <font>
      <b/>
      <sz val="8"/>
      <color rgb="FF17365D"/>
      <name val="Carlito"/>
    </font>
    <font>
      <sz val="10"/>
      <color rgb="FF000000"/>
      <name val="Calibri"/>
    </font>
    <font>
      <b/>
      <sz val="11"/>
      <color theme="1"/>
      <name val="Arial"/>
    </font>
    <font>
      <sz val="11"/>
      <color theme="1"/>
      <name val="Arial"/>
    </font>
    <font>
      <sz val="10"/>
      <color theme="1"/>
      <name val="Arial"/>
    </font>
    <font>
      <sz val="10"/>
      <color theme="1"/>
      <name val="Calibri"/>
    </font>
    <font>
      <sz val="10"/>
      <name val="Arial"/>
    </font>
    <font>
      <b/>
      <sz val="12"/>
      <color theme="1"/>
      <name val="Calibri"/>
    </font>
    <font>
      <b/>
      <sz val="10"/>
      <color theme="1"/>
      <name val="Calibri"/>
    </font>
    <font>
      <b/>
      <sz val="10"/>
      <color theme="1"/>
      <name val="Arial"/>
    </font>
  </fonts>
  <fills count="9">
    <fill>
      <patternFill patternType="none"/>
    </fill>
    <fill>
      <patternFill patternType="gray125"/>
    </fill>
    <fill>
      <patternFill patternType="solid">
        <fgColor rgb="FF17365D"/>
      </patternFill>
    </fill>
    <fill>
      <patternFill patternType="solid">
        <fgColor rgb="FFDDEBF7"/>
      </patternFill>
    </fill>
    <fill>
      <patternFill patternType="solid">
        <fgColor rgb="FFFFF2CC"/>
      </patternFill>
    </fill>
    <fill>
      <patternFill patternType="solid">
        <fgColor rgb="FFD9E2F3"/>
      </patternFill>
    </fill>
    <fill>
      <patternFill patternType="solid">
        <fgColor rgb="FFFFFFFF"/>
      </patternFill>
    </fill>
    <fill>
      <patternFill patternType="solid">
        <fgColor rgb="FFD9EAD3"/>
      </patternFill>
    </fill>
    <fill>
      <patternFill patternType="solid">
        <fgColor rgb="FFFFFF00"/>
      </patternFill>
    </fill>
  </fills>
  <borders count="15">
    <border>
      <left/>
      <right/>
      <top/>
      <bottom/>
      <diagonal/>
    </border>
    <border>
      <left/>
      <right/>
      <top/>
      <bottom/>
      <diagonal/>
    </border>
    <border>
      <left/>
      <right/>
      <top/>
      <bottom style="thin">
        <color rgb="FFFFFFFF"/>
      </bottom>
      <diagonal/>
    </border>
    <border>
      <left/>
      <right style="thin">
        <color rgb="FFA6A6A6"/>
      </right>
      <top/>
      <bottom style="thin">
        <color rgb="FFFFFFFF"/>
      </bottom>
      <diagonal/>
    </border>
    <border>
      <left/>
      <right style="hair">
        <color rgb="FFD9E2F3"/>
      </right>
      <top/>
      <bottom/>
      <diagonal/>
    </border>
    <border>
      <left/>
      <right/>
      <top/>
      <bottom style="hair">
        <color rgb="FFD9E2F3"/>
      </bottom>
      <diagonal/>
    </border>
    <border>
      <left/>
      <right style="hair">
        <color rgb="FFD9E2F3"/>
      </right>
      <top/>
      <bottom style="hair">
        <color rgb="FFD9E2F3"/>
      </bottom>
      <diagonal/>
    </border>
    <border>
      <left/>
      <right style="thin">
        <color rgb="FFD9E2F3"/>
      </right>
      <top/>
      <bottom/>
      <diagonal/>
    </border>
    <border>
      <left/>
      <right/>
      <top/>
      <bottom style="thin">
        <color rgb="FFD9E2F3"/>
      </bottom>
      <diagonal/>
    </border>
    <border>
      <left/>
      <right style="thin">
        <color rgb="FFD9E2F3"/>
      </right>
      <top/>
      <bottom style="thin">
        <color rgb="FFD9E2F3"/>
      </bottom>
      <diagonal/>
    </border>
    <border>
      <left/>
      <right/>
      <top/>
      <bottom style="thin">
        <color rgb="FFA6A6A6"/>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9" fillId="0" borderId="1"/>
  </cellStyleXfs>
  <cellXfs count="53">
    <xf numFmtId="0" fontId="0" fillId="0" borderId="0" xfId="0"/>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0" borderId="0" xfId="0" applyFont="1" applyAlignment="1">
      <alignment vertical="top" wrapText="1"/>
    </xf>
    <xf numFmtId="0" fontId="2" fillId="0" borderId="4" xfId="0" applyFont="1" applyBorder="1" applyAlignment="1">
      <alignment vertical="top" wrapText="1"/>
    </xf>
    <xf numFmtId="0" fontId="2" fillId="3" borderId="0" xfId="0" applyFont="1" applyFill="1" applyAlignment="1">
      <alignment vertical="top" wrapText="1"/>
    </xf>
    <xf numFmtId="0" fontId="2" fillId="3" borderId="4" xfId="0" applyFont="1" applyFill="1" applyBorder="1" applyAlignment="1">
      <alignment vertical="top" wrapText="1"/>
    </xf>
    <xf numFmtId="0" fontId="2" fillId="3" borderId="0" xfId="0" applyFont="1" applyFill="1" applyAlignment="1">
      <alignment horizontal="center" vertical="top" wrapText="1"/>
    </xf>
    <xf numFmtId="0" fontId="2" fillId="0" borderId="0" xfId="0" applyFont="1" applyAlignment="1">
      <alignment horizontal="center" vertical="top" wrapText="1"/>
    </xf>
    <xf numFmtId="1" fontId="2" fillId="3" borderId="0" xfId="0" applyNumberFormat="1" applyFont="1" applyFill="1" applyAlignment="1">
      <alignment horizontal="center" vertical="top" wrapText="1"/>
    </xf>
    <xf numFmtId="1" fontId="2" fillId="0" borderId="0" xfId="0" applyNumberFormat="1" applyFont="1" applyAlignment="1">
      <alignment horizontal="center" vertical="top" wrapText="1"/>
    </xf>
    <xf numFmtId="0" fontId="3" fillId="0" borderId="7" xfId="0" applyFont="1" applyBorder="1" applyAlignment="1">
      <alignment vertical="top" wrapText="1"/>
    </xf>
    <xf numFmtId="0" fontId="3" fillId="0" borderId="9" xfId="0" applyFont="1" applyBorder="1" applyAlignment="1">
      <alignment vertical="top" wrapText="1"/>
    </xf>
    <xf numFmtId="0" fontId="4" fillId="0" borderId="0" xfId="0" applyFont="1" applyAlignment="1">
      <alignment vertical="top" wrapText="1"/>
    </xf>
    <xf numFmtId="0" fontId="4" fillId="0" borderId="8" xfId="0" applyFont="1" applyBorder="1" applyAlignment="1">
      <alignment vertical="top" wrapText="1"/>
    </xf>
    <xf numFmtId="0" fontId="3" fillId="0" borderId="0" xfId="0" applyFont="1" applyAlignment="1">
      <alignment horizontal="center" vertical="top" wrapText="1"/>
    </xf>
    <xf numFmtId="0" fontId="3" fillId="0" borderId="8" xfId="0" applyFont="1" applyBorder="1" applyAlignment="1">
      <alignment horizontal="center" vertical="top" wrapText="1"/>
    </xf>
    <xf numFmtId="0" fontId="6" fillId="5" borderId="10" xfId="0" applyFont="1" applyFill="1" applyBorder="1" applyAlignment="1">
      <alignment horizontal="center" vertical="center" wrapText="1"/>
    </xf>
    <xf numFmtId="0" fontId="3" fillId="0" borderId="0" xfId="0" applyFont="1" applyAlignment="1">
      <alignment horizontal="center"/>
    </xf>
    <xf numFmtId="0" fontId="3" fillId="0" borderId="8" xfId="0" applyFont="1" applyBorder="1" applyAlignment="1">
      <alignment horizontal="center"/>
    </xf>
    <xf numFmtId="0" fontId="3" fillId="0" borderId="0" xfId="0" applyFont="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0" xfId="0" applyFont="1" applyAlignment="1">
      <alignment horizontal="left" vertical="center"/>
    </xf>
    <xf numFmtId="0" fontId="3" fillId="0" borderId="8" xfId="0" applyFont="1" applyBorder="1" applyAlignment="1">
      <alignment horizontal="left" vertical="center"/>
    </xf>
    <xf numFmtId="0" fontId="6" fillId="5" borderId="0" xfId="0" applyFont="1" applyFill="1" applyAlignment="1">
      <alignment horizontal="center"/>
    </xf>
    <xf numFmtId="0" fontId="3" fillId="0" borderId="0" xfId="0" applyFont="1" applyAlignment="1">
      <alignment horizontal="left"/>
    </xf>
    <xf numFmtId="0" fontId="3" fillId="0" borderId="8" xfId="0" applyFont="1" applyBorder="1" applyAlignment="1">
      <alignment horizontal="left"/>
    </xf>
    <xf numFmtId="0" fontId="6" fillId="5" borderId="0" xfId="0" applyFont="1" applyFill="1" applyAlignment="1">
      <alignment horizontal="center" vertical="center" wrapText="1"/>
    </xf>
    <xf numFmtId="0" fontId="7" fillId="0" borderId="0" xfId="0" applyFont="1" applyAlignment="1">
      <alignment vertical="top" wrapText="1"/>
    </xf>
    <xf numFmtId="0" fontId="7" fillId="0" borderId="4" xfId="0" applyFont="1" applyBorder="1" applyAlignment="1">
      <alignment vertical="top" wrapText="1"/>
    </xf>
    <xf numFmtId="0" fontId="7" fillId="0" borderId="5" xfId="0" applyFont="1" applyBorder="1" applyAlignment="1">
      <alignment vertical="top" wrapText="1"/>
    </xf>
    <xf numFmtId="0" fontId="7" fillId="0" borderId="6" xfId="0" applyFont="1" applyBorder="1" applyAlignment="1">
      <alignment vertical="top" wrapText="1"/>
    </xf>
    <xf numFmtId="0" fontId="8" fillId="5" borderId="0" xfId="0" applyFont="1" applyFill="1" applyAlignment="1">
      <alignment horizontal="center" vertical="center" wrapText="1"/>
    </xf>
    <xf numFmtId="0" fontId="9" fillId="0" borderId="1" xfId="1"/>
    <xf numFmtId="0" fontId="15" fillId="0" borderId="11" xfId="1" applyFont="1" applyBorder="1" applyAlignment="1">
      <alignment horizontal="center" vertical="center" wrapText="1"/>
    </xf>
    <xf numFmtId="0" fontId="13" fillId="0" borderId="11" xfId="1" applyFont="1" applyBorder="1" applyAlignment="1">
      <alignment horizontal="center" vertical="center" wrapText="1"/>
    </xf>
    <xf numFmtId="0" fontId="13" fillId="7" borderId="11" xfId="1" applyFont="1" applyFill="1" applyBorder="1" applyAlignment="1">
      <alignment horizontal="center" vertical="center" wrapText="1"/>
    </xf>
    <xf numFmtId="0" fontId="13" fillId="7" borderId="1" xfId="1" applyFont="1" applyFill="1"/>
    <xf numFmtId="0" fontId="13" fillId="0" borderId="1" xfId="1" applyFont="1" applyAlignment="1">
      <alignment horizontal="center" vertical="center"/>
    </xf>
    <xf numFmtId="0" fontId="2" fillId="6" borderId="8" xfId="0" applyFont="1" applyFill="1" applyBorder="1" applyAlignment="1">
      <alignment horizontal="left" vertical="center"/>
    </xf>
    <xf numFmtId="0" fontId="2" fillId="6" borderId="8" xfId="0" applyFont="1" applyFill="1" applyBorder="1" applyAlignment="1">
      <alignment horizontal="center" vertical="center"/>
    </xf>
    <xf numFmtId="0" fontId="2" fillId="6" borderId="8" xfId="0" applyFont="1" applyFill="1" applyBorder="1" applyAlignment="1">
      <alignment horizontal="left"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5" fillId="4" borderId="0" xfId="0" applyFont="1" applyFill="1" applyAlignment="1">
      <alignment horizontal="left" vertical="center" wrapText="1"/>
    </xf>
    <xf numFmtId="0" fontId="13" fillId="8" borderId="12" xfId="1" applyFont="1" applyFill="1" applyBorder="1" applyAlignment="1">
      <alignment horizontal="center" vertical="center" wrapText="1"/>
    </xf>
    <xf numFmtId="0" fontId="14" fillId="0" borderId="13" xfId="1" applyFont="1" applyBorder="1"/>
    <xf numFmtId="0" fontId="14" fillId="0" borderId="14" xfId="1" applyFont="1" applyBorder="1"/>
    <xf numFmtId="0" fontId="13" fillId="0" borderId="12" xfId="1" applyFont="1" applyBorder="1" applyAlignment="1">
      <alignment horizontal="center" vertical="center" wrapText="1"/>
    </xf>
    <xf numFmtId="0" fontId="15" fillId="8" borderId="12" xfId="1" applyFont="1" applyFill="1" applyBorder="1" applyAlignment="1">
      <alignment horizontal="center" vertical="center" wrapText="1"/>
    </xf>
    <xf numFmtId="0" fontId="16" fillId="8" borderId="12" xfId="1" applyFont="1" applyFill="1" applyBorder="1" applyAlignment="1">
      <alignment horizontal="center" vertical="center" wrapText="1"/>
    </xf>
  </cellXfs>
  <cellStyles count="2">
    <cellStyle name="Normal" xfId="0" builtinId="0"/>
    <cellStyle name="Normal 2" xfId="1" xr:uid="{00000000-0005-0000-0000-000001000000}"/>
  </cellStyles>
  <dxfs count="19">
    <dxf>
      <font>
        <b/>
        <color rgb="FF9C0006"/>
      </font>
      <fill>
        <patternFill>
          <bgColor rgb="FFFCE4D6"/>
        </patternFill>
      </fill>
    </dxf>
    <dxf>
      <font>
        <b/>
        <color rgb="FF006100"/>
      </font>
      <fill>
        <patternFill>
          <bgColor rgb="FFE2F0D9"/>
        </patternFill>
      </fill>
    </dxf>
    <dxf>
      <font>
        <b/>
        <color rgb="FF9C0006"/>
      </font>
      <fill>
        <patternFill>
          <bgColor rgb="FFFCE4D6"/>
        </patternFill>
      </fill>
    </dxf>
    <dxf>
      <font>
        <b/>
        <color rgb="FF006100"/>
      </font>
      <fill>
        <patternFill>
          <bgColor rgb="FFE2F0D9"/>
        </patternFill>
      </fill>
    </dxf>
    <dxf>
      <font>
        <b/>
        <color rgb="FF9C0006"/>
      </font>
      <fill>
        <patternFill>
          <bgColor rgb="FFFCE4D6"/>
        </patternFill>
      </fill>
    </dxf>
    <dxf>
      <font>
        <b/>
        <color rgb="FF006100"/>
      </font>
      <fill>
        <patternFill>
          <bgColor rgb="FFE2F0D9"/>
        </patternFill>
      </fill>
    </dxf>
    <dxf>
      <font>
        <b/>
        <color rgb="FF9C0006"/>
      </font>
      <fill>
        <patternFill>
          <bgColor rgb="FFFCE4D6"/>
        </patternFill>
      </fill>
    </dxf>
    <dxf>
      <font>
        <b/>
        <color rgb="FF006100"/>
      </font>
      <fill>
        <patternFill>
          <bgColor rgb="FFE2F0D9"/>
        </patternFill>
      </fill>
    </dxf>
    <dxf>
      <font>
        <b/>
        <color rgb="FF7F6000"/>
      </font>
      <fill>
        <patternFill>
          <bgColor rgb="FFFFF2CC"/>
        </patternFill>
      </fill>
    </dxf>
    <dxf>
      <font>
        <b/>
        <color rgb="FF9C0006"/>
      </font>
      <fill>
        <patternFill>
          <bgColor rgb="FFFCE4D6"/>
        </patternFill>
      </fill>
    </dxf>
    <dxf>
      <font>
        <b/>
        <color rgb="FF9C0006"/>
      </font>
      <fill>
        <patternFill>
          <bgColor rgb="FFFCE4D6"/>
        </patternFill>
      </fill>
    </dxf>
    <dxf>
      <font>
        <b/>
        <color rgb="FF006100"/>
      </font>
      <fill>
        <patternFill>
          <bgColor rgb="FFE2F0D9"/>
        </patternFill>
      </fill>
    </dxf>
    <dxf>
      <font>
        <b/>
        <color rgb="FF9C6500"/>
      </font>
      <fill>
        <patternFill>
          <bgColor rgb="FFFFF2CC"/>
        </patternFill>
      </fill>
    </dxf>
    <dxf>
      <font>
        <b/>
        <color rgb="FF9C0006"/>
      </font>
      <fill>
        <patternFill>
          <bgColor rgb="FFFCE4D6"/>
        </patternFill>
      </fill>
    </dxf>
    <dxf>
      <font>
        <b/>
        <color rgb="FF006100"/>
      </font>
      <fill>
        <patternFill>
          <bgColor rgb="FFE2F0D9"/>
        </patternFill>
      </fill>
    </dxf>
    <dxf>
      <font>
        <b/>
        <color rgb="FF9C0006"/>
      </font>
      <fill>
        <patternFill>
          <bgColor rgb="FFFCE4D6"/>
        </patternFill>
      </fill>
    </dxf>
    <dxf>
      <font>
        <b/>
        <color rgb="FF006100"/>
      </font>
      <fill>
        <patternFill>
          <bgColor rgb="FFE2F0D9"/>
        </patternFill>
      </fill>
    </dxf>
    <dxf>
      <fill>
        <patternFill>
          <bgColor rgb="FFE4DFEC"/>
        </patternFill>
      </fill>
    </dxf>
    <dxf>
      <fill>
        <patternFill>
          <bgColor rgb="FFFFF9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EPAReevaluationAudit" displayName="EPAReevaluationAudit" ref="AC16:AK32" totalsRowShown="0">
  <tableColumns count="9">
    <tableColumn id="1" xr3:uid="{00000000-0010-0000-0000-000001000000}" name="Source_Annotation"/>
    <tableColumn id="2" xr3:uid="{00000000-0010-0000-0000-000002000000}" name="Source_Row"/>
    <tableColumn id="3" xr3:uid="{00000000-0010-0000-0000-000003000000}" name="Kept_Passage_ID"/>
    <tableColumn id="4" xr3:uid="{00000000-0010-0000-0000-000004000000}" name="Previous_Prerana"/>
    <tableColumn id="5" xr3:uid="{00000000-0010-0000-0000-000005000000}" name="Latest_Prerana"/>
    <tableColumn id="6" xr3:uid="{00000000-0010-0000-0000-000006000000}" name="old_gold_unlearning"/>
    <tableColumn id="7" xr3:uid="{00000000-0010-0000-0000-000007000000}" name="new_gold_unlearning"/>
    <tableColumn id="8" xr3:uid="{00000000-0010-0000-0000-000008000000}" name="Gold_Change"/>
    <tableColumn id="9" xr3:uid="{00000000-0010-0000-0000-000009000000}" name="Verification_No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ExclusionAudit" displayName="ExclusionAudit" ref="AC36:AN61" totalsRowShown="0">
  <tableColumns count="12">
    <tableColumn id="1" xr3:uid="{00000000-0010-0000-0100-000001000000}" name="Excluded_Group_ID"/>
    <tableColumn id="2" xr3:uid="{00000000-0010-0000-0100-000002000000}" name="Document"/>
    <tableColumn id="3" xr3:uid="{00000000-0010-0000-0100-000003000000}" name="Original_Number(s)"/>
    <tableColumn id="4" xr3:uid="{00000000-0010-0000-0100-000004000000}" name="Reference(s)"/>
    <tableColumn id="5" xr3:uid="{00000000-0010-0000-0100-000005000000}" name="Excluded_Text"/>
    <tableColumn id="6" xr3:uid="{00000000-0010-0000-0100-000006000000}" name="Exclusion_Category"/>
    <tableColumn id="7" xr3:uid="{00000000-0010-0000-0100-000007000000}" name="Exclusion_Reason"/>
    <tableColumn id="8" xr3:uid="{00000000-0010-0000-0100-000008000000}" name="Kept_Passage_ID"/>
    <tableColumn id="9" xr3:uid="{00000000-0010-0000-0100-000009000000}" name="Historical_Labels"/>
    <tableColumn id="10" xr3:uid="{00000000-0010-0000-0100-00000A000000}" name="Historical_Labelers"/>
    <tableColumn id="11" xr3:uid="{00000000-0010-0000-0100-00000B000000}" name="Source_Records"/>
    <tableColumn id="12" xr3:uid="{00000000-0010-0000-0100-00000C000000}" name="Latest_Updat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GPTTestTable" displayName="GPTTestTable" ref="A1:AA69" totalsRowShown="0">
  <tableColumns count="27">
    <tableColumn id="1" xr3:uid="{00000000-0010-0000-0200-000001000000}" name="Passage_ID"/>
    <tableColumn id="2" xr3:uid="{00000000-0010-0000-0200-000002000000}" name="Original_Number"/>
    <tableColumn id="3" xr3:uid="{00000000-0010-0000-0200-000003000000}" name="Reference"/>
    <tableColumn id="4" xr3:uid="{00000000-0010-0000-0200-000004000000}" name="Text_Content"/>
    <tableColumn id="5" xr3:uid="{00000000-0010-0000-0200-000005000000}" name="Document"/>
    <tableColumn id="6" xr3:uid="{00000000-0010-0000-0200-000006000000}" name="Source_File"/>
    <tableColumn id="7" xr3:uid="{00000000-0010-0000-0200-000007000000}" name="old_gold_unlearning"/>
    <tableColumn id="8" xr3:uid="{00000000-0010-0000-0200-000008000000}" name="old_gold_binary"/>
    <tableColumn id="9" xr3:uid="{00000000-0010-0000-0200-000009000000}" name="new_gold_unlearning"/>
    <tableColumn id="10" xr3:uid="{00000000-0010-0000-0200-00000A000000}" name="new_gold_binary"/>
    <tableColumn id="11" xr3:uid="{00000000-0010-0000-0200-00000B000000}" name="anmol_unlearning"/>
    <tableColumn id="12" xr3:uid="{00000000-0010-0000-0200-00000C000000}" name="prerana_unlearning"/>
    <tableColumn id="13" xr3:uid="{00000000-0010-0000-0200-00000D000000}" name="kyle_unlearning"/>
    <tableColumn id="14" xr3:uid="{00000000-0010-0000-0200-00000E000000}" name="Original_Labeler"/>
    <tableColumn id="15" xr3:uid="{00000000-0010-0000-0200-00000F000000}" name="Selected_Codes"/>
    <tableColumn id="16" xr3:uid="{00000000-0010-0000-0200-000010000000}" name="Adjudication_Rationale"/>
    <tableColumn id="17" xr3:uid="{00000000-0010-0000-0200-000011000000}" name="Latest_Label_Source"/>
    <tableColumn id="18" xr3:uid="{00000000-0010-0000-0200-000012000000}" name="Rationale_Source"/>
    <tableColumn id="19" xr3:uid="{00000000-0010-0000-0200-000013000000}" name="Review_Flag"/>
    <tableColumn id="20" xr3:uid="{00000000-0010-0000-0200-000014000000}" name="Review_Issue"/>
    <tableColumn id="21" xr3:uid="{00000000-0010-0000-0200-000015000000}" name="Gold_Change"/>
    <tableColumn id="22" xr3:uid="{00000000-0010-0000-0200-000016000000}" name="Duplicate_Type"/>
    <tableColumn id="23" xr3:uid="{00000000-0010-0000-0200-000017000000}" name="Dedup_Action"/>
    <tableColumn id="24" xr3:uid="{00000000-0010-0000-0200-000018000000}" name="Text_Cleaning_Notes"/>
    <tableColumn id="25" xr3:uid="{00000000-0010-0000-0200-000019000000}" name="Label_History"/>
    <tableColumn id="26" xr3:uid="{00000000-0010-0000-0200-00001A000000}" name="Source_Records"/>
    <tableColumn id="27" xr3:uid="{00000000-0010-0000-0200-00001B000000}" name="Leakage_Check"/>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77"/>
  <sheetViews>
    <sheetView tabSelected="1" topLeftCell="A2" workbookViewId="0">
      <selection activeCell="D19" sqref="D19"/>
    </sheetView>
  </sheetViews>
  <sheetFormatPr defaultRowHeight="14"/>
  <cols>
    <col min="1" max="1" width="13" customWidth="1"/>
    <col min="2" max="2" width="15" customWidth="1"/>
    <col min="3" max="3" width="10" customWidth="1"/>
    <col min="4" max="4" width="62" customWidth="1"/>
    <col min="5" max="6" width="20" customWidth="1"/>
    <col min="7" max="7" width="18" customWidth="1"/>
    <col min="8" max="8" width="14" customWidth="1"/>
    <col min="9" max="9" width="18" customWidth="1"/>
    <col min="10" max="10" width="14" customWidth="1"/>
    <col min="11" max="11" width="18" customWidth="1"/>
    <col min="12" max="12" width="20" customWidth="1"/>
    <col min="13" max="13" width="18" customWidth="1"/>
    <col min="14" max="14" width="15" customWidth="1"/>
    <col min="15" max="15" width="34" customWidth="1"/>
    <col min="16" max="16" width="56" customWidth="1"/>
    <col min="17" max="17" width="38" customWidth="1"/>
    <col min="18" max="18" width="32" customWidth="1"/>
    <col min="19" max="19" width="12" customWidth="1"/>
    <col min="20" max="20" width="58" customWidth="1"/>
    <col min="21" max="21" width="24" customWidth="1"/>
    <col min="22" max="22" width="25" customWidth="1"/>
    <col min="23" max="23" width="44" customWidth="1"/>
    <col min="24" max="24" width="38" customWidth="1"/>
    <col min="25" max="25" width="76" customWidth="1"/>
    <col min="26" max="26" width="56" customWidth="1"/>
    <col min="27" max="27" width="38" customWidth="1"/>
    <col min="28" max="28" width="3" customWidth="1"/>
    <col min="29" max="29" width="13" customWidth="1"/>
    <col min="30" max="31" width="18" customWidth="1"/>
    <col min="32" max="32" width="12" customWidth="1"/>
    <col min="33" max="33" width="62" customWidth="1"/>
    <col min="34" max="34" width="24" customWidth="1"/>
    <col min="35" max="35" width="52" customWidth="1"/>
    <col min="36" max="36" width="15" customWidth="1"/>
    <col min="37" max="37" width="18" customWidth="1"/>
    <col min="38" max="38" width="20" customWidth="1"/>
    <col min="39" max="39" width="44" customWidth="1"/>
    <col min="40" max="40" width="48" customWidth="1"/>
  </cols>
  <sheetData>
    <row r="1" spans="1:40" ht="16"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2" t="s">
        <v>26</v>
      </c>
      <c r="AC1" s="44" t="s">
        <v>27</v>
      </c>
      <c r="AD1" s="44"/>
      <c r="AE1" s="45"/>
      <c r="AG1" s="44" t="s">
        <v>28</v>
      </c>
      <c r="AH1" s="44"/>
      <c r="AI1" s="44"/>
      <c r="AJ1" s="44"/>
      <c r="AK1" s="44"/>
      <c r="AL1" s="44"/>
      <c r="AM1" s="44"/>
      <c r="AN1" s="45"/>
    </row>
    <row r="2" spans="1:40" ht="24" customHeight="1">
      <c r="A2" s="5" t="s">
        <v>134</v>
      </c>
      <c r="B2" s="5" t="s">
        <v>135</v>
      </c>
      <c r="C2" s="5" t="s">
        <v>136</v>
      </c>
      <c r="D2" s="5" t="s">
        <v>970</v>
      </c>
      <c r="E2" s="5" t="s">
        <v>39</v>
      </c>
      <c r="F2" s="5" t="s">
        <v>137</v>
      </c>
      <c r="G2" s="7" t="s">
        <v>60</v>
      </c>
      <c r="H2" s="9">
        <v>1</v>
      </c>
      <c r="I2" s="7" t="s">
        <v>60</v>
      </c>
      <c r="J2" s="9">
        <v>1</v>
      </c>
      <c r="K2" s="7" t="s">
        <v>60</v>
      </c>
      <c r="L2" s="7"/>
      <c r="M2" s="7" t="s">
        <v>60</v>
      </c>
      <c r="N2" s="7" t="s">
        <v>64</v>
      </c>
      <c r="O2" s="5" t="s">
        <v>138</v>
      </c>
      <c r="P2" s="5" t="s">
        <v>139</v>
      </c>
      <c r="Q2" s="5" t="s">
        <v>140</v>
      </c>
      <c r="R2" s="5" t="s">
        <v>141</v>
      </c>
      <c r="S2" s="7" t="s">
        <v>60</v>
      </c>
      <c r="T2" s="5" t="s">
        <v>142</v>
      </c>
      <c r="U2" s="5"/>
      <c r="V2" s="5" t="s">
        <v>143</v>
      </c>
      <c r="W2" s="5" t="s">
        <v>144</v>
      </c>
      <c r="X2" s="5"/>
      <c r="Y2" s="5" t="s">
        <v>145</v>
      </c>
      <c r="Z2" s="5" t="s">
        <v>146</v>
      </c>
      <c r="AA2" s="6" t="s">
        <v>147</v>
      </c>
      <c r="AC2" s="13" t="s">
        <v>29</v>
      </c>
      <c r="AD2" s="15">
        <f>COUNTA($A$2:$A$69)</f>
        <v>68</v>
      </c>
      <c r="AE2" s="11" t="s">
        <v>148</v>
      </c>
      <c r="AG2" s="17" t="s">
        <v>4</v>
      </c>
      <c r="AH2" s="17" t="s">
        <v>30</v>
      </c>
      <c r="AI2" s="17" t="s">
        <v>31</v>
      </c>
      <c r="AJ2" s="17" t="s">
        <v>32</v>
      </c>
      <c r="AK2" s="17" t="s">
        <v>33</v>
      </c>
      <c r="AL2" s="17" t="s">
        <v>34</v>
      </c>
      <c r="AM2" s="17" t="s">
        <v>35</v>
      </c>
      <c r="AN2" s="17" t="s">
        <v>36</v>
      </c>
    </row>
    <row r="3" spans="1:40" ht="24" customHeight="1">
      <c r="A3" s="3" t="s">
        <v>149</v>
      </c>
      <c r="B3" s="3" t="s">
        <v>150</v>
      </c>
      <c r="C3" s="3" t="s">
        <v>136</v>
      </c>
      <c r="D3" s="3" t="s">
        <v>972</v>
      </c>
      <c r="E3" s="3" t="s">
        <v>39</v>
      </c>
      <c r="F3" s="3" t="s">
        <v>137</v>
      </c>
      <c r="G3" s="8" t="s">
        <v>60</v>
      </c>
      <c r="H3" s="10">
        <v>1</v>
      </c>
      <c r="I3" s="8" t="s">
        <v>60</v>
      </c>
      <c r="J3" s="10">
        <v>1</v>
      </c>
      <c r="K3" s="8" t="s">
        <v>60</v>
      </c>
      <c r="L3" s="8"/>
      <c r="M3" s="8" t="s">
        <v>60</v>
      </c>
      <c r="N3" s="8" t="s">
        <v>64</v>
      </c>
      <c r="O3" s="3" t="s">
        <v>151</v>
      </c>
      <c r="P3" s="3" t="s">
        <v>152</v>
      </c>
      <c r="Q3" s="3" t="s">
        <v>153</v>
      </c>
      <c r="R3" s="3" t="s">
        <v>154</v>
      </c>
      <c r="S3" s="8" t="s">
        <v>60</v>
      </c>
      <c r="T3" s="3" t="s">
        <v>142</v>
      </c>
      <c r="U3" s="3"/>
      <c r="V3" s="3" t="s">
        <v>143</v>
      </c>
      <c r="W3" s="3" t="s">
        <v>144</v>
      </c>
      <c r="X3" s="3"/>
      <c r="Y3" s="3" t="s">
        <v>155</v>
      </c>
      <c r="Z3" s="3" t="s">
        <v>156</v>
      </c>
      <c r="AA3" s="4" t="s">
        <v>147</v>
      </c>
      <c r="AC3" s="13" t="s">
        <v>37</v>
      </c>
      <c r="AD3" s="15">
        <f>COUNTIF($G$2:$G$69,"Yes")</f>
        <v>49</v>
      </c>
      <c r="AE3" s="11" t="s">
        <v>38</v>
      </c>
      <c r="AG3" s="24" t="s">
        <v>39</v>
      </c>
      <c r="AH3" s="20">
        <f>COUNTIF($E$2:$E$69,AG3)</f>
        <v>28</v>
      </c>
      <c r="AI3" s="20">
        <f>COUNTIFS($E$2:$E$69,AG3,$G$2:$G$69,"Yes")</f>
        <v>22</v>
      </c>
      <c r="AJ3" s="20">
        <f>COUNTIFS($E$2:$E$69,AG3,$G$2:$G$69,"No")</f>
        <v>6</v>
      </c>
      <c r="AK3" s="20">
        <f>COUNTIFS($E$2:$E$69,AG3,$I$2:$I$69,"Yes")</f>
        <v>22</v>
      </c>
      <c r="AL3" s="20">
        <f>COUNTIFS($E$2:$E$69,AG3,$I$2:$I$69,"No")</f>
        <v>6</v>
      </c>
      <c r="AM3" s="20">
        <f>COUNTIFS($E$2:$E$69,AG3,$S$2:$S$69,"Yes")</f>
        <v>28</v>
      </c>
      <c r="AN3" s="21">
        <f>SUMPRODUCT(--($E$2:$E$69=AG3),--($G$2:$G$69&lt;&gt;$I$2:$I$69))</f>
        <v>0</v>
      </c>
    </row>
    <row r="4" spans="1:40" ht="24" customHeight="1">
      <c r="A4" s="5" t="s">
        <v>157</v>
      </c>
      <c r="B4" s="5" t="s">
        <v>158</v>
      </c>
      <c r="C4" s="5" t="s">
        <v>159</v>
      </c>
      <c r="D4" s="5" t="s">
        <v>160</v>
      </c>
      <c r="E4" s="5" t="s">
        <v>39</v>
      </c>
      <c r="F4" s="5" t="s">
        <v>137</v>
      </c>
      <c r="G4" s="7" t="s">
        <v>60</v>
      </c>
      <c r="H4" s="9">
        <v>1</v>
      </c>
      <c r="I4" s="7" t="s">
        <v>60</v>
      </c>
      <c r="J4" s="9">
        <v>1</v>
      </c>
      <c r="K4" s="7" t="s">
        <v>60</v>
      </c>
      <c r="L4" s="7"/>
      <c r="M4" s="7" t="s">
        <v>60</v>
      </c>
      <c r="N4" s="7" t="s">
        <v>64</v>
      </c>
      <c r="O4" s="5" t="s">
        <v>161</v>
      </c>
      <c r="P4" s="5" t="s">
        <v>162</v>
      </c>
      <c r="Q4" s="5" t="s">
        <v>163</v>
      </c>
      <c r="R4" s="5" t="s">
        <v>164</v>
      </c>
      <c r="S4" s="7" t="s">
        <v>60</v>
      </c>
      <c r="T4" s="5" t="s">
        <v>142</v>
      </c>
      <c r="U4" s="5"/>
      <c r="V4" s="5" t="s">
        <v>143</v>
      </c>
      <c r="W4" s="5" t="s">
        <v>144</v>
      </c>
      <c r="X4" s="5"/>
      <c r="Y4" s="5" t="s">
        <v>165</v>
      </c>
      <c r="Z4" s="5" t="s">
        <v>166</v>
      </c>
      <c r="AA4" s="6" t="s">
        <v>147</v>
      </c>
      <c r="AC4" s="13" t="s">
        <v>40</v>
      </c>
      <c r="AD4" s="15">
        <f>COUNTIF($G$2:$G$69,"No")</f>
        <v>19</v>
      </c>
      <c r="AE4" s="11" t="s">
        <v>41</v>
      </c>
      <c r="AG4" s="24" t="s">
        <v>42</v>
      </c>
      <c r="AH4" s="20">
        <f>COUNTIF($E$2:$E$69,AG4)</f>
        <v>3</v>
      </c>
      <c r="AI4" s="20">
        <f>COUNTIFS($E$2:$E$69,AG4,$G$2:$G$69,"Yes")</f>
        <v>3</v>
      </c>
      <c r="AJ4" s="20">
        <f>COUNTIFS($E$2:$E$69,AG4,$G$2:$G$69,"No")</f>
        <v>0</v>
      </c>
      <c r="AK4" s="20">
        <f>COUNTIFS($E$2:$E$69,AG4,$I$2:$I$69,"Yes")</f>
        <v>3</v>
      </c>
      <c r="AL4" s="20">
        <f>COUNTIFS($E$2:$E$69,AG4,$I$2:$I$69,"No")</f>
        <v>0</v>
      </c>
      <c r="AM4" s="20">
        <f>COUNTIFS($E$2:$E$69,AG4,$S$2:$S$69,"Yes")</f>
        <v>2</v>
      </c>
      <c r="AN4" s="21">
        <f>SUMPRODUCT(--($E$2:$E$69=AG4),--($G$2:$G$69&lt;&gt;$I$2:$I$69))</f>
        <v>0</v>
      </c>
    </row>
    <row r="5" spans="1:40" ht="24" customHeight="1">
      <c r="A5" s="3" t="s">
        <v>167</v>
      </c>
      <c r="B5" s="3" t="s">
        <v>168</v>
      </c>
      <c r="C5" s="3" t="s">
        <v>159</v>
      </c>
      <c r="D5" s="3" t="s">
        <v>169</v>
      </c>
      <c r="E5" s="3" t="s">
        <v>39</v>
      </c>
      <c r="F5" s="3" t="s">
        <v>137</v>
      </c>
      <c r="G5" s="8" t="s">
        <v>60</v>
      </c>
      <c r="H5" s="10">
        <v>1</v>
      </c>
      <c r="I5" s="8" t="s">
        <v>60</v>
      </c>
      <c r="J5" s="10">
        <v>1</v>
      </c>
      <c r="K5" s="8" t="s">
        <v>60</v>
      </c>
      <c r="L5" s="8"/>
      <c r="M5" s="8" t="s">
        <v>60</v>
      </c>
      <c r="N5" s="8" t="s">
        <v>64</v>
      </c>
      <c r="O5" s="3" t="s">
        <v>170</v>
      </c>
      <c r="P5" s="3" t="s">
        <v>171</v>
      </c>
      <c r="Q5" s="3" t="s">
        <v>172</v>
      </c>
      <c r="R5" s="3" t="s">
        <v>173</v>
      </c>
      <c r="S5" s="8" t="s">
        <v>60</v>
      </c>
      <c r="T5" s="3" t="s">
        <v>142</v>
      </c>
      <c r="U5" s="3"/>
      <c r="V5" s="3" t="s">
        <v>174</v>
      </c>
      <c r="W5" s="3" t="s">
        <v>175</v>
      </c>
      <c r="X5" s="3"/>
      <c r="Y5" s="3" t="s">
        <v>176</v>
      </c>
      <c r="Z5" s="3" t="s">
        <v>177</v>
      </c>
      <c r="AA5" s="4" t="s">
        <v>147</v>
      </c>
      <c r="AC5" s="13" t="s">
        <v>43</v>
      </c>
      <c r="AD5" s="15">
        <f>COUNTIF($I$2:$I$69,"Yes")</f>
        <v>41</v>
      </c>
      <c r="AE5" s="11" t="s">
        <v>44</v>
      </c>
      <c r="AG5" s="24" t="s">
        <v>45</v>
      </c>
      <c r="AH5" s="20">
        <f>COUNTIF($E$2:$E$69,AG5)</f>
        <v>18</v>
      </c>
      <c r="AI5" s="20">
        <f>COUNTIFS($E$2:$E$69,AG5,$G$2:$G$69,"Yes")</f>
        <v>11</v>
      </c>
      <c r="AJ5" s="20">
        <f>COUNTIFS($E$2:$E$69,AG5,$G$2:$G$69,"No")</f>
        <v>7</v>
      </c>
      <c r="AK5" s="20">
        <f>COUNTIFS($E$2:$E$69,AG5,$I$2:$I$69,"Yes")</f>
        <v>3</v>
      </c>
      <c r="AL5" s="20">
        <f>COUNTIFS($E$2:$E$69,AG5,$I$2:$I$69,"No")</f>
        <v>15</v>
      </c>
      <c r="AM5" s="20">
        <f>COUNTIFS($E$2:$E$69,AG5,$S$2:$S$69,"Yes")</f>
        <v>17</v>
      </c>
      <c r="AN5" s="21">
        <f>SUMPRODUCT(--($E$2:$E$69=AG5),--($G$2:$G$69&lt;&gt;$I$2:$I$69))</f>
        <v>10</v>
      </c>
    </row>
    <row r="6" spans="1:40" ht="24" customHeight="1">
      <c r="A6" s="5" t="s">
        <v>178</v>
      </c>
      <c r="B6" s="5" t="s">
        <v>179</v>
      </c>
      <c r="C6" s="5" t="s">
        <v>159</v>
      </c>
      <c r="D6" s="5" t="s">
        <v>180</v>
      </c>
      <c r="E6" s="5" t="s">
        <v>39</v>
      </c>
      <c r="F6" s="5" t="s">
        <v>137</v>
      </c>
      <c r="G6" s="7" t="s">
        <v>60</v>
      </c>
      <c r="H6" s="9">
        <v>1</v>
      </c>
      <c r="I6" s="7" t="s">
        <v>60</v>
      </c>
      <c r="J6" s="9">
        <v>1</v>
      </c>
      <c r="K6" s="7" t="s">
        <v>60</v>
      </c>
      <c r="L6" s="7"/>
      <c r="M6" s="7" t="s">
        <v>60</v>
      </c>
      <c r="N6" s="7" t="s">
        <v>64</v>
      </c>
      <c r="O6" s="5" t="s">
        <v>181</v>
      </c>
      <c r="P6" s="5" t="s">
        <v>182</v>
      </c>
      <c r="Q6" s="5" t="s">
        <v>183</v>
      </c>
      <c r="R6" s="5" t="s">
        <v>184</v>
      </c>
      <c r="S6" s="7" t="s">
        <v>60</v>
      </c>
      <c r="T6" s="5" t="s">
        <v>142</v>
      </c>
      <c r="U6" s="5"/>
      <c r="V6" s="5" t="s">
        <v>143</v>
      </c>
      <c r="W6" s="5" t="s">
        <v>144</v>
      </c>
      <c r="X6" s="5"/>
      <c r="Y6" s="5" t="s">
        <v>185</v>
      </c>
      <c r="Z6" s="5" t="s">
        <v>186</v>
      </c>
      <c r="AA6" s="6" t="s">
        <v>147</v>
      </c>
      <c r="AC6" s="13" t="s">
        <v>46</v>
      </c>
      <c r="AD6" s="15">
        <f>COUNTIF($I$2:$I$69,"No")</f>
        <v>27</v>
      </c>
      <c r="AE6" s="11" t="s">
        <v>44</v>
      </c>
      <c r="AG6" s="24" t="s">
        <v>47</v>
      </c>
      <c r="AH6" s="20">
        <f>COUNTIF($E$2:$E$69,AG6)</f>
        <v>11</v>
      </c>
      <c r="AI6" s="20">
        <f>COUNTIFS($E$2:$E$69,AG6,$G$2:$G$69,"Yes")</f>
        <v>5</v>
      </c>
      <c r="AJ6" s="20">
        <f>COUNTIFS($E$2:$E$69,AG6,$G$2:$G$69,"No")</f>
        <v>6</v>
      </c>
      <c r="AK6" s="20">
        <f>COUNTIFS($E$2:$E$69,AG6,$I$2:$I$69,"Yes")</f>
        <v>5</v>
      </c>
      <c r="AL6" s="20">
        <f>COUNTIFS($E$2:$E$69,AG6,$I$2:$I$69,"No")</f>
        <v>6</v>
      </c>
      <c r="AM6" s="20">
        <f>COUNTIFS($E$2:$E$69,AG6,$S$2:$S$69,"Yes")</f>
        <v>11</v>
      </c>
      <c r="AN6" s="21">
        <f>SUMPRODUCT(--($E$2:$E$69=AG6),--($G$2:$G$69&lt;&gt;$I$2:$I$69))</f>
        <v>0</v>
      </c>
    </row>
    <row r="7" spans="1:40" ht="24" customHeight="1">
      <c r="A7" s="3" t="s">
        <v>187</v>
      </c>
      <c r="B7" s="3" t="s">
        <v>188</v>
      </c>
      <c r="C7" s="3" t="s">
        <v>159</v>
      </c>
      <c r="D7" s="3" t="s">
        <v>189</v>
      </c>
      <c r="E7" s="3" t="s">
        <v>39</v>
      </c>
      <c r="F7" s="3" t="s">
        <v>137</v>
      </c>
      <c r="G7" s="8" t="s">
        <v>61</v>
      </c>
      <c r="H7" s="10">
        <v>0</v>
      </c>
      <c r="I7" s="8" t="s">
        <v>61</v>
      </c>
      <c r="J7" s="10">
        <v>0</v>
      </c>
      <c r="K7" s="8" t="s">
        <v>61</v>
      </c>
      <c r="L7" s="8"/>
      <c r="M7" s="8" t="s">
        <v>60</v>
      </c>
      <c r="N7" s="8" t="s">
        <v>64</v>
      </c>
      <c r="O7" s="3" t="s">
        <v>190</v>
      </c>
      <c r="P7" s="3" t="s">
        <v>191</v>
      </c>
      <c r="Q7" s="3" t="s">
        <v>192</v>
      </c>
      <c r="R7" s="3" t="s">
        <v>193</v>
      </c>
      <c r="S7" s="8" t="s">
        <v>60</v>
      </c>
      <c r="T7" s="3" t="s">
        <v>194</v>
      </c>
      <c r="U7" s="3"/>
      <c r="V7" s="3" t="s">
        <v>143</v>
      </c>
      <c r="W7" s="3" t="s">
        <v>144</v>
      </c>
      <c r="X7" s="3"/>
      <c r="Y7" s="3" t="s">
        <v>195</v>
      </c>
      <c r="Z7" s="3" t="s">
        <v>196</v>
      </c>
      <c r="AA7" s="4" t="s">
        <v>147</v>
      </c>
      <c r="AC7" s="13" t="s">
        <v>48</v>
      </c>
      <c r="AD7" s="15">
        <f>SUMPRODUCT(--($G$2:$G$69&lt;&gt;$I$2:$I$69))</f>
        <v>10</v>
      </c>
      <c r="AE7" s="11" t="s">
        <v>49</v>
      </c>
      <c r="AG7" s="25" t="s">
        <v>50</v>
      </c>
      <c r="AH7" s="22">
        <f>COUNTIF($E$2:$E$69,AG7)</f>
        <v>8</v>
      </c>
      <c r="AI7" s="22">
        <f>COUNTIFS($E$2:$E$69,AG7,$G$2:$G$69,"Yes")</f>
        <v>8</v>
      </c>
      <c r="AJ7" s="22">
        <f>COUNTIFS($E$2:$E$69,AG7,$G$2:$G$69,"No")</f>
        <v>0</v>
      </c>
      <c r="AK7" s="22">
        <f>COUNTIFS($E$2:$E$69,AG7,$I$2:$I$69,"Yes")</f>
        <v>8</v>
      </c>
      <c r="AL7" s="22">
        <f>COUNTIFS($E$2:$E$69,AG7,$I$2:$I$69,"No")</f>
        <v>0</v>
      </c>
      <c r="AM7" s="22">
        <f>COUNTIFS($E$2:$E$69,AG7,$S$2:$S$69,"Yes")</f>
        <v>4</v>
      </c>
      <c r="AN7" s="23">
        <f>SUMPRODUCT(--($E$2:$E$69=AG7),--($G$2:$G$69&lt;&gt;$I$2:$I$69))</f>
        <v>0</v>
      </c>
    </row>
    <row r="8" spans="1:40" ht="24" customHeight="1">
      <c r="A8" s="5" t="s">
        <v>197</v>
      </c>
      <c r="B8" s="5" t="s">
        <v>198</v>
      </c>
      <c r="C8" s="5" t="s">
        <v>199</v>
      </c>
      <c r="D8" s="5" t="s">
        <v>971</v>
      </c>
      <c r="E8" s="5" t="s">
        <v>39</v>
      </c>
      <c r="F8" s="5" t="s">
        <v>137</v>
      </c>
      <c r="G8" s="7" t="s">
        <v>61</v>
      </c>
      <c r="H8" s="9">
        <v>0</v>
      </c>
      <c r="I8" s="7" t="s">
        <v>61</v>
      </c>
      <c r="J8" s="9">
        <v>0</v>
      </c>
      <c r="K8" s="7" t="s">
        <v>61</v>
      </c>
      <c r="L8" s="7"/>
      <c r="M8" s="7" t="s">
        <v>60</v>
      </c>
      <c r="N8" s="7" t="s">
        <v>64</v>
      </c>
      <c r="O8" s="5" t="s">
        <v>200</v>
      </c>
      <c r="P8" s="5" t="s">
        <v>201</v>
      </c>
      <c r="Q8" s="5" t="s">
        <v>202</v>
      </c>
      <c r="R8" s="5" t="s">
        <v>203</v>
      </c>
      <c r="S8" s="7" t="s">
        <v>60</v>
      </c>
      <c r="T8" s="5" t="s">
        <v>204</v>
      </c>
      <c r="U8" s="5"/>
      <c r="V8" s="5" t="s">
        <v>174</v>
      </c>
      <c r="W8" s="5" t="s">
        <v>205</v>
      </c>
      <c r="X8" s="5"/>
      <c r="Y8" s="5" t="s">
        <v>206</v>
      </c>
      <c r="Z8" s="5" t="s">
        <v>207</v>
      </c>
      <c r="AA8" s="6" t="s">
        <v>147</v>
      </c>
      <c r="AC8" s="13" t="s">
        <v>51</v>
      </c>
      <c r="AD8" s="15">
        <f>COUNTIF($S$2:$S$69,"Yes")</f>
        <v>62</v>
      </c>
      <c r="AE8" s="11" t="s">
        <v>52</v>
      </c>
    </row>
    <row r="9" spans="1:40" ht="24" customHeight="1">
      <c r="A9" s="3" t="s">
        <v>208</v>
      </c>
      <c r="B9" s="3" t="s">
        <v>209</v>
      </c>
      <c r="C9" s="3" t="s">
        <v>210</v>
      </c>
      <c r="D9" s="3" t="s">
        <v>211</v>
      </c>
      <c r="E9" s="3" t="s">
        <v>39</v>
      </c>
      <c r="F9" s="3" t="s">
        <v>137</v>
      </c>
      <c r="G9" s="8" t="s">
        <v>61</v>
      </c>
      <c r="H9" s="10">
        <v>0</v>
      </c>
      <c r="I9" s="8" t="s">
        <v>61</v>
      </c>
      <c r="J9" s="10">
        <v>0</v>
      </c>
      <c r="K9" s="8" t="s">
        <v>61</v>
      </c>
      <c r="L9" s="8"/>
      <c r="M9" s="8" t="s">
        <v>60</v>
      </c>
      <c r="N9" s="8" t="s">
        <v>64</v>
      </c>
      <c r="O9" s="3" t="s">
        <v>212</v>
      </c>
      <c r="P9" s="3" t="s">
        <v>213</v>
      </c>
      <c r="Q9" s="3" t="s">
        <v>214</v>
      </c>
      <c r="R9" s="3" t="s">
        <v>215</v>
      </c>
      <c r="S9" s="8" t="s">
        <v>60</v>
      </c>
      <c r="T9" s="3" t="s">
        <v>216</v>
      </c>
      <c r="U9" s="3"/>
      <c r="V9" s="3" t="s">
        <v>143</v>
      </c>
      <c r="W9" s="3" t="s">
        <v>144</v>
      </c>
      <c r="X9" s="3"/>
      <c r="Y9" s="3" t="s">
        <v>217</v>
      </c>
      <c r="Z9" s="3" t="s">
        <v>218</v>
      </c>
      <c r="AA9" s="4" t="s">
        <v>147</v>
      </c>
      <c r="AC9" s="13" t="s">
        <v>53</v>
      </c>
      <c r="AD9" s="15">
        <f>COUNTBLANK($N$2:$N$69)</f>
        <v>2</v>
      </c>
      <c r="AE9" s="11" t="s">
        <v>54</v>
      </c>
      <c r="AG9" s="44" t="s">
        <v>55</v>
      </c>
      <c r="AH9" s="44"/>
      <c r="AI9" s="44"/>
      <c r="AJ9" s="44"/>
      <c r="AK9" s="44"/>
      <c r="AL9" s="44"/>
      <c r="AM9" s="44"/>
      <c r="AN9" s="45"/>
    </row>
    <row r="10" spans="1:40" ht="24" customHeight="1">
      <c r="A10" s="5" t="s">
        <v>219</v>
      </c>
      <c r="B10" s="5" t="s">
        <v>220</v>
      </c>
      <c r="C10" s="5" t="s">
        <v>210</v>
      </c>
      <c r="D10" s="5" t="s">
        <v>221</v>
      </c>
      <c r="E10" s="5" t="s">
        <v>39</v>
      </c>
      <c r="F10" s="5" t="s">
        <v>137</v>
      </c>
      <c r="G10" s="7" t="s">
        <v>60</v>
      </c>
      <c r="H10" s="9">
        <v>1</v>
      </c>
      <c r="I10" s="7" t="s">
        <v>60</v>
      </c>
      <c r="J10" s="9">
        <v>1</v>
      </c>
      <c r="K10" s="7" t="s">
        <v>60</v>
      </c>
      <c r="L10" s="7"/>
      <c r="M10" s="7" t="s">
        <v>60</v>
      </c>
      <c r="N10" s="7" t="s">
        <v>64</v>
      </c>
      <c r="O10" s="5" t="s">
        <v>222</v>
      </c>
      <c r="P10" s="5" t="s">
        <v>223</v>
      </c>
      <c r="Q10" s="5" t="s">
        <v>224</v>
      </c>
      <c r="R10" s="5" t="s">
        <v>225</v>
      </c>
      <c r="S10" s="7" t="s">
        <v>60</v>
      </c>
      <c r="T10" s="5" t="s">
        <v>142</v>
      </c>
      <c r="U10" s="5"/>
      <c r="V10" s="5" t="s">
        <v>143</v>
      </c>
      <c r="W10" s="5" t="s">
        <v>144</v>
      </c>
      <c r="X10" s="5"/>
      <c r="Y10" s="5" t="s">
        <v>226</v>
      </c>
      <c r="Z10" s="5" t="s">
        <v>227</v>
      </c>
      <c r="AA10" s="6" t="s">
        <v>147</v>
      </c>
      <c r="AC10" s="14" t="s">
        <v>56</v>
      </c>
      <c r="AD10" s="16">
        <f>COUNTA($AC$37:$AC$61)</f>
        <v>25</v>
      </c>
      <c r="AE10" s="12" t="s">
        <v>57</v>
      </c>
      <c r="AG10" s="26" t="s">
        <v>58</v>
      </c>
      <c r="AH10" s="26" t="s">
        <v>59</v>
      </c>
      <c r="AI10" s="26" t="s">
        <v>60</v>
      </c>
      <c r="AJ10" s="26" t="s">
        <v>61</v>
      </c>
    </row>
    <row r="11" spans="1:40" ht="9.75" customHeight="1">
      <c r="A11" s="3" t="s">
        <v>228</v>
      </c>
      <c r="B11" s="3" t="s">
        <v>229</v>
      </c>
      <c r="C11" s="3" t="s">
        <v>210</v>
      </c>
      <c r="D11" s="3" t="s">
        <v>230</v>
      </c>
      <c r="E11" s="3" t="s">
        <v>39</v>
      </c>
      <c r="F11" s="3" t="s">
        <v>137</v>
      </c>
      <c r="G11" s="8" t="s">
        <v>61</v>
      </c>
      <c r="H11" s="10">
        <v>0</v>
      </c>
      <c r="I11" s="8" t="s">
        <v>61</v>
      </c>
      <c r="J11" s="10">
        <v>0</v>
      </c>
      <c r="K11" s="8" t="s">
        <v>61</v>
      </c>
      <c r="L11" s="8"/>
      <c r="M11" s="8" t="s">
        <v>60</v>
      </c>
      <c r="N11" s="8" t="s">
        <v>64</v>
      </c>
      <c r="O11" s="3" t="s">
        <v>231</v>
      </c>
      <c r="P11" s="3" t="s">
        <v>232</v>
      </c>
      <c r="Q11" s="3" t="s">
        <v>233</v>
      </c>
      <c r="R11" s="3" t="s">
        <v>234</v>
      </c>
      <c r="S11" s="8" t="s">
        <v>60</v>
      </c>
      <c r="T11" s="3" t="s">
        <v>235</v>
      </c>
      <c r="U11" s="3"/>
      <c r="V11" s="3" t="s">
        <v>143</v>
      </c>
      <c r="W11" s="3" t="s">
        <v>144</v>
      </c>
      <c r="X11" s="3"/>
      <c r="Y11" s="3" t="s">
        <v>236</v>
      </c>
      <c r="Z11" s="3" t="s">
        <v>237</v>
      </c>
      <c r="AA11" s="4" t="s">
        <v>147</v>
      </c>
      <c r="AC11" s="14" t="s">
        <v>62</v>
      </c>
      <c r="AD11" s="16">
        <f>COUNTIF($B$2:$B$69,"EPA-Re:P4")+COUNTIF($B$2:$B$69,"EPA-Re:P5")</f>
        <v>2</v>
      </c>
      <c r="AE11" s="12" t="s">
        <v>63</v>
      </c>
      <c r="AG11" s="27" t="s">
        <v>64</v>
      </c>
      <c r="AH11" s="18">
        <f>COUNTA($K$2:$K$69)</f>
        <v>53</v>
      </c>
      <c r="AI11" s="18">
        <f>COUNTIF($K$2:$K$69,"Yes")</f>
        <v>39</v>
      </c>
      <c r="AJ11" s="18">
        <f>COUNTIF($K$2:$K$69,"No")</f>
        <v>14</v>
      </c>
    </row>
    <row r="12" spans="1:40" ht="16" customHeight="1">
      <c r="A12" s="5" t="s">
        <v>238</v>
      </c>
      <c r="B12" s="5" t="s">
        <v>239</v>
      </c>
      <c r="C12" s="5" t="s">
        <v>210</v>
      </c>
      <c r="D12" s="5" t="s">
        <v>973</v>
      </c>
      <c r="E12" s="5" t="s">
        <v>39</v>
      </c>
      <c r="F12" s="5" t="s">
        <v>137</v>
      </c>
      <c r="G12" s="7" t="s">
        <v>60</v>
      </c>
      <c r="H12" s="9">
        <v>1</v>
      </c>
      <c r="I12" s="7" t="s">
        <v>60</v>
      </c>
      <c r="J12" s="9">
        <v>1</v>
      </c>
      <c r="K12" s="7" t="s">
        <v>60</v>
      </c>
      <c r="L12" s="7"/>
      <c r="M12" s="7" t="s">
        <v>60</v>
      </c>
      <c r="N12" s="7" t="s">
        <v>64</v>
      </c>
      <c r="O12" s="5" t="s">
        <v>181</v>
      </c>
      <c r="P12" s="5" t="s">
        <v>240</v>
      </c>
      <c r="Q12" s="5" t="s">
        <v>241</v>
      </c>
      <c r="R12" s="5" t="s">
        <v>242</v>
      </c>
      <c r="S12" s="7" t="s">
        <v>60</v>
      </c>
      <c r="T12" s="5" t="s">
        <v>142</v>
      </c>
      <c r="U12" s="5"/>
      <c r="V12" s="5" t="s">
        <v>143</v>
      </c>
      <c r="W12" s="5" t="s">
        <v>144</v>
      </c>
      <c r="X12" s="5"/>
      <c r="Y12" s="5" t="s">
        <v>243</v>
      </c>
      <c r="Z12" s="5" t="s">
        <v>244</v>
      </c>
      <c r="AA12" s="6" t="s">
        <v>147</v>
      </c>
      <c r="AC12" s="43" t="s">
        <v>245</v>
      </c>
      <c r="AD12" s="43">
        <v>8</v>
      </c>
      <c r="AE12" s="43" t="s">
        <v>246</v>
      </c>
      <c r="AF12" s="41"/>
      <c r="AG12" s="41" t="s">
        <v>65</v>
      </c>
      <c r="AH12" s="42">
        <f>COUNTA($L$2:$L$69)</f>
        <v>18</v>
      </c>
      <c r="AI12" s="42">
        <f>COUNTIF($L$2:$L$69,"Yes")</f>
        <v>5</v>
      </c>
      <c r="AJ12" s="42">
        <f>COUNTIF($L$2:$L$69,"No")</f>
        <v>13</v>
      </c>
      <c r="AK12" s="41"/>
      <c r="AL12" s="41"/>
      <c r="AM12" s="41"/>
      <c r="AN12" s="41"/>
    </row>
    <row r="13" spans="1:40" ht="9.75" customHeight="1">
      <c r="A13" s="3" t="s">
        <v>247</v>
      </c>
      <c r="B13" s="3" t="s">
        <v>248</v>
      </c>
      <c r="C13" s="3" t="s">
        <v>249</v>
      </c>
      <c r="D13" s="3" t="s">
        <v>974</v>
      </c>
      <c r="E13" s="3" t="s">
        <v>39</v>
      </c>
      <c r="F13" s="3" t="s">
        <v>137</v>
      </c>
      <c r="G13" s="8" t="s">
        <v>60</v>
      </c>
      <c r="H13" s="10">
        <v>1</v>
      </c>
      <c r="I13" s="8" t="s">
        <v>60</v>
      </c>
      <c r="J13" s="10">
        <v>1</v>
      </c>
      <c r="K13" s="8" t="s">
        <v>60</v>
      </c>
      <c r="L13" s="8"/>
      <c r="M13" s="8" t="s">
        <v>60</v>
      </c>
      <c r="N13" s="8" t="s">
        <v>64</v>
      </c>
      <c r="O13" s="3" t="s">
        <v>250</v>
      </c>
      <c r="P13" s="3" t="s">
        <v>251</v>
      </c>
      <c r="Q13" s="3" t="s">
        <v>252</v>
      </c>
      <c r="R13" s="3" t="s">
        <v>253</v>
      </c>
      <c r="S13" s="8" t="s">
        <v>60</v>
      </c>
      <c r="T13" s="3" t="s">
        <v>254</v>
      </c>
      <c r="U13" s="3"/>
      <c r="V13" s="3" t="s">
        <v>143</v>
      </c>
      <c r="W13" s="3" t="s">
        <v>144</v>
      </c>
      <c r="X13" s="3"/>
      <c r="Y13" s="3" t="s">
        <v>255</v>
      </c>
      <c r="Z13" s="3" t="s">
        <v>256</v>
      </c>
      <c r="AA13" s="4" t="s">
        <v>147</v>
      </c>
      <c r="AG13" s="28" t="s">
        <v>66</v>
      </c>
      <c r="AH13" s="19">
        <f>COUNTA($M$2:$M$69)</f>
        <v>43</v>
      </c>
      <c r="AI13" s="19">
        <f>COUNTIF($M$2:$M$69,"Yes")</f>
        <v>41</v>
      </c>
      <c r="AJ13" s="19">
        <f>COUNTIF($M$2:$M$69,"No")</f>
        <v>2</v>
      </c>
    </row>
    <row r="14" spans="1:40" ht="34.65" customHeight="1">
      <c r="A14" s="5" t="s">
        <v>257</v>
      </c>
      <c r="B14" s="5" t="s">
        <v>258</v>
      </c>
      <c r="C14" s="5" t="s">
        <v>259</v>
      </c>
      <c r="D14" s="5" t="s">
        <v>260</v>
      </c>
      <c r="E14" s="5" t="s">
        <v>39</v>
      </c>
      <c r="F14" s="5" t="s">
        <v>137</v>
      </c>
      <c r="G14" s="7" t="s">
        <v>60</v>
      </c>
      <c r="H14" s="9">
        <v>1</v>
      </c>
      <c r="I14" s="7" t="s">
        <v>60</v>
      </c>
      <c r="J14" s="9">
        <v>1</v>
      </c>
      <c r="K14" s="7" t="s">
        <v>60</v>
      </c>
      <c r="L14" s="7"/>
      <c r="M14" s="7" t="s">
        <v>60</v>
      </c>
      <c r="N14" s="7" t="s">
        <v>64</v>
      </c>
      <c r="O14" s="5" t="s">
        <v>261</v>
      </c>
      <c r="P14" s="5" t="s">
        <v>262</v>
      </c>
      <c r="Q14" s="5" t="s">
        <v>263</v>
      </c>
      <c r="R14" s="5" t="s">
        <v>264</v>
      </c>
      <c r="S14" s="7" t="s">
        <v>60</v>
      </c>
      <c r="T14" s="5" t="s">
        <v>254</v>
      </c>
      <c r="U14" s="5"/>
      <c r="V14" s="5" t="s">
        <v>143</v>
      </c>
      <c r="W14" s="5" t="s">
        <v>144</v>
      </c>
      <c r="X14" s="5"/>
      <c r="Y14" s="5" t="s">
        <v>265</v>
      </c>
      <c r="Z14" s="5" t="s">
        <v>266</v>
      </c>
      <c r="AA14" s="6" t="s">
        <v>147</v>
      </c>
      <c r="AC14" s="46" t="s">
        <v>267</v>
      </c>
      <c r="AD14" s="46"/>
      <c r="AE14" s="46"/>
      <c r="AF14" s="46"/>
      <c r="AG14" s="46"/>
      <c r="AH14" s="46"/>
      <c r="AI14" s="46"/>
      <c r="AJ14" s="46"/>
      <c r="AK14" s="46"/>
      <c r="AL14" s="46"/>
      <c r="AM14" s="46"/>
      <c r="AN14" s="46"/>
    </row>
    <row r="15" spans="1:40" ht="24" customHeight="1">
      <c r="A15" s="3" t="s">
        <v>268</v>
      </c>
      <c r="B15" s="3" t="s">
        <v>269</v>
      </c>
      <c r="C15" s="3" t="s">
        <v>270</v>
      </c>
      <c r="D15" s="3" t="s">
        <v>271</v>
      </c>
      <c r="E15" s="3" t="s">
        <v>39</v>
      </c>
      <c r="F15" s="3" t="s">
        <v>137</v>
      </c>
      <c r="G15" s="8" t="s">
        <v>60</v>
      </c>
      <c r="H15" s="10">
        <v>1</v>
      </c>
      <c r="I15" s="8" t="s">
        <v>60</v>
      </c>
      <c r="J15" s="10">
        <v>1</v>
      </c>
      <c r="K15" s="8" t="s">
        <v>60</v>
      </c>
      <c r="L15" s="8"/>
      <c r="M15" s="8" t="s">
        <v>60</v>
      </c>
      <c r="N15" s="8" t="s">
        <v>64</v>
      </c>
      <c r="O15" s="3" t="s">
        <v>272</v>
      </c>
      <c r="P15" s="3" t="s">
        <v>273</v>
      </c>
      <c r="Q15" s="3" t="s">
        <v>274</v>
      </c>
      <c r="R15" s="3" t="s">
        <v>275</v>
      </c>
      <c r="S15" s="8" t="s">
        <v>60</v>
      </c>
      <c r="T15" s="3" t="s">
        <v>142</v>
      </c>
      <c r="U15" s="3"/>
      <c r="V15" s="3" t="s">
        <v>143</v>
      </c>
      <c r="W15" s="3" t="s">
        <v>144</v>
      </c>
      <c r="X15" s="3"/>
      <c r="Y15" s="3" t="s">
        <v>276</v>
      </c>
      <c r="Z15" s="3" t="s">
        <v>277</v>
      </c>
      <c r="AA15" s="4" t="s">
        <v>147</v>
      </c>
      <c r="AC15" s="44" t="s">
        <v>67</v>
      </c>
      <c r="AD15" s="44"/>
      <c r="AE15" s="44"/>
      <c r="AF15" s="44"/>
      <c r="AG15" s="44"/>
      <c r="AH15" s="44"/>
      <c r="AI15" s="44"/>
      <c r="AJ15" s="44"/>
      <c r="AK15" s="45"/>
    </row>
    <row r="16" spans="1:40" ht="24" customHeight="1">
      <c r="A16" s="5" t="s">
        <v>278</v>
      </c>
      <c r="B16" s="5" t="s">
        <v>279</v>
      </c>
      <c r="C16" s="5" t="s">
        <v>280</v>
      </c>
      <c r="D16" s="5" t="s">
        <v>975</v>
      </c>
      <c r="E16" s="5" t="s">
        <v>39</v>
      </c>
      <c r="F16" s="5" t="s">
        <v>137</v>
      </c>
      <c r="G16" s="7" t="s">
        <v>60</v>
      </c>
      <c r="H16" s="9">
        <v>1</v>
      </c>
      <c r="I16" s="7" t="s">
        <v>60</v>
      </c>
      <c r="J16" s="9">
        <v>1</v>
      </c>
      <c r="K16" s="7" t="s">
        <v>60</v>
      </c>
      <c r="L16" s="7"/>
      <c r="M16" s="7" t="s">
        <v>60</v>
      </c>
      <c r="N16" s="7" t="s">
        <v>64</v>
      </c>
      <c r="O16" s="5" t="s">
        <v>281</v>
      </c>
      <c r="P16" s="5" t="s">
        <v>282</v>
      </c>
      <c r="Q16" s="5" t="s">
        <v>283</v>
      </c>
      <c r="R16" s="5" t="s">
        <v>284</v>
      </c>
      <c r="S16" s="7" t="s">
        <v>60</v>
      </c>
      <c r="T16" s="5" t="s">
        <v>142</v>
      </c>
      <c r="U16" s="5"/>
      <c r="V16" s="5" t="s">
        <v>143</v>
      </c>
      <c r="W16" s="5" t="s">
        <v>144</v>
      </c>
      <c r="X16" s="5"/>
      <c r="Y16" s="5" t="s">
        <v>285</v>
      </c>
      <c r="Z16" s="5" t="s">
        <v>286</v>
      </c>
      <c r="AA16" s="6" t="s">
        <v>147</v>
      </c>
      <c r="AC16" s="29" t="s">
        <v>287</v>
      </c>
      <c r="AD16" s="29" t="s">
        <v>288</v>
      </c>
      <c r="AE16" s="29" t="s">
        <v>289</v>
      </c>
      <c r="AF16" s="29" t="s">
        <v>290</v>
      </c>
      <c r="AG16" s="29" t="s">
        <v>291</v>
      </c>
      <c r="AH16" s="29" t="s">
        <v>6</v>
      </c>
      <c r="AI16" s="29" t="s">
        <v>8</v>
      </c>
      <c r="AJ16" s="29" t="s">
        <v>20</v>
      </c>
      <c r="AK16" s="29" t="s">
        <v>292</v>
      </c>
    </row>
    <row r="17" spans="1:37" ht="17.75" customHeight="1">
      <c r="A17" s="3" t="s">
        <v>293</v>
      </c>
      <c r="B17" s="3" t="s">
        <v>294</v>
      </c>
      <c r="C17" s="3" t="s">
        <v>295</v>
      </c>
      <c r="D17" s="3" t="s">
        <v>296</v>
      </c>
      <c r="E17" s="3" t="s">
        <v>39</v>
      </c>
      <c r="F17" s="3" t="s">
        <v>137</v>
      </c>
      <c r="G17" s="8" t="s">
        <v>61</v>
      </c>
      <c r="H17" s="10">
        <v>0</v>
      </c>
      <c r="I17" s="8" t="s">
        <v>61</v>
      </c>
      <c r="J17" s="10">
        <v>0</v>
      </c>
      <c r="K17" s="8" t="s">
        <v>61</v>
      </c>
      <c r="L17" s="8"/>
      <c r="M17" s="8" t="s">
        <v>60</v>
      </c>
      <c r="N17" s="8" t="s">
        <v>64</v>
      </c>
      <c r="O17" s="3" t="s">
        <v>297</v>
      </c>
      <c r="P17" s="3" t="s">
        <v>298</v>
      </c>
      <c r="Q17" s="3" t="s">
        <v>299</v>
      </c>
      <c r="R17" s="3" t="s">
        <v>300</v>
      </c>
      <c r="S17" s="8" t="s">
        <v>60</v>
      </c>
      <c r="T17" s="3" t="s">
        <v>301</v>
      </c>
      <c r="U17" s="3"/>
      <c r="V17" s="3" t="s">
        <v>143</v>
      </c>
      <c r="W17" s="3" t="s">
        <v>144</v>
      </c>
      <c r="X17" s="3"/>
      <c r="Y17" s="3" t="s">
        <v>302</v>
      </c>
      <c r="Z17" s="3" t="s">
        <v>303</v>
      </c>
      <c r="AA17" s="4" t="s">
        <v>147</v>
      </c>
      <c r="AC17" s="30" t="s">
        <v>304</v>
      </c>
      <c r="AD17" s="30">
        <v>7</v>
      </c>
      <c r="AE17" s="30" t="s">
        <v>305</v>
      </c>
      <c r="AF17" s="30" t="s">
        <v>60</v>
      </c>
      <c r="AG17" s="30" t="s">
        <v>61</v>
      </c>
      <c r="AH17" s="30" t="s">
        <v>60</v>
      </c>
      <c r="AI17" s="30" t="s">
        <v>61</v>
      </c>
      <c r="AJ17" s="30" t="s">
        <v>306</v>
      </c>
      <c r="AK17" s="31" t="s">
        <v>307</v>
      </c>
    </row>
    <row r="18" spans="1:37" ht="17.75" customHeight="1">
      <c r="A18" s="5" t="s">
        <v>308</v>
      </c>
      <c r="B18" s="5" t="s">
        <v>309</v>
      </c>
      <c r="C18" s="5" t="s">
        <v>310</v>
      </c>
      <c r="D18" s="5" t="s">
        <v>311</v>
      </c>
      <c r="E18" s="5" t="s">
        <v>39</v>
      </c>
      <c r="F18" s="5" t="s">
        <v>137</v>
      </c>
      <c r="G18" s="7" t="s">
        <v>60</v>
      </c>
      <c r="H18" s="9">
        <v>1</v>
      </c>
      <c r="I18" s="7" t="s">
        <v>60</v>
      </c>
      <c r="J18" s="9">
        <v>1</v>
      </c>
      <c r="K18" s="7" t="s">
        <v>60</v>
      </c>
      <c r="L18" s="7"/>
      <c r="M18" s="7" t="s">
        <v>60</v>
      </c>
      <c r="N18" s="7" t="s">
        <v>64</v>
      </c>
      <c r="O18" s="5" t="s">
        <v>312</v>
      </c>
      <c r="P18" s="5" t="s">
        <v>313</v>
      </c>
      <c r="Q18" s="5" t="s">
        <v>314</v>
      </c>
      <c r="R18" s="5" t="s">
        <v>315</v>
      </c>
      <c r="S18" s="7" t="s">
        <v>60</v>
      </c>
      <c r="T18" s="5" t="s">
        <v>316</v>
      </c>
      <c r="U18" s="5"/>
      <c r="V18" s="5" t="s">
        <v>174</v>
      </c>
      <c r="W18" s="5" t="s">
        <v>317</v>
      </c>
      <c r="X18" s="5"/>
      <c r="Y18" s="5" t="s">
        <v>318</v>
      </c>
      <c r="Z18" s="5" t="s">
        <v>319</v>
      </c>
      <c r="AA18" s="6" t="s">
        <v>147</v>
      </c>
      <c r="AC18" s="30" t="s">
        <v>320</v>
      </c>
      <c r="AD18" s="30">
        <v>8</v>
      </c>
      <c r="AE18" s="30" t="s">
        <v>321</v>
      </c>
      <c r="AF18" s="30" t="s">
        <v>60</v>
      </c>
      <c r="AG18" s="30" t="s">
        <v>61</v>
      </c>
      <c r="AH18" s="30" t="s">
        <v>61</v>
      </c>
      <c r="AI18" s="30" t="s">
        <v>61</v>
      </c>
      <c r="AJ18" s="30" t="s">
        <v>322</v>
      </c>
      <c r="AK18" s="31" t="s">
        <v>323</v>
      </c>
    </row>
    <row r="19" spans="1:37" ht="17.75" customHeight="1">
      <c r="A19" s="3" t="s">
        <v>324</v>
      </c>
      <c r="B19" s="3" t="s">
        <v>325</v>
      </c>
      <c r="C19" s="3" t="s">
        <v>326</v>
      </c>
      <c r="D19" s="3" t="s">
        <v>327</v>
      </c>
      <c r="E19" s="3" t="s">
        <v>39</v>
      </c>
      <c r="F19" s="3" t="s">
        <v>137</v>
      </c>
      <c r="G19" s="8" t="s">
        <v>60</v>
      </c>
      <c r="H19" s="10">
        <v>1</v>
      </c>
      <c r="I19" s="8" t="s">
        <v>60</v>
      </c>
      <c r="J19" s="10">
        <v>1</v>
      </c>
      <c r="K19" s="8" t="s">
        <v>60</v>
      </c>
      <c r="L19" s="8"/>
      <c r="M19" s="8" t="s">
        <v>60</v>
      </c>
      <c r="N19" s="8" t="s">
        <v>64</v>
      </c>
      <c r="O19" s="3" t="s">
        <v>312</v>
      </c>
      <c r="P19" s="3" t="s">
        <v>328</v>
      </c>
      <c r="Q19" s="3" t="s">
        <v>329</v>
      </c>
      <c r="R19" s="3" t="s">
        <v>330</v>
      </c>
      <c r="S19" s="8" t="s">
        <v>60</v>
      </c>
      <c r="T19" s="3" t="s">
        <v>142</v>
      </c>
      <c r="U19" s="3"/>
      <c r="V19" s="3" t="s">
        <v>143</v>
      </c>
      <c r="W19" s="3" t="s">
        <v>144</v>
      </c>
      <c r="X19" s="3"/>
      <c r="Y19" s="3" t="s">
        <v>331</v>
      </c>
      <c r="Z19" s="3" t="s">
        <v>332</v>
      </c>
      <c r="AA19" s="4" t="s">
        <v>147</v>
      </c>
      <c r="AC19" s="30" t="s">
        <v>333</v>
      </c>
      <c r="AD19" s="30">
        <v>9</v>
      </c>
      <c r="AE19" s="30" t="s">
        <v>321</v>
      </c>
      <c r="AF19" s="30" t="s">
        <v>60</v>
      </c>
      <c r="AG19" s="30" t="s">
        <v>61</v>
      </c>
      <c r="AH19" s="30" t="s">
        <v>61</v>
      </c>
      <c r="AI19" s="30" t="s">
        <v>61</v>
      </c>
      <c r="AJ19" s="30" t="s">
        <v>322</v>
      </c>
      <c r="AK19" s="31" t="s">
        <v>323</v>
      </c>
    </row>
    <row r="20" spans="1:37" ht="17.75" customHeight="1">
      <c r="A20" s="5" t="s">
        <v>334</v>
      </c>
      <c r="B20" s="5" t="s">
        <v>335</v>
      </c>
      <c r="C20" s="5" t="s">
        <v>336</v>
      </c>
      <c r="D20" s="5" t="s">
        <v>337</v>
      </c>
      <c r="E20" s="5" t="s">
        <v>39</v>
      </c>
      <c r="F20" s="5" t="s">
        <v>137</v>
      </c>
      <c r="G20" s="7" t="s">
        <v>60</v>
      </c>
      <c r="H20" s="9">
        <v>1</v>
      </c>
      <c r="I20" s="7" t="s">
        <v>60</v>
      </c>
      <c r="J20" s="9">
        <v>1</v>
      </c>
      <c r="K20" s="7" t="s">
        <v>60</v>
      </c>
      <c r="L20" s="7"/>
      <c r="M20" s="7" t="s">
        <v>60</v>
      </c>
      <c r="N20" s="7" t="s">
        <v>64</v>
      </c>
      <c r="O20" s="5" t="s">
        <v>338</v>
      </c>
      <c r="P20" s="5" t="s">
        <v>339</v>
      </c>
      <c r="Q20" s="5" t="s">
        <v>340</v>
      </c>
      <c r="R20" s="5" t="s">
        <v>341</v>
      </c>
      <c r="S20" s="7" t="s">
        <v>60</v>
      </c>
      <c r="T20" s="5" t="s">
        <v>142</v>
      </c>
      <c r="U20" s="5"/>
      <c r="V20" s="5" t="s">
        <v>143</v>
      </c>
      <c r="W20" s="5" t="s">
        <v>144</v>
      </c>
      <c r="X20" s="5"/>
      <c r="Y20" s="5" t="s">
        <v>342</v>
      </c>
      <c r="Z20" s="5" t="s">
        <v>343</v>
      </c>
      <c r="AA20" s="6" t="s">
        <v>147</v>
      </c>
      <c r="AC20" s="30" t="s">
        <v>344</v>
      </c>
      <c r="AD20" s="30">
        <v>10</v>
      </c>
      <c r="AE20" s="30" t="s">
        <v>321</v>
      </c>
      <c r="AF20" s="30" t="s">
        <v>61</v>
      </c>
      <c r="AG20" s="30" t="s">
        <v>61</v>
      </c>
      <c r="AH20" s="30" t="s">
        <v>61</v>
      </c>
      <c r="AI20" s="30" t="s">
        <v>61</v>
      </c>
      <c r="AJ20" s="30" t="s">
        <v>322</v>
      </c>
      <c r="AK20" s="31" t="s">
        <v>323</v>
      </c>
    </row>
    <row r="21" spans="1:37" ht="17.75" customHeight="1">
      <c r="A21" s="3" t="s">
        <v>345</v>
      </c>
      <c r="B21" s="3" t="s">
        <v>346</v>
      </c>
      <c r="C21" s="3" t="s">
        <v>347</v>
      </c>
      <c r="D21" s="3" t="s">
        <v>348</v>
      </c>
      <c r="E21" s="3" t="s">
        <v>39</v>
      </c>
      <c r="F21" s="3" t="s">
        <v>137</v>
      </c>
      <c r="G21" s="8" t="s">
        <v>60</v>
      </c>
      <c r="H21" s="10">
        <v>1</v>
      </c>
      <c r="I21" s="8" t="s">
        <v>60</v>
      </c>
      <c r="J21" s="10">
        <v>1</v>
      </c>
      <c r="K21" s="8" t="s">
        <v>60</v>
      </c>
      <c r="L21" s="8"/>
      <c r="M21" s="8" t="s">
        <v>60</v>
      </c>
      <c r="N21" s="8" t="s">
        <v>64</v>
      </c>
      <c r="O21" s="3" t="s">
        <v>349</v>
      </c>
      <c r="P21" s="3" t="s">
        <v>350</v>
      </c>
      <c r="Q21" s="3" t="s">
        <v>351</v>
      </c>
      <c r="R21" s="3" t="s">
        <v>352</v>
      </c>
      <c r="S21" s="8" t="s">
        <v>60</v>
      </c>
      <c r="T21" s="3" t="s">
        <v>353</v>
      </c>
      <c r="U21" s="3"/>
      <c r="V21" s="3" t="s">
        <v>143</v>
      </c>
      <c r="W21" s="3" t="s">
        <v>144</v>
      </c>
      <c r="X21" s="3"/>
      <c r="Y21" s="3" t="s">
        <v>354</v>
      </c>
      <c r="Z21" s="3" t="s">
        <v>355</v>
      </c>
      <c r="AA21" s="4" t="s">
        <v>147</v>
      </c>
      <c r="AC21" s="30" t="s">
        <v>356</v>
      </c>
      <c r="AD21" s="30">
        <v>11</v>
      </c>
      <c r="AE21" s="30" t="s">
        <v>357</v>
      </c>
      <c r="AF21" s="30" t="s">
        <v>60</v>
      </c>
      <c r="AG21" s="30" t="s">
        <v>61</v>
      </c>
      <c r="AH21" s="30" t="s">
        <v>60</v>
      </c>
      <c r="AI21" s="30" t="s">
        <v>61</v>
      </c>
      <c r="AJ21" s="30" t="s">
        <v>306</v>
      </c>
      <c r="AK21" s="31"/>
    </row>
    <row r="22" spans="1:37" ht="17.75" customHeight="1">
      <c r="A22" s="5" t="s">
        <v>358</v>
      </c>
      <c r="B22" s="5" t="s">
        <v>359</v>
      </c>
      <c r="C22" s="5" t="s">
        <v>347</v>
      </c>
      <c r="D22" s="5" t="s">
        <v>360</v>
      </c>
      <c r="E22" s="5" t="s">
        <v>39</v>
      </c>
      <c r="F22" s="5" t="s">
        <v>137</v>
      </c>
      <c r="G22" s="7" t="s">
        <v>60</v>
      </c>
      <c r="H22" s="9">
        <v>1</v>
      </c>
      <c r="I22" s="7" t="s">
        <v>60</v>
      </c>
      <c r="J22" s="9">
        <v>1</v>
      </c>
      <c r="K22" s="7" t="s">
        <v>60</v>
      </c>
      <c r="L22" s="7"/>
      <c r="M22" s="7" t="s">
        <v>60</v>
      </c>
      <c r="N22" s="7" t="s">
        <v>64</v>
      </c>
      <c r="O22" s="5" t="s">
        <v>361</v>
      </c>
      <c r="P22" s="5" t="s">
        <v>362</v>
      </c>
      <c r="Q22" s="5" t="s">
        <v>363</v>
      </c>
      <c r="R22" s="5" t="s">
        <v>364</v>
      </c>
      <c r="S22" s="7" t="s">
        <v>60</v>
      </c>
      <c r="T22" s="5" t="s">
        <v>142</v>
      </c>
      <c r="U22" s="5"/>
      <c r="V22" s="5" t="s">
        <v>143</v>
      </c>
      <c r="W22" s="5" t="s">
        <v>144</v>
      </c>
      <c r="X22" s="5"/>
      <c r="Y22" s="5" t="s">
        <v>365</v>
      </c>
      <c r="Z22" s="5" t="s">
        <v>366</v>
      </c>
      <c r="AA22" s="6" t="s">
        <v>147</v>
      </c>
      <c r="AC22" s="30" t="s">
        <v>367</v>
      </c>
      <c r="AD22" s="30">
        <v>12</v>
      </c>
      <c r="AE22" s="30" t="s">
        <v>368</v>
      </c>
      <c r="AF22" s="30" t="s">
        <v>60</v>
      </c>
      <c r="AG22" s="30" t="s">
        <v>61</v>
      </c>
      <c r="AH22" s="30" t="s">
        <v>60</v>
      </c>
      <c r="AI22" s="30" t="s">
        <v>61</v>
      </c>
      <c r="AJ22" s="30" t="s">
        <v>306</v>
      </c>
      <c r="AK22" s="31"/>
    </row>
    <row r="23" spans="1:37" ht="17.75" customHeight="1">
      <c r="A23" s="3" t="s">
        <v>369</v>
      </c>
      <c r="B23" s="3" t="s">
        <v>370</v>
      </c>
      <c r="C23" s="3" t="s">
        <v>371</v>
      </c>
      <c r="D23" s="3" t="s">
        <v>372</v>
      </c>
      <c r="E23" s="3" t="s">
        <v>39</v>
      </c>
      <c r="F23" s="3" t="s">
        <v>137</v>
      </c>
      <c r="G23" s="8" t="s">
        <v>60</v>
      </c>
      <c r="H23" s="10">
        <v>1</v>
      </c>
      <c r="I23" s="8" t="s">
        <v>60</v>
      </c>
      <c r="J23" s="10">
        <v>1</v>
      </c>
      <c r="K23" s="8" t="s">
        <v>60</v>
      </c>
      <c r="L23" s="8"/>
      <c r="M23" s="8" t="s">
        <v>60</v>
      </c>
      <c r="N23" s="8" t="s">
        <v>64</v>
      </c>
      <c r="O23" s="3" t="s">
        <v>373</v>
      </c>
      <c r="P23" s="3" t="s">
        <v>374</v>
      </c>
      <c r="Q23" s="3" t="s">
        <v>375</v>
      </c>
      <c r="R23" s="3" t="s">
        <v>376</v>
      </c>
      <c r="S23" s="8" t="s">
        <v>60</v>
      </c>
      <c r="T23" s="3" t="s">
        <v>377</v>
      </c>
      <c r="U23" s="3"/>
      <c r="V23" s="3" t="s">
        <v>143</v>
      </c>
      <c r="W23" s="3" t="s">
        <v>144</v>
      </c>
      <c r="X23" s="3"/>
      <c r="Y23" s="3" t="s">
        <v>378</v>
      </c>
      <c r="Z23" s="3" t="s">
        <v>379</v>
      </c>
      <c r="AA23" s="4" t="s">
        <v>147</v>
      </c>
      <c r="AC23" s="30" t="s">
        <v>380</v>
      </c>
      <c r="AD23" s="30">
        <v>13</v>
      </c>
      <c r="AE23" s="30" t="s">
        <v>381</v>
      </c>
      <c r="AF23" s="30" t="s">
        <v>60</v>
      </c>
      <c r="AG23" s="30" t="s">
        <v>61</v>
      </c>
      <c r="AH23" s="30" t="s">
        <v>61</v>
      </c>
      <c r="AI23" s="30" t="s">
        <v>61</v>
      </c>
      <c r="AJ23" s="30" t="s">
        <v>382</v>
      </c>
      <c r="AK23" s="31" t="s">
        <v>383</v>
      </c>
    </row>
    <row r="24" spans="1:37" ht="17.75" customHeight="1">
      <c r="A24" s="5" t="s">
        <v>384</v>
      </c>
      <c r="B24" s="5" t="s">
        <v>385</v>
      </c>
      <c r="C24" s="5" t="s">
        <v>386</v>
      </c>
      <c r="D24" s="5" t="s">
        <v>387</v>
      </c>
      <c r="E24" s="5" t="s">
        <v>39</v>
      </c>
      <c r="F24" s="5" t="s">
        <v>137</v>
      </c>
      <c r="G24" s="7" t="s">
        <v>60</v>
      </c>
      <c r="H24" s="9">
        <v>1</v>
      </c>
      <c r="I24" s="7" t="s">
        <v>60</v>
      </c>
      <c r="J24" s="9">
        <v>1</v>
      </c>
      <c r="K24" s="7" t="s">
        <v>60</v>
      </c>
      <c r="L24" s="7"/>
      <c r="M24" s="7" t="s">
        <v>60</v>
      </c>
      <c r="N24" s="7" t="s">
        <v>64</v>
      </c>
      <c r="O24" s="5" t="s">
        <v>388</v>
      </c>
      <c r="P24" s="5" t="s">
        <v>389</v>
      </c>
      <c r="Q24" s="5" t="s">
        <v>390</v>
      </c>
      <c r="R24" s="5" t="s">
        <v>391</v>
      </c>
      <c r="S24" s="7" t="s">
        <v>60</v>
      </c>
      <c r="T24" s="5" t="s">
        <v>392</v>
      </c>
      <c r="U24" s="5"/>
      <c r="V24" s="5" t="s">
        <v>143</v>
      </c>
      <c r="W24" s="5" t="s">
        <v>144</v>
      </c>
      <c r="X24" s="5"/>
      <c r="Y24" s="5" t="s">
        <v>393</v>
      </c>
      <c r="Z24" s="5" t="s">
        <v>394</v>
      </c>
      <c r="AA24" s="6" t="s">
        <v>395</v>
      </c>
      <c r="AC24" s="30" t="s">
        <v>396</v>
      </c>
      <c r="AD24" s="30">
        <v>14</v>
      </c>
      <c r="AE24" s="30" t="s">
        <v>397</v>
      </c>
      <c r="AF24" s="30" t="s">
        <v>60</v>
      </c>
      <c r="AG24" s="30" t="s">
        <v>61</v>
      </c>
      <c r="AH24" s="30" t="s">
        <v>60</v>
      </c>
      <c r="AI24" s="30" t="s">
        <v>61</v>
      </c>
      <c r="AJ24" s="30" t="s">
        <v>306</v>
      </c>
      <c r="AK24" s="31" t="s">
        <v>398</v>
      </c>
    </row>
    <row r="25" spans="1:37" ht="17.75" customHeight="1">
      <c r="A25" s="3" t="s">
        <v>399</v>
      </c>
      <c r="B25" s="3" t="s">
        <v>400</v>
      </c>
      <c r="C25" s="3" t="s">
        <v>401</v>
      </c>
      <c r="D25" s="3" t="s">
        <v>402</v>
      </c>
      <c r="E25" s="3" t="s">
        <v>39</v>
      </c>
      <c r="F25" s="3" t="s">
        <v>137</v>
      </c>
      <c r="G25" s="8" t="s">
        <v>60</v>
      </c>
      <c r="H25" s="10">
        <v>1</v>
      </c>
      <c r="I25" s="8" t="s">
        <v>60</v>
      </c>
      <c r="J25" s="10">
        <v>1</v>
      </c>
      <c r="K25" s="8" t="s">
        <v>60</v>
      </c>
      <c r="L25" s="8"/>
      <c r="M25" s="8" t="s">
        <v>60</v>
      </c>
      <c r="N25" s="8" t="s">
        <v>64</v>
      </c>
      <c r="O25" s="3" t="s">
        <v>312</v>
      </c>
      <c r="P25" s="3" t="s">
        <v>403</v>
      </c>
      <c r="Q25" s="3" t="s">
        <v>404</v>
      </c>
      <c r="R25" s="3" t="s">
        <v>405</v>
      </c>
      <c r="S25" s="8" t="s">
        <v>60</v>
      </c>
      <c r="T25" s="3" t="s">
        <v>142</v>
      </c>
      <c r="U25" s="3"/>
      <c r="V25" s="3" t="s">
        <v>143</v>
      </c>
      <c r="W25" s="3" t="s">
        <v>144</v>
      </c>
      <c r="X25" s="3"/>
      <c r="Y25" s="3" t="s">
        <v>406</v>
      </c>
      <c r="Z25" s="3" t="s">
        <v>407</v>
      </c>
      <c r="AA25" s="4" t="s">
        <v>147</v>
      </c>
      <c r="AC25" s="30" t="s">
        <v>408</v>
      </c>
      <c r="AD25" s="30">
        <v>15</v>
      </c>
      <c r="AE25" s="30" t="s">
        <v>409</v>
      </c>
      <c r="AF25" s="30" t="s">
        <v>60</v>
      </c>
      <c r="AG25" s="30" t="s">
        <v>61</v>
      </c>
      <c r="AH25" s="30" t="s">
        <v>61</v>
      </c>
      <c r="AI25" s="30" t="s">
        <v>61</v>
      </c>
      <c r="AJ25" s="30" t="s">
        <v>410</v>
      </c>
      <c r="AK25" s="31" t="s">
        <v>411</v>
      </c>
    </row>
    <row r="26" spans="1:37" ht="17.75" customHeight="1">
      <c r="A26" s="5" t="s">
        <v>412</v>
      </c>
      <c r="B26" s="5" t="s">
        <v>413</v>
      </c>
      <c r="C26" s="5" t="s">
        <v>414</v>
      </c>
      <c r="D26" s="5" t="s">
        <v>415</v>
      </c>
      <c r="E26" s="5" t="s">
        <v>39</v>
      </c>
      <c r="F26" s="5" t="s">
        <v>137</v>
      </c>
      <c r="G26" s="7" t="s">
        <v>60</v>
      </c>
      <c r="H26" s="9">
        <v>1</v>
      </c>
      <c r="I26" s="7" t="s">
        <v>60</v>
      </c>
      <c r="J26" s="9">
        <v>1</v>
      </c>
      <c r="K26" s="7" t="s">
        <v>60</v>
      </c>
      <c r="L26" s="7"/>
      <c r="M26" s="7" t="s">
        <v>60</v>
      </c>
      <c r="N26" s="7" t="s">
        <v>64</v>
      </c>
      <c r="O26" s="5" t="s">
        <v>416</v>
      </c>
      <c r="P26" s="5" t="s">
        <v>417</v>
      </c>
      <c r="Q26" s="5" t="s">
        <v>418</v>
      </c>
      <c r="R26" s="5" t="s">
        <v>419</v>
      </c>
      <c r="S26" s="7" t="s">
        <v>60</v>
      </c>
      <c r="T26" s="5" t="s">
        <v>142</v>
      </c>
      <c r="U26" s="5"/>
      <c r="V26" s="5" t="s">
        <v>143</v>
      </c>
      <c r="W26" s="5" t="s">
        <v>144</v>
      </c>
      <c r="X26" s="5"/>
      <c r="Y26" s="5" t="s">
        <v>420</v>
      </c>
      <c r="Z26" s="5" t="s">
        <v>421</v>
      </c>
      <c r="AA26" s="6" t="s">
        <v>147</v>
      </c>
      <c r="AC26" s="30" t="s">
        <v>422</v>
      </c>
      <c r="AD26" s="30">
        <v>16</v>
      </c>
      <c r="AE26" s="30" t="s">
        <v>423</v>
      </c>
      <c r="AF26" s="30" t="s">
        <v>60</v>
      </c>
      <c r="AG26" s="30" t="s">
        <v>61</v>
      </c>
      <c r="AH26" s="30" t="s">
        <v>60</v>
      </c>
      <c r="AI26" s="30" t="s">
        <v>61</v>
      </c>
      <c r="AJ26" s="30" t="s">
        <v>306</v>
      </c>
      <c r="AK26" s="31"/>
    </row>
    <row r="27" spans="1:37" ht="17.75" customHeight="1">
      <c r="A27" s="3" t="s">
        <v>424</v>
      </c>
      <c r="B27" s="3" t="s">
        <v>425</v>
      </c>
      <c r="C27" s="3" t="s">
        <v>426</v>
      </c>
      <c r="D27" s="3" t="s">
        <v>427</v>
      </c>
      <c r="E27" s="3" t="s">
        <v>39</v>
      </c>
      <c r="F27" s="3" t="s">
        <v>137</v>
      </c>
      <c r="G27" s="8" t="s">
        <v>61</v>
      </c>
      <c r="H27" s="10">
        <v>0</v>
      </c>
      <c r="I27" s="8" t="s">
        <v>61</v>
      </c>
      <c r="J27" s="10">
        <v>0</v>
      </c>
      <c r="K27" s="8" t="s">
        <v>61</v>
      </c>
      <c r="L27" s="8"/>
      <c r="M27" s="8" t="s">
        <v>60</v>
      </c>
      <c r="N27" s="8" t="s">
        <v>64</v>
      </c>
      <c r="O27" s="3" t="s">
        <v>272</v>
      </c>
      <c r="P27" s="3" t="s">
        <v>428</v>
      </c>
      <c r="Q27" s="3" t="s">
        <v>429</v>
      </c>
      <c r="R27" s="3" t="s">
        <v>430</v>
      </c>
      <c r="S27" s="8" t="s">
        <v>60</v>
      </c>
      <c r="T27" s="3" t="s">
        <v>431</v>
      </c>
      <c r="U27" s="3"/>
      <c r="V27" s="3" t="s">
        <v>143</v>
      </c>
      <c r="W27" s="3" t="s">
        <v>144</v>
      </c>
      <c r="X27" s="3"/>
      <c r="Y27" s="3" t="s">
        <v>432</v>
      </c>
      <c r="Z27" s="3" t="s">
        <v>433</v>
      </c>
      <c r="AA27" s="4" t="s">
        <v>147</v>
      </c>
      <c r="AC27" s="30" t="s">
        <v>434</v>
      </c>
      <c r="AD27" s="30">
        <v>17</v>
      </c>
      <c r="AE27" s="30" t="s">
        <v>435</v>
      </c>
      <c r="AF27" s="30" t="s">
        <v>60</v>
      </c>
      <c r="AG27" s="30" t="s">
        <v>61</v>
      </c>
      <c r="AH27" s="30" t="s">
        <v>60</v>
      </c>
      <c r="AI27" s="30" t="s">
        <v>61</v>
      </c>
      <c r="AJ27" s="30" t="s">
        <v>306</v>
      </c>
      <c r="AK27" s="31" t="s">
        <v>436</v>
      </c>
    </row>
    <row r="28" spans="1:37" ht="17.75" customHeight="1">
      <c r="A28" s="5" t="s">
        <v>437</v>
      </c>
      <c r="B28" s="5" t="s">
        <v>438</v>
      </c>
      <c r="C28" s="5" t="s">
        <v>439</v>
      </c>
      <c r="D28" s="5" t="s">
        <v>440</v>
      </c>
      <c r="E28" s="5" t="s">
        <v>39</v>
      </c>
      <c r="F28" s="5" t="s">
        <v>137</v>
      </c>
      <c r="G28" s="7" t="s">
        <v>60</v>
      </c>
      <c r="H28" s="9">
        <v>1</v>
      </c>
      <c r="I28" s="7" t="s">
        <v>60</v>
      </c>
      <c r="J28" s="9">
        <v>1</v>
      </c>
      <c r="K28" s="7" t="s">
        <v>60</v>
      </c>
      <c r="L28" s="7"/>
      <c r="M28" s="7" t="s">
        <v>60</v>
      </c>
      <c r="N28" s="7" t="s">
        <v>64</v>
      </c>
      <c r="O28" s="5" t="s">
        <v>441</v>
      </c>
      <c r="P28" s="5" t="s">
        <v>442</v>
      </c>
      <c r="Q28" s="5" t="s">
        <v>443</v>
      </c>
      <c r="R28" s="5" t="s">
        <v>444</v>
      </c>
      <c r="S28" s="7" t="s">
        <v>60</v>
      </c>
      <c r="T28" s="5" t="s">
        <v>142</v>
      </c>
      <c r="U28" s="5"/>
      <c r="V28" s="5" t="s">
        <v>143</v>
      </c>
      <c r="W28" s="5" t="s">
        <v>144</v>
      </c>
      <c r="X28" s="5"/>
      <c r="Y28" s="5" t="s">
        <v>445</v>
      </c>
      <c r="Z28" s="5" t="s">
        <v>446</v>
      </c>
      <c r="AA28" s="6" t="s">
        <v>147</v>
      </c>
      <c r="AC28" s="30" t="s">
        <v>447</v>
      </c>
      <c r="AD28" s="30">
        <v>18</v>
      </c>
      <c r="AE28" s="30" t="s">
        <v>448</v>
      </c>
      <c r="AF28" s="30" t="s">
        <v>60</v>
      </c>
      <c r="AG28" s="30" t="s">
        <v>61</v>
      </c>
      <c r="AH28" s="30" t="s">
        <v>60</v>
      </c>
      <c r="AI28" s="30" t="s">
        <v>61</v>
      </c>
      <c r="AJ28" s="30" t="s">
        <v>306</v>
      </c>
      <c r="AK28" s="31"/>
    </row>
    <row r="29" spans="1:37" ht="17.75" customHeight="1">
      <c r="A29" s="3" t="s">
        <v>449</v>
      </c>
      <c r="B29" s="3" t="s">
        <v>450</v>
      </c>
      <c r="C29" s="3" t="s">
        <v>451</v>
      </c>
      <c r="D29" s="3" t="s">
        <v>452</v>
      </c>
      <c r="E29" s="3" t="s">
        <v>39</v>
      </c>
      <c r="F29" s="3" t="s">
        <v>137</v>
      </c>
      <c r="G29" s="8" t="s">
        <v>60</v>
      </c>
      <c r="H29" s="10">
        <v>1</v>
      </c>
      <c r="I29" s="8" t="s">
        <v>60</v>
      </c>
      <c r="J29" s="10">
        <v>1</v>
      </c>
      <c r="K29" s="8" t="s">
        <v>60</v>
      </c>
      <c r="L29" s="8"/>
      <c r="M29" s="8" t="s">
        <v>60</v>
      </c>
      <c r="N29" s="8" t="s">
        <v>64</v>
      </c>
      <c r="O29" s="3" t="s">
        <v>312</v>
      </c>
      <c r="P29" s="3" t="s">
        <v>453</v>
      </c>
      <c r="Q29" s="3" t="s">
        <v>454</v>
      </c>
      <c r="R29" s="3" t="s">
        <v>455</v>
      </c>
      <c r="S29" s="8" t="s">
        <v>60</v>
      </c>
      <c r="T29" s="3" t="s">
        <v>142</v>
      </c>
      <c r="U29" s="3"/>
      <c r="V29" s="3" t="s">
        <v>143</v>
      </c>
      <c r="W29" s="3" t="s">
        <v>144</v>
      </c>
      <c r="X29" s="3"/>
      <c r="Y29" s="3" t="s">
        <v>456</v>
      </c>
      <c r="Z29" s="3" t="s">
        <v>457</v>
      </c>
      <c r="AA29" s="4" t="s">
        <v>147</v>
      </c>
      <c r="AC29" s="30" t="s">
        <v>458</v>
      </c>
      <c r="AD29" s="30">
        <v>19</v>
      </c>
      <c r="AE29" s="30" t="s">
        <v>459</v>
      </c>
      <c r="AF29" s="30" t="s">
        <v>60</v>
      </c>
      <c r="AG29" s="30" t="s">
        <v>61</v>
      </c>
      <c r="AH29" s="30" t="s">
        <v>60</v>
      </c>
      <c r="AI29" s="30" t="s">
        <v>61</v>
      </c>
      <c r="AJ29" s="30" t="s">
        <v>306</v>
      </c>
      <c r="AK29" s="31" t="s">
        <v>436</v>
      </c>
    </row>
    <row r="30" spans="1:37" ht="17.75" customHeight="1">
      <c r="A30" s="5" t="s">
        <v>460</v>
      </c>
      <c r="B30" s="5" t="s">
        <v>461</v>
      </c>
      <c r="C30" s="5" t="s">
        <v>462</v>
      </c>
      <c r="D30" s="5" t="s">
        <v>463</v>
      </c>
      <c r="E30" s="5" t="s">
        <v>42</v>
      </c>
      <c r="F30" s="5" t="s">
        <v>464</v>
      </c>
      <c r="G30" s="7" t="s">
        <v>60</v>
      </c>
      <c r="H30" s="9">
        <v>1</v>
      </c>
      <c r="I30" s="7" t="s">
        <v>60</v>
      </c>
      <c r="J30" s="9">
        <v>1</v>
      </c>
      <c r="K30" s="7" t="s">
        <v>60</v>
      </c>
      <c r="L30" s="7"/>
      <c r="M30" s="7"/>
      <c r="N30" s="7" t="s">
        <v>64</v>
      </c>
      <c r="O30" s="5" t="s">
        <v>465</v>
      </c>
      <c r="P30" s="5" t="s">
        <v>466</v>
      </c>
      <c r="Q30" s="5" t="s">
        <v>467</v>
      </c>
      <c r="R30" s="5" t="s">
        <v>468</v>
      </c>
      <c r="S30" s="7" t="s">
        <v>61</v>
      </c>
      <c r="T30" s="5"/>
      <c r="U30" s="5"/>
      <c r="V30" s="5" t="s">
        <v>469</v>
      </c>
      <c r="W30" s="5"/>
      <c r="X30" s="5"/>
      <c r="Y30" s="5" t="s">
        <v>470</v>
      </c>
      <c r="Z30" s="5" t="s">
        <v>471</v>
      </c>
      <c r="AA30" s="6" t="s">
        <v>147</v>
      </c>
      <c r="AC30" s="30" t="s">
        <v>472</v>
      </c>
      <c r="AD30" s="30">
        <v>20</v>
      </c>
      <c r="AE30" s="30" t="s">
        <v>473</v>
      </c>
      <c r="AF30" s="30" t="s">
        <v>60</v>
      </c>
      <c r="AG30" s="30" t="s">
        <v>61</v>
      </c>
      <c r="AH30" s="30" t="s">
        <v>60</v>
      </c>
      <c r="AI30" s="30" t="s">
        <v>61</v>
      </c>
      <c r="AJ30" s="30" t="s">
        <v>306</v>
      </c>
      <c r="AK30" s="31" t="s">
        <v>436</v>
      </c>
    </row>
    <row r="31" spans="1:37" ht="24" customHeight="1">
      <c r="A31" s="3" t="s">
        <v>474</v>
      </c>
      <c r="B31" s="3" t="s">
        <v>475</v>
      </c>
      <c r="C31" s="3" t="s">
        <v>136</v>
      </c>
      <c r="D31" s="3" t="s">
        <v>476</v>
      </c>
      <c r="E31" s="3" t="s">
        <v>42</v>
      </c>
      <c r="F31" s="3" t="s">
        <v>464</v>
      </c>
      <c r="G31" s="8" t="s">
        <v>60</v>
      </c>
      <c r="H31" s="10">
        <v>1</v>
      </c>
      <c r="I31" s="8" t="s">
        <v>60</v>
      </c>
      <c r="J31" s="10">
        <v>1</v>
      </c>
      <c r="K31" s="8" t="s">
        <v>60</v>
      </c>
      <c r="L31" s="8"/>
      <c r="M31" s="8" t="s">
        <v>60</v>
      </c>
      <c r="N31" s="8" t="s">
        <v>64</v>
      </c>
      <c r="O31" s="3" t="s">
        <v>181</v>
      </c>
      <c r="P31" s="3" t="s">
        <v>477</v>
      </c>
      <c r="Q31" s="3" t="s">
        <v>478</v>
      </c>
      <c r="R31" s="3" t="s">
        <v>479</v>
      </c>
      <c r="S31" s="8" t="s">
        <v>60</v>
      </c>
      <c r="T31" s="3" t="s">
        <v>142</v>
      </c>
      <c r="U31" s="3"/>
      <c r="V31" s="3" t="s">
        <v>143</v>
      </c>
      <c r="W31" s="3" t="s">
        <v>144</v>
      </c>
      <c r="X31" s="3"/>
      <c r="Y31" s="3" t="s">
        <v>480</v>
      </c>
      <c r="Z31" s="3" t="s">
        <v>481</v>
      </c>
      <c r="AA31" s="4" t="s">
        <v>147</v>
      </c>
      <c r="AC31" s="30" t="s">
        <v>482</v>
      </c>
      <c r="AD31" s="30">
        <v>3</v>
      </c>
      <c r="AE31" s="30" t="s">
        <v>483</v>
      </c>
      <c r="AF31" s="30"/>
      <c r="AG31" s="30" t="s">
        <v>61</v>
      </c>
      <c r="AH31" s="30" t="s">
        <v>61</v>
      </c>
      <c r="AI31" s="30" t="s">
        <v>61</v>
      </c>
      <c r="AJ31" s="30" t="s">
        <v>484</v>
      </c>
      <c r="AK31" s="31" t="s">
        <v>485</v>
      </c>
    </row>
    <row r="32" spans="1:37" ht="24" customHeight="1">
      <c r="A32" s="5" t="s">
        <v>486</v>
      </c>
      <c r="B32" s="5" t="s">
        <v>487</v>
      </c>
      <c r="C32" s="5" t="s">
        <v>199</v>
      </c>
      <c r="D32" s="5" t="s">
        <v>488</v>
      </c>
      <c r="E32" s="5" t="s">
        <v>42</v>
      </c>
      <c r="F32" s="5" t="s">
        <v>464</v>
      </c>
      <c r="G32" s="7" t="s">
        <v>60</v>
      </c>
      <c r="H32" s="9">
        <v>1</v>
      </c>
      <c r="I32" s="7" t="s">
        <v>60</v>
      </c>
      <c r="J32" s="9">
        <v>1</v>
      </c>
      <c r="K32" s="7" t="s">
        <v>60</v>
      </c>
      <c r="L32" s="7"/>
      <c r="M32" s="7" t="s">
        <v>60</v>
      </c>
      <c r="N32" s="7" t="s">
        <v>64</v>
      </c>
      <c r="O32" s="5" t="s">
        <v>161</v>
      </c>
      <c r="P32" s="5" t="s">
        <v>489</v>
      </c>
      <c r="Q32" s="5" t="s">
        <v>490</v>
      </c>
      <c r="R32" s="5" t="s">
        <v>491</v>
      </c>
      <c r="S32" s="7" t="s">
        <v>60</v>
      </c>
      <c r="T32" s="5" t="s">
        <v>142</v>
      </c>
      <c r="U32" s="5"/>
      <c r="V32" s="5" t="s">
        <v>143</v>
      </c>
      <c r="W32" s="5" t="s">
        <v>144</v>
      </c>
      <c r="X32" s="5" t="s">
        <v>492</v>
      </c>
      <c r="Y32" s="5" t="s">
        <v>493</v>
      </c>
      <c r="Z32" s="5" t="s">
        <v>494</v>
      </c>
      <c r="AA32" s="6" t="s">
        <v>147</v>
      </c>
      <c r="AC32" s="32" t="s">
        <v>495</v>
      </c>
      <c r="AD32" s="32">
        <v>4</v>
      </c>
      <c r="AE32" s="32" t="s">
        <v>496</v>
      </c>
      <c r="AF32" s="32"/>
      <c r="AG32" s="32" t="s">
        <v>60</v>
      </c>
      <c r="AH32" s="32" t="s">
        <v>61</v>
      </c>
      <c r="AI32" s="32" t="s">
        <v>60</v>
      </c>
      <c r="AJ32" s="32" t="s">
        <v>497</v>
      </c>
      <c r="AK32" s="33" t="s">
        <v>498</v>
      </c>
    </row>
    <row r="33" spans="1:40" ht="21.4" customHeight="1">
      <c r="A33" s="3" t="s">
        <v>499</v>
      </c>
      <c r="B33" s="3" t="s">
        <v>500</v>
      </c>
      <c r="C33" s="3" t="s">
        <v>501</v>
      </c>
      <c r="D33" s="3" t="s">
        <v>502</v>
      </c>
      <c r="E33" s="3" t="s">
        <v>45</v>
      </c>
      <c r="F33" s="3" t="s">
        <v>45</v>
      </c>
      <c r="G33" s="8" t="s">
        <v>61</v>
      </c>
      <c r="H33" s="10">
        <v>0</v>
      </c>
      <c r="I33" s="8" t="s">
        <v>61</v>
      </c>
      <c r="J33" s="10">
        <v>0</v>
      </c>
      <c r="K33" s="8" t="s">
        <v>61</v>
      </c>
      <c r="L33" s="8"/>
      <c r="M33" s="8"/>
      <c r="N33" s="8" t="s">
        <v>64</v>
      </c>
      <c r="O33" s="3" t="s">
        <v>503</v>
      </c>
      <c r="P33" s="3" t="s">
        <v>504</v>
      </c>
      <c r="Q33" s="3" t="s">
        <v>505</v>
      </c>
      <c r="R33" s="3" t="s">
        <v>506</v>
      </c>
      <c r="S33" s="8" t="s">
        <v>60</v>
      </c>
      <c r="T33" s="3" t="s">
        <v>507</v>
      </c>
      <c r="U33" s="3"/>
      <c r="V33" s="3" t="s">
        <v>143</v>
      </c>
      <c r="W33" s="3" t="s">
        <v>144</v>
      </c>
      <c r="X33" s="3"/>
      <c r="Y33" s="3" t="s">
        <v>508</v>
      </c>
      <c r="Z33" s="3" t="s">
        <v>509</v>
      </c>
      <c r="AA33" s="4" t="s">
        <v>147</v>
      </c>
    </row>
    <row r="34" spans="1:40" ht="21.4" customHeight="1">
      <c r="A34" s="5" t="s">
        <v>483</v>
      </c>
      <c r="B34" s="5" t="s">
        <v>482</v>
      </c>
      <c r="C34" s="5" t="s">
        <v>510</v>
      </c>
      <c r="D34" s="5" t="s">
        <v>511</v>
      </c>
      <c r="E34" s="5" t="s">
        <v>45</v>
      </c>
      <c r="F34" s="5" t="s">
        <v>45</v>
      </c>
      <c r="G34" s="7" t="s">
        <v>61</v>
      </c>
      <c r="H34" s="9">
        <v>0</v>
      </c>
      <c r="I34" s="7" t="s">
        <v>61</v>
      </c>
      <c r="J34" s="9">
        <v>0</v>
      </c>
      <c r="K34" s="7"/>
      <c r="L34" s="7" t="s">
        <v>61</v>
      </c>
      <c r="M34" s="7"/>
      <c r="N34" s="7" t="s">
        <v>65</v>
      </c>
      <c r="O34" s="5" t="s">
        <v>512</v>
      </c>
      <c r="P34" s="5" t="s">
        <v>513</v>
      </c>
      <c r="Q34" s="5" t="s">
        <v>514</v>
      </c>
      <c r="R34" s="5" t="s">
        <v>515</v>
      </c>
      <c r="S34" s="7" t="s">
        <v>60</v>
      </c>
      <c r="T34" s="5" t="s">
        <v>516</v>
      </c>
      <c r="U34" s="5" t="s">
        <v>484</v>
      </c>
      <c r="V34" s="5" t="s">
        <v>469</v>
      </c>
      <c r="W34" s="5" t="s">
        <v>517</v>
      </c>
      <c r="X34" s="5"/>
      <c r="Y34" s="5" t="s">
        <v>518</v>
      </c>
      <c r="Z34" s="5" t="s">
        <v>519</v>
      </c>
      <c r="AA34" s="6" t="s">
        <v>520</v>
      </c>
    </row>
    <row r="35" spans="1:40" ht="21.4" customHeight="1">
      <c r="A35" s="3" t="s">
        <v>496</v>
      </c>
      <c r="B35" s="3" t="s">
        <v>495</v>
      </c>
      <c r="C35" s="3" t="s">
        <v>462</v>
      </c>
      <c r="D35" s="3" t="s">
        <v>521</v>
      </c>
      <c r="E35" s="3" t="s">
        <v>45</v>
      </c>
      <c r="F35" s="3" t="s">
        <v>45</v>
      </c>
      <c r="G35" s="8" t="s">
        <v>61</v>
      </c>
      <c r="H35" s="10">
        <v>0</v>
      </c>
      <c r="I35" s="8" t="s">
        <v>60</v>
      </c>
      <c r="J35" s="10">
        <v>1</v>
      </c>
      <c r="K35" s="8"/>
      <c r="L35" s="8" t="s">
        <v>60</v>
      </c>
      <c r="M35" s="8"/>
      <c r="N35" s="8" t="s">
        <v>65</v>
      </c>
      <c r="O35" s="3" t="s">
        <v>522</v>
      </c>
      <c r="P35" s="3" t="s">
        <v>523</v>
      </c>
      <c r="Q35" s="3" t="s">
        <v>524</v>
      </c>
      <c r="R35" s="3" t="s">
        <v>525</v>
      </c>
      <c r="S35" s="8" t="s">
        <v>60</v>
      </c>
      <c r="T35" s="3" t="s">
        <v>526</v>
      </c>
      <c r="U35" s="3" t="s">
        <v>497</v>
      </c>
      <c r="V35" s="3" t="s">
        <v>469</v>
      </c>
      <c r="W35" s="3" t="s">
        <v>517</v>
      </c>
      <c r="X35" s="3"/>
      <c r="Y35" s="3" t="s">
        <v>527</v>
      </c>
      <c r="Z35" s="3" t="s">
        <v>528</v>
      </c>
      <c r="AA35" s="4" t="s">
        <v>520</v>
      </c>
      <c r="AC35" s="44" t="s">
        <v>529</v>
      </c>
      <c r="AD35" s="44"/>
      <c r="AE35" s="44"/>
      <c r="AF35" s="44"/>
      <c r="AG35" s="44"/>
      <c r="AH35" s="44"/>
      <c r="AI35" s="44"/>
      <c r="AJ35" s="44"/>
      <c r="AK35" s="44"/>
      <c r="AL35" s="44"/>
      <c r="AM35" s="44"/>
      <c r="AN35" s="45"/>
    </row>
    <row r="36" spans="1:40" ht="21.4" customHeight="1">
      <c r="A36" s="5" t="s">
        <v>305</v>
      </c>
      <c r="B36" s="5" t="s">
        <v>304</v>
      </c>
      <c r="C36" s="5" t="s">
        <v>159</v>
      </c>
      <c r="D36" s="5" t="s">
        <v>530</v>
      </c>
      <c r="E36" s="5" t="s">
        <v>45</v>
      </c>
      <c r="F36" s="5" t="s">
        <v>45</v>
      </c>
      <c r="G36" s="7" t="s">
        <v>60</v>
      </c>
      <c r="H36" s="9">
        <v>1</v>
      </c>
      <c r="I36" s="7" t="s">
        <v>61</v>
      </c>
      <c r="J36" s="9">
        <v>0</v>
      </c>
      <c r="K36" s="7"/>
      <c r="L36" s="7" t="s">
        <v>61</v>
      </c>
      <c r="M36" s="7"/>
      <c r="N36" s="7" t="s">
        <v>65</v>
      </c>
      <c r="O36" s="5" t="s">
        <v>531</v>
      </c>
      <c r="P36" s="5" t="s">
        <v>532</v>
      </c>
      <c r="Q36" s="5" t="s">
        <v>533</v>
      </c>
      <c r="R36" s="5" t="s">
        <v>534</v>
      </c>
      <c r="S36" s="7" t="s">
        <v>60</v>
      </c>
      <c r="T36" s="5" t="s">
        <v>535</v>
      </c>
      <c r="U36" s="5" t="s">
        <v>306</v>
      </c>
      <c r="V36" s="5" t="s">
        <v>536</v>
      </c>
      <c r="W36" s="5" t="s">
        <v>537</v>
      </c>
      <c r="X36" s="5" t="s">
        <v>538</v>
      </c>
      <c r="Y36" s="5" t="s">
        <v>539</v>
      </c>
      <c r="Z36" s="5" t="s">
        <v>540</v>
      </c>
      <c r="AA36" s="6" t="s">
        <v>147</v>
      </c>
      <c r="AC36" s="34" t="s">
        <v>541</v>
      </c>
      <c r="AD36" s="34" t="s">
        <v>4</v>
      </c>
      <c r="AE36" s="34" t="s">
        <v>542</v>
      </c>
      <c r="AF36" s="34" t="s">
        <v>543</v>
      </c>
      <c r="AG36" s="34" t="s">
        <v>544</v>
      </c>
      <c r="AH36" s="34" t="s">
        <v>545</v>
      </c>
      <c r="AI36" s="34" t="s">
        <v>546</v>
      </c>
      <c r="AJ36" s="34" t="s">
        <v>289</v>
      </c>
      <c r="AK36" s="34" t="s">
        <v>547</v>
      </c>
      <c r="AL36" s="34" t="s">
        <v>548</v>
      </c>
      <c r="AM36" s="34" t="s">
        <v>25</v>
      </c>
      <c r="AN36" s="34" t="s">
        <v>549</v>
      </c>
    </row>
    <row r="37" spans="1:40" ht="21.4" customHeight="1">
      <c r="A37" s="3" t="s">
        <v>381</v>
      </c>
      <c r="B37" s="3" t="s">
        <v>550</v>
      </c>
      <c r="C37" s="3" t="s">
        <v>551</v>
      </c>
      <c r="D37" s="3" t="s">
        <v>552</v>
      </c>
      <c r="E37" s="3" t="s">
        <v>45</v>
      </c>
      <c r="F37" s="3" t="s">
        <v>45</v>
      </c>
      <c r="G37" s="8" t="s">
        <v>61</v>
      </c>
      <c r="H37" s="10">
        <v>0</v>
      </c>
      <c r="I37" s="8" t="s">
        <v>61</v>
      </c>
      <c r="J37" s="10">
        <v>0</v>
      </c>
      <c r="K37" s="8" t="s">
        <v>61</v>
      </c>
      <c r="L37" s="8" t="s">
        <v>61</v>
      </c>
      <c r="M37" s="8" t="s">
        <v>60</v>
      </c>
      <c r="N37" s="8" t="s">
        <v>64</v>
      </c>
      <c r="O37" s="3" t="s">
        <v>553</v>
      </c>
      <c r="P37" s="3" t="s">
        <v>554</v>
      </c>
      <c r="Q37" s="3" t="s">
        <v>555</v>
      </c>
      <c r="R37" s="3" t="s">
        <v>556</v>
      </c>
      <c r="S37" s="8" t="s">
        <v>60</v>
      </c>
      <c r="T37" s="3" t="s">
        <v>557</v>
      </c>
      <c r="U37" s="3" t="s">
        <v>382</v>
      </c>
      <c r="V37" s="3" t="s">
        <v>558</v>
      </c>
      <c r="W37" s="3" t="s">
        <v>559</v>
      </c>
      <c r="X37" s="3"/>
      <c r="Y37" s="3" t="s">
        <v>560</v>
      </c>
      <c r="Z37" s="3" t="s">
        <v>561</v>
      </c>
      <c r="AA37" s="4" t="s">
        <v>147</v>
      </c>
      <c r="AC37" s="30" t="s">
        <v>562</v>
      </c>
      <c r="AD37" s="30" t="s">
        <v>45</v>
      </c>
      <c r="AE37" s="30" t="s">
        <v>380</v>
      </c>
      <c r="AF37" s="30" t="s">
        <v>563</v>
      </c>
      <c r="AG37" s="30" t="s">
        <v>564</v>
      </c>
      <c r="AH37" s="30" t="s">
        <v>565</v>
      </c>
      <c r="AI37" s="30" t="s">
        <v>566</v>
      </c>
      <c r="AJ37" s="30" t="s">
        <v>381</v>
      </c>
      <c r="AK37" s="30" t="s">
        <v>60</v>
      </c>
      <c r="AL37" s="30" t="s">
        <v>65</v>
      </c>
      <c r="AM37" s="30" t="s">
        <v>567</v>
      </c>
      <c r="AN37" s="31" t="s">
        <v>568</v>
      </c>
    </row>
    <row r="38" spans="1:40" ht="21.4" customHeight="1">
      <c r="A38" s="5" t="s">
        <v>321</v>
      </c>
      <c r="B38" s="5" t="s">
        <v>344</v>
      </c>
      <c r="C38" s="5" t="s">
        <v>569</v>
      </c>
      <c r="D38" s="5" t="s">
        <v>570</v>
      </c>
      <c r="E38" s="5" t="s">
        <v>45</v>
      </c>
      <c r="F38" s="5" t="s">
        <v>45</v>
      </c>
      <c r="G38" s="7" t="s">
        <v>61</v>
      </c>
      <c r="H38" s="9">
        <v>0</v>
      </c>
      <c r="I38" s="7" t="s">
        <v>61</v>
      </c>
      <c r="J38" s="9">
        <v>0</v>
      </c>
      <c r="K38" s="7"/>
      <c r="L38" s="7" t="s">
        <v>61</v>
      </c>
      <c r="M38" s="7"/>
      <c r="N38" s="7" t="s">
        <v>65</v>
      </c>
      <c r="O38" s="5" t="s">
        <v>571</v>
      </c>
      <c r="P38" s="5" t="s">
        <v>572</v>
      </c>
      <c r="Q38" s="5" t="s">
        <v>573</v>
      </c>
      <c r="R38" s="5" t="s">
        <v>574</v>
      </c>
      <c r="S38" s="7" t="s">
        <v>60</v>
      </c>
      <c r="T38" s="5" t="s">
        <v>575</v>
      </c>
      <c r="U38" s="5" t="s">
        <v>322</v>
      </c>
      <c r="V38" s="5" t="s">
        <v>174</v>
      </c>
      <c r="W38" s="5" t="s">
        <v>576</v>
      </c>
      <c r="X38" s="5"/>
      <c r="Y38" s="5" t="s">
        <v>577</v>
      </c>
      <c r="Z38" s="5" t="s">
        <v>578</v>
      </c>
      <c r="AA38" s="6" t="s">
        <v>147</v>
      </c>
      <c r="AC38" s="30" t="s">
        <v>579</v>
      </c>
      <c r="AD38" s="30" t="s">
        <v>45</v>
      </c>
      <c r="AE38" s="30" t="s">
        <v>580</v>
      </c>
      <c r="AF38" s="30" t="s">
        <v>563</v>
      </c>
      <c r="AG38" s="30" t="s">
        <v>581</v>
      </c>
      <c r="AH38" s="30" t="s">
        <v>565</v>
      </c>
      <c r="AI38" s="30" t="s">
        <v>582</v>
      </c>
      <c r="AJ38" s="30" t="s">
        <v>381</v>
      </c>
      <c r="AK38" s="30" t="s">
        <v>60</v>
      </c>
      <c r="AL38" s="30" t="s">
        <v>66</v>
      </c>
      <c r="AM38" s="30" t="s">
        <v>583</v>
      </c>
      <c r="AN38" s="31"/>
    </row>
    <row r="39" spans="1:40" ht="21.4" customHeight="1">
      <c r="A39" s="3" t="s">
        <v>357</v>
      </c>
      <c r="B39" s="3" t="s">
        <v>356</v>
      </c>
      <c r="C39" s="3" t="s">
        <v>569</v>
      </c>
      <c r="D39" s="3" t="s">
        <v>584</v>
      </c>
      <c r="E39" s="3" t="s">
        <v>45</v>
      </c>
      <c r="F39" s="3" t="s">
        <v>45</v>
      </c>
      <c r="G39" s="8" t="s">
        <v>60</v>
      </c>
      <c r="H39" s="10">
        <v>1</v>
      </c>
      <c r="I39" s="8" t="s">
        <v>61</v>
      </c>
      <c r="J39" s="10">
        <v>0</v>
      </c>
      <c r="K39" s="8"/>
      <c r="L39" s="8" t="s">
        <v>61</v>
      </c>
      <c r="M39" s="8"/>
      <c r="N39" s="8" t="s">
        <v>65</v>
      </c>
      <c r="O39" s="3" t="s">
        <v>571</v>
      </c>
      <c r="P39" s="3" t="s">
        <v>585</v>
      </c>
      <c r="Q39" s="3" t="s">
        <v>586</v>
      </c>
      <c r="R39" s="3" t="s">
        <v>574</v>
      </c>
      <c r="S39" s="8" t="s">
        <v>60</v>
      </c>
      <c r="T39" s="3" t="s">
        <v>587</v>
      </c>
      <c r="U39" s="3" t="s">
        <v>306</v>
      </c>
      <c r="V39" s="3" t="s">
        <v>143</v>
      </c>
      <c r="W39" s="3" t="s">
        <v>588</v>
      </c>
      <c r="X39" s="3"/>
      <c r="Y39" s="3" t="s">
        <v>589</v>
      </c>
      <c r="Z39" s="3" t="s">
        <v>590</v>
      </c>
      <c r="AA39" s="4" t="s">
        <v>147</v>
      </c>
      <c r="AC39" s="30" t="s">
        <v>591</v>
      </c>
      <c r="AD39" s="30" t="s">
        <v>45</v>
      </c>
      <c r="AE39" s="30" t="s">
        <v>592</v>
      </c>
      <c r="AF39" s="30" t="s">
        <v>593</v>
      </c>
      <c r="AG39" s="30" t="s">
        <v>594</v>
      </c>
      <c r="AH39" s="30" t="s">
        <v>565</v>
      </c>
      <c r="AI39" s="30" t="s">
        <v>595</v>
      </c>
      <c r="AJ39" s="30" t="s">
        <v>435</v>
      </c>
      <c r="AK39" s="30" t="s">
        <v>60</v>
      </c>
      <c r="AL39" s="30" t="s">
        <v>66</v>
      </c>
      <c r="AM39" s="30" t="s">
        <v>596</v>
      </c>
      <c r="AN39" s="31"/>
    </row>
    <row r="40" spans="1:40" ht="21.4" customHeight="1">
      <c r="A40" s="5" t="s">
        <v>368</v>
      </c>
      <c r="B40" s="5" t="s">
        <v>367</v>
      </c>
      <c r="C40" s="5" t="s">
        <v>569</v>
      </c>
      <c r="D40" s="5" t="s">
        <v>597</v>
      </c>
      <c r="E40" s="5" t="s">
        <v>45</v>
      </c>
      <c r="F40" s="5" t="s">
        <v>45</v>
      </c>
      <c r="G40" s="7" t="s">
        <v>60</v>
      </c>
      <c r="H40" s="9">
        <v>1</v>
      </c>
      <c r="I40" s="7" t="s">
        <v>61</v>
      </c>
      <c r="J40" s="9">
        <v>0</v>
      </c>
      <c r="K40" s="7"/>
      <c r="L40" s="7" t="s">
        <v>61</v>
      </c>
      <c r="M40" s="7"/>
      <c r="N40" s="7" t="s">
        <v>65</v>
      </c>
      <c r="O40" s="5" t="s">
        <v>571</v>
      </c>
      <c r="P40" s="5" t="s">
        <v>598</v>
      </c>
      <c r="Q40" s="5" t="s">
        <v>599</v>
      </c>
      <c r="R40" s="5" t="s">
        <v>574</v>
      </c>
      <c r="S40" s="7" t="s">
        <v>60</v>
      </c>
      <c r="T40" s="5" t="s">
        <v>600</v>
      </c>
      <c r="U40" s="5" t="s">
        <v>306</v>
      </c>
      <c r="V40" s="5" t="s">
        <v>143</v>
      </c>
      <c r="W40" s="5" t="s">
        <v>588</v>
      </c>
      <c r="X40" s="5"/>
      <c r="Y40" s="5" t="s">
        <v>601</v>
      </c>
      <c r="Z40" s="5" t="s">
        <v>602</v>
      </c>
      <c r="AA40" s="6" t="s">
        <v>147</v>
      </c>
      <c r="AC40" s="30" t="s">
        <v>603</v>
      </c>
      <c r="AD40" s="30" t="s">
        <v>45</v>
      </c>
      <c r="AE40" s="30" t="s">
        <v>604</v>
      </c>
      <c r="AF40" s="30" t="s">
        <v>605</v>
      </c>
      <c r="AG40" s="30" t="s">
        <v>606</v>
      </c>
      <c r="AH40" s="30" t="s">
        <v>565</v>
      </c>
      <c r="AI40" s="30" t="s">
        <v>607</v>
      </c>
      <c r="AJ40" s="30" t="s">
        <v>459</v>
      </c>
      <c r="AK40" s="30" t="s">
        <v>60</v>
      </c>
      <c r="AL40" s="30" t="s">
        <v>66</v>
      </c>
      <c r="AM40" s="30" t="s">
        <v>608</v>
      </c>
      <c r="AN40" s="31"/>
    </row>
    <row r="41" spans="1:40" ht="21.4" customHeight="1">
      <c r="A41" s="3" t="s">
        <v>397</v>
      </c>
      <c r="B41" s="3" t="s">
        <v>396</v>
      </c>
      <c r="C41" s="3" t="s">
        <v>563</v>
      </c>
      <c r="D41" s="3" t="s">
        <v>609</v>
      </c>
      <c r="E41" s="3" t="s">
        <v>45</v>
      </c>
      <c r="F41" s="3" t="s">
        <v>45</v>
      </c>
      <c r="G41" s="8" t="s">
        <v>60</v>
      </c>
      <c r="H41" s="10">
        <v>1</v>
      </c>
      <c r="I41" s="8" t="s">
        <v>61</v>
      </c>
      <c r="J41" s="10">
        <v>0</v>
      </c>
      <c r="K41" s="8"/>
      <c r="L41" s="8" t="s">
        <v>61</v>
      </c>
      <c r="M41" s="8"/>
      <c r="N41" s="8" t="s">
        <v>65</v>
      </c>
      <c r="O41" s="3" t="s">
        <v>571</v>
      </c>
      <c r="P41" s="3" t="s">
        <v>610</v>
      </c>
      <c r="Q41" s="3" t="s">
        <v>611</v>
      </c>
      <c r="R41" s="3" t="s">
        <v>574</v>
      </c>
      <c r="S41" s="8" t="s">
        <v>60</v>
      </c>
      <c r="T41" s="3" t="s">
        <v>612</v>
      </c>
      <c r="U41" s="3" t="s">
        <v>306</v>
      </c>
      <c r="V41" s="3" t="s">
        <v>143</v>
      </c>
      <c r="W41" s="3" t="s">
        <v>588</v>
      </c>
      <c r="X41" s="3"/>
      <c r="Y41" s="3" t="s">
        <v>613</v>
      </c>
      <c r="Z41" s="3" t="s">
        <v>614</v>
      </c>
      <c r="AA41" s="4" t="s">
        <v>147</v>
      </c>
      <c r="AC41" s="30" t="s">
        <v>615</v>
      </c>
      <c r="AD41" s="30" t="s">
        <v>45</v>
      </c>
      <c r="AE41" s="30" t="s">
        <v>616</v>
      </c>
      <c r="AF41" s="30" t="s">
        <v>617</v>
      </c>
      <c r="AG41" s="30" t="s">
        <v>618</v>
      </c>
      <c r="AH41" s="30" t="s">
        <v>565</v>
      </c>
      <c r="AI41" s="30" t="s">
        <v>619</v>
      </c>
      <c r="AJ41" s="30" t="s">
        <v>473</v>
      </c>
      <c r="AK41" s="30" t="s">
        <v>60</v>
      </c>
      <c r="AL41" s="30" t="s">
        <v>66</v>
      </c>
      <c r="AM41" s="30" t="s">
        <v>620</v>
      </c>
      <c r="AN41" s="31"/>
    </row>
    <row r="42" spans="1:40" ht="21.4" customHeight="1">
      <c r="A42" s="5" t="s">
        <v>621</v>
      </c>
      <c r="B42" s="5" t="s">
        <v>622</v>
      </c>
      <c r="C42" s="5" t="s">
        <v>593</v>
      </c>
      <c r="D42" s="5" t="s">
        <v>623</v>
      </c>
      <c r="E42" s="5" t="s">
        <v>45</v>
      </c>
      <c r="F42" s="5" t="s">
        <v>45</v>
      </c>
      <c r="G42" s="7" t="s">
        <v>61</v>
      </c>
      <c r="H42" s="9">
        <v>0</v>
      </c>
      <c r="I42" s="7" t="s">
        <v>61</v>
      </c>
      <c r="J42" s="9">
        <v>0</v>
      </c>
      <c r="K42" s="7" t="s">
        <v>61</v>
      </c>
      <c r="L42" s="7"/>
      <c r="M42" s="7"/>
      <c r="N42" s="7" t="s">
        <v>64</v>
      </c>
      <c r="O42" s="5" t="s">
        <v>624</v>
      </c>
      <c r="P42" s="5" t="s">
        <v>625</v>
      </c>
      <c r="Q42" s="5" t="s">
        <v>626</v>
      </c>
      <c r="R42" s="5" t="s">
        <v>627</v>
      </c>
      <c r="S42" s="7" t="s">
        <v>60</v>
      </c>
      <c r="T42" s="5" t="s">
        <v>628</v>
      </c>
      <c r="U42" s="5"/>
      <c r="V42" s="5" t="s">
        <v>143</v>
      </c>
      <c r="W42" s="5" t="s">
        <v>144</v>
      </c>
      <c r="X42" s="5"/>
      <c r="Y42" s="5" t="s">
        <v>629</v>
      </c>
      <c r="Z42" s="5" t="s">
        <v>630</v>
      </c>
      <c r="AA42" s="6" t="s">
        <v>147</v>
      </c>
      <c r="AC42" s="30" t="s">
        <v>631</v>
      </c>
      <c r="AD42" s="30" t="s">
        <v>50</v>
      </c>
      <c r="AE42" s="30"/>
      <c r="AF42" s="30"/>
      <c r="AG42" s="30" t="s">
        <v>632</v>
      </c>
      <c r="AH42" s="30" t="s">
        <v>565</v>
      </c>
      <c r="AI42" s="30" t="s">
        <v>633</v>
      </c>
      <c r="AJ42" s="30" t="s">
        <v>634</v>
      </c>
      <c r="AK42" s="30" t="s">
        <v>60</v>
      </c>
      <c r="AL42" s="30" t="s">
        <v>65</v>
      </c>
      <c r="AM42" s="30" t="s">
        <v>635</v>
      </c>
      <c r="AN42" s="31"/>
    </row>
    <row r="43" spans="1:40" ht="21.4" customHeight="1">
      <c r="A43" s="3" t="s">
        <v>423</v>
      </c>
      <c r="B43" s="3" t="s">
        <v>422</v>
      </c>
      <c r="C43" s="3" t="s">
        <v>593</v>
      </c>
      <c r="D43" s="3" t="s">
        <v>636</v>
      </c>
      <c r="E43" s="3" t="s">
        <v>45</v>
      </c>
      <c r="F43" s="3" t="s">
        <v>45</v>
      </c>
      <c r="G43" s="8" t="s">
        <v>60</v>
      </c>
      <c r="H43" s="10">
        <v>1</v>
      </c>
      <c r="I43" s="8" t="s">
        <v>61</v>
      </c>
      <c r="J43" s="10">
        <v>0</v>
      </c>
      <c r="K43" s="8"/>
      <c r="L43" s="8" t="s">
        <v>61</v>
      </c>
      <c r="M43" s="8"/>
      <c r="N43" s="8" t="s">
        <v>65</v>
      </c>
      <c r="O43" s="3" t="s">
        <v>571</v>
      </c>
      <c r="P43" s="3" t="s">
        <v>637</v>
      </c>
      <c r="Q43" s="3" t="s">
        <v>638</v>
      </c>
      <c r="R43" s="3" t="s">
        <v>574</v>
      </c>
      <c r="S43" s="8" t="s">
        <v>60</v>
      </c>
      <c r="T43" s="3" t="s">
        <v>639</v>
      </c>
      <c r="U43" s="3" t="s">
        <v>306</v>
      </c>
      <c r="V43" s="3" t="s">
        <v>143</v>
      </c>
      <c r="W43" s="3" t="s">
        <v>588</v>
      </c>
      <c r="X43" s="3"/>
      <c r="Y43" s="3" t="s">
        <v>640</v>
      </c>
      <c r="Z43" s="3" t="s">
        <v>641</v>
      </c>
      <c r="AA43" s="4" t="s">
        <v>147</v>
      </c>
      <c r="AC43" s="30" t="s">
        <v>642</v>
      </c>
      <c r="AD43" s="30" t="s">
        <v>45</v>
      </c>
      <c r="AE43" s="30" t="s">
        <v>550</v>
      </c>
      <c r="AF43" s="30" t="s">
        <v>551</v>
      </c>
      <c r="AG43" s="30" t="s">
        <v>643</v>
      </c>
      <c r="AH43" s="30" t="s">
        <v>644</v>
      </c>
      <c r="AI43" s="30" t="s">
        <v>645</v>
      </c>
      <c r="AJ43" s="30" t="s">
        <v>381</v>
      </c>
      <c r="AK43" s="30" t="s">
        <v>646</v>
      </c>
      <c r="AL43" s="30" t="s">
        <v>64</v>
      </c>
      <c r="AM43" s="30" t="s">
        <v>647</v>
      </c>
      <c r="AN43" s="31"/>
    </row>
    <row r="44" spans="1:40" ht="21.4" customHeight="1">
      <c r="A44" s="5" t="s">
        <v>435</v>
      </c>
      <c r="B44" s="5" t="s">
        <v>434</v>
      </c>
      <c r="C44" s="5" t="s">
        <v>593</v>
      </c>
      <c r="D44" s="5" t="s">
        <v>648</v>
      </c>
      <c r="E44" s="5" t="s">
        <v>45</v>
      </c>
      <c r="F44" s="5" t="s">
        <v>45</v>
      </c>
      <c r="G44" s="7" t="s">
        <v>60</v>
      </c>
      <c r="H44" s="9">
        <v>1</v>
      </c>
      <c r="I44" s="7" t="s">
        <v>61</v>
      </c>
      <c r="J44" s="9">
        <v>0</v>
      </c>
      <c r="K44" s="7"/>
      <c r="L44" s="7" t="s">
        <v>61</v>
      </c>
      <c r="M44" s="7" t="s">
        <v>60</v>
      </c>
      <c r="N44" s="7" t="s">
        <v>65</v>
      </c>
      <c r="O44" s="5" t="s">
        <v>571</v>
      </c>
      <c r="P44" s="5" t="s">
        <v>649</v>
      </c>
      <c r="Q44" s="5" t="s">
        <v>650</v>
      </c>
      <c r="R44" s="5" t="s">
        <v>574</v>
      </c>
      <c r="S44" s="7" t="s">
        <v>60</v>
      </c>
      <c r="T44" s="5" t="s">
        <v>651</v>
      </c>
      <c r="U44" s="5" t="s">
        <v>306</v>
      </c>
      <c r="V44" s="5" t="s">
        <v>652</v>
      </c>
      <c r="W44" s="5" t="s">
        <v>653</v>
      </c>
      <c r="X44" s="5"/>
      <c r="Y44" s="5" t="s">
        <v>654</v>
      </c>
      <c r="Z44" s="5" t="s">
        <v>655</v>
      </c>
      <c r="AA44" s="6" t="s">
        <v>147</v>
      </c>
      <c r="AC44" s="30" t="s">
        <v>656</v>
      </c>
      <c r="AD44" s="30" t="s">
        <v>45</v>
      </c>
      <c r="AE44" s="30" t="s">
        <v>320</v>
      </c>
      <c r="AF44" s="30" t="s">
        <v>569</v>
      </c>
      <c r="AG44" s="30" t="s">
        <v>657</v>
      </c>
      <c r="AH44" s="30" t="s">
        <v>644</v>
      </c>
      <c r="AI44" s="30" t="s">
        <v>658</v>
      </c>
      <c r="AJ44" s="30" t="s">
        <v>321</v>
      </c>
      <c r="AK44" s="30" t="s">
        <v>60</v>
      </c>
      <c r="AL44" s="30" t="s">
        <v>65</v>
      </c>
      <c r="AM44" s="30" t="s">
        <v>659</v>
      </c>
      <c r="AN44" s="31" t="s">
        <v>660</v>
      </c>
    </row>
    <row r="45" spans="1:40" ht="21.4" customHeight="1">
      <c r="A45" s="3" t="s">
        <v>409</v>
      </c>
      <c r="B45" s="3" t="s">
        <v>661</v>
      </c>
      <c r="C45" s="3" t="s">
        <v>593</v>
      </c>
      <c r="D45" s="3" t="s">
        <v>662</v>
      </c>
      <c r="E45" s="3" t="s">
        <v>45</v>
      </c>
      <c r="F45" s="3" t="s">
        <v>45</v>
      </c>
      <c r="G45" s="8" t="s">
        <v>61</v>
      </c>
      <c r="H45" s="10">
        <v>0</v>
      </c>
      <c r="I45" s="8" t="s">
        <v>61</v>
      </c>
      <c r="J45" s="10">
        <v>0</v>
      </c>
      <c r="K45" s="8" t="s">
        <v>61</v>
      </c>
      <c r="L45" s="8" t="s">
        <v>61</v>
      </c>
      <c r="M45" s="8"/>
      <c r="N45" s="8" t="s">
        <v>64</v>
      </c>
      <c r="O45" s="3" t="s">
        <v>553</v>
      </c>
      <c r="P45" s="3" t="s">
        <v>663</v>
      </c>
      <c r="Q45" s="3" t="s">
        <v>664</v>
      </c>
      <c r="R45" s="3" t="s">
        <v>665</v>
      </c>
      <c r="S45" s="8" t="s">
        <v>60</v>
      </c>
      <c r="T45" s="3" t="s">
        <v>666</v>
      </c>
      <c r="U45" s="3" t="s">
        <v>410</v>
      </c>
      <c r="V45" s="3" t="s">
        <v>143</v>
      </c>
      <c r="W45" s="3" t="s">
        <v>588</v>
      </c>
      <c r="X45" s="3"/>
      <c r="Y45" s="3" t="s">
        <v>667</v>
      </c>
      <c r="Z45" s="3" t="s">
        <v>668</v>
      </c>
      <c r="AA45" s="4" t="s">
        <v>147</v>
      </c>
      <c r="AC45" s="30" t="s">
        <v>669</v>
      </c>
      <c r="AD45" s="30" t="s">
        <v>45</v>
      </c>
      <c r="AE45" s="30" t="s">
        <v>670</v>
      </c>
      <c r="AF45" s="30" t="s">
        <v>671</v>
      </c>
      <c r="AG45" s="30" t="s">
        <v>672</v>
      </c>
      <c r="AH45" s="30" t="s">
        <v>644</v>
      </c>
      <c r="AI45" s="30" t="s">
        <v>673</v>
      </c>
      <c r="AJ45" s="30" t="s">
        <v>674</v>
      </c>
      <c r="AK45" s="30" t="s">
        <v>60</v>
      </c>
      <c r="AL45" s="30" t="s">
        <v>64</v>
      </c>
      <c r="AM45" s="30" t="s">
        <v>675</v>
      </c>
      <c r="AN45" s="31"/>
    </row>
    <row r="46" spans="1:40" ht="21.4" customHeight="1">
      <c r="A46" s="5" t="s">
        <v>676</v>
      </c>
      <c r="B46" s="5" t="s">
        <v>677</v>
      </c>
      <c r="C46" s="5" t="s">
        <v>678</v>
      </c>
      <c r="D46" s="5" t="s">
        <v>679</v>
      </c>
      <c r="E46" s="5" t="s">
        <v>45</v>
      </c>
      <c r="F46" s="5" t="s">
        <v>45</v>
      </c>
      <c r="G46" s="7" t="s">
        <v>60</v>
      </c>
      <c r="H46" s="9">
        <v>1</v>
      </c>
      <c r="I46" s="7" t="s">
        <v>60</v>
      </c>
      <c r="J46" s="9">
        <v>1</v>
      </c>
      <c r="K46" s="7" t="s">
        <v>60</v>
      </c>
      <c r="L46" s="7"/>
      <c r="M46" s="7"/>
      <c r="N46" s="7" t="s">
        <v>64</v>
      </c>
      <c r="O46" s="5" t="s">
        <v>503</v>
      </c>
      <c r="P46" s="5" t="s">
        <v>680</v>
      </c>
      <c r="Q46" s="5" t="s">
        <v>681</v>
      </c>
      <c r="R46" s="5" t="s">
        <v>682</v>
      </c>
      <c r="S46" s="7" t="s">
        <v>60</v>
      </c>
      <c r="T46" s="5" t="s">
        <v>683</v>
      </c>
      <c r="U46" s="5"/>
      <c r="V46" s="5" t="s">
        <v>143</v>
      </c>
      <c r="W46" s="5" t="s">
        <v>144</v>
      </c>
      <c r="X46" s="5"/>
      <c r="Y46" s="5" t="s">
        <v>684</v>
      </c>
      <c r="Z46" s="5" t="s">
        <v>685</v>
      </c>
      <c r="AA46" s="6" t="s">
        <v>147</v>
      </c>
      <c r="AC46" s="30" t="s">
        <v>686</v>
      </c>
      <c r="AD46" s="30" t="s">
        <v>39</v>
      </c>
      <c r="AE46" s="30" t="s">
        <v>168</v>
      </c>
      <c r="AF46" s="30" t="s">
        <v>159</v>
      </c>
      <c r="AG46" s="30" t="s">
        <v>687</v>
      </c>
      <c r="AH46" s="30" t="s">
        <v>644</v>
      </c>
      <c r="AI46" s="30" t="s">
        <v>688</v>
      </c>
      <c r="AJ46" s="30" t="s">
        <v>167</v>
      </c>
      <c r="AK46" s="30" t="s">
        <v>60</v>
      </c>
      <c r="AL46" s="30" t="s">
        <v>66</v>
      </c>
      <c r="AM46" s="30" t="s">
        <v>689</v>
      </c>
      <c r="AN46" s="31"/>
    </row>
    <row r="47" spans="1:40" ht="21.4" customHeight="1">
      <c r="A47" s="3" t="s">
        <v>448</v>
      </c>
      <c r="B47" s="3" t="s">
        <v>447</v>
      </c>
      <c r="C47" s="3" t="s">
        <v>678</v>
      </c>
      <c r="D47" s="3" t="s">
        <v>690</v>
      </c>
      <c r="E47" s="3" t="s">
        <v>45</v>
      </c>
      <c r="F47" s="3" t="s">
        <v>45</v>
      </c>
      <c r="G47" s="8" t="s">
        <v>60</v>
      </c>
      <c r="H47" s="10">
        <v>1</v>
      </c>
      <c r="I47" s="8" t="s">
        <v>61</v>
      </c>
      <c r="J47" s="10">
        <v>0</v>
      </c>
      <c r="K47" s="8"/>
      <c r="L47" s="8" t="s">
        <v>61</v>
      </c>
      <c r="M47" s="8"/>
      <c r="N47" s="8" t="s">
        <v>65</v>
      </c>
      <c r="O47" s="3" t="s">
        <v>571</v>
      </c>
      <c r="P47" s="3" t="s">
        <v>691</v>
      </c>
      <c r="Q47" s="3" t="s">
        <v>692</v>
      </c>
      <c r="R47" s="3" t="s">
        <v>574</v>
      </c>
      <c r="S47" s="8" t="s">
        <v>60</v>
      </c>
      <c r="T47" s="3" t="s">
        <v>693</v>
      </c>
      <c r="U47" s="3" t="s">
        <v>306</v>
      </c>
      <c r="V47" s="3" t="s">
        <v>143</v>
      </c>
      <c r="W47" s="3" t="s">
        <v>588</v>
      </c>
      <c r="X47" s="3"/>
      <c r="Y47" s="3" t="s">
        <v>694</v>
      </c>
      <c r="Z47" s="3" t="s">
        <v>695</v>
      </c>
      <c r="AA47" s="4" t="s">
        <v>147</v>
      </c>
      <c r="AC47" s="30" t="s">
        <v>696</v>
      </c>
      <c r="AD47" s="30" t="s">
        <v>39</v>
      </c>
      <c r="AE47" s="30" t="s">
        <v>198</v>
      </c>
      <c r="AF47" s="30" t="s">
        <v>199</v>
      </c>
      <c r="AG47" s="30" t="s">
        <v>697</v>
      </c>
      <c r="AH47" s="30" t="s">
        <v>644</v>
      </c>
      <c r="AI47" s="30" t="s">
        <v>698</v>
      </c>
      <c r="AJ47" s="30" t="s">
        <v>197</v>
      </c>
      <c r="AK47" s="30" t="s">
        <v>60</v>
      </c>
      <c r="AL47" s="30" t="s">
        <v>66</v>
      </c>
      <c r="AM47" s="30" t="s">
        <v>699</v>
      </c>
      <c r="AN47" s="31"/>
    </row>
    <row r="48" spans="1:40" ht="21.4" customHeight="1">
      <c r="A48" s="5" t="s">
        <v>674</v>
      </c>
      <c r="B48" s="5" t="s">
        <v>670</v>
      </c>
      <c r="C48" s="5" t="s">
        <v>671</v>
      </c>
      <c r="D48" s="5" t="s">
        <v>700</v>
      </c>
      <c r="E48" s="5" t="s">
        <v>45</v>
      </c>
      <c r="F48" s="5" t="s">
        <v>45</v>
      </c>
      <c r="G48" s="7" t="s">
        <v>60</v>
      </c>
      <c r="H48" s="9">
        <v>1</v>
      </c>
      <c r="I48" s="7" t="s">
        <v>60</v>
      </c>
      <c r="J48" s="9">
        <v>1</v>
      </c>
      <c r="K48" s="7" t="s">
        <v>60</v>
      </c>
      <c r="L48" s="7"/>
      <c r="M48" s="7"/>
      <c r="N48" s="7" t="s">
        <v>64</v>
      </c>
      <c r="O48" s="5" t="s">
        <v>701</v>
      </c>
      <c r="P48" s="5" t="s">
        <v>702</v>
      </c>
      <c r="Q48" s="5" t="s">
        <v>703</v>
      </c>
      <c r="R48" s="5" t="s">
        <v>704</v>
      </c>
      <c r="S48" s="7" t="s">
        <v>61</v>
      </c>
      <c r="T48" s="5"/>
      <c r="U48" s="5"/>
      <c r="V48" s="5" t="s">
        <v>174</v>
      </c>
      <c r="W48" s="5" t="s">
        <v>705</v>
      </c>
      <c r="X48" s="5" t="s">
        <v>706</v>
      </c>
      <c r="Y48" s="5" t="s">
        <v>707</v>
      </c>
      <c r="Z48" s="5" t="s">
        <v>708</v>
      </c>
      <c r="AA48" s="6" t="s">
        <v>147</v>
      </c>
      <c r="AC48" s="30" t="s">
        <v>709</v>
      </c>
      <c r="AD48" s="30" t="s">
        <v>39</v>
      </c>
      <c r="AE48" s="30" t="s">
        <v>309</v>
      </c>
      <c r="AF48" s="30" t="s">
        <v>310</v>
      </c>
      <c r="AG48" s="30" t="s">
        <v>710</v>
      </c>
      <c r="AH48" s="30" t="s">
        <v>644</v>
      </c>
      <c r="AI48" s="30" t="s">
        <v>711</v>
      </c>
      <c r="AJ48" s="30" t="s">
        <v>308</v>
      </c>
      <c r="AK48" s="30" t="s">
        <v>60</v>
      </c>
      <c r="AL48" s="30" t="s">
        <v>66</v>
      </c>
      <c r="AM48" s="30" t="s">
        <v>712</v>
      </c>
      <c r="AN48" s="31"/>
    </row>
    <row r="49" spans="1:40" ht="21.4" customHeight="1">
      <c r="A49" s="3" t="s">
        <v>459</v>
      </c>
      <c r="B49" s="3" t="s">
        <v>458</v>
      </c>
      <c r="C49" s="3" t="s">
        <v>605</v>
      </c>
      <c r="D49" s="3" t="s">
        <v>713</v>
      </c>
      <c r="E49" s="3" t="s">
        <v>45</v>
      </c>
      <c r="F49" s="3" t="s">
        <v>45</v>
      </c>
      <c r="G49" s="8" t="s">
        <v>60</v>
      </c>
      <c r="H49" s="10">
        <v>1</v>
      </c>
      <c r="I49" s="8" t="s">
        <v>61</v>
      </c>
      <c r="J49" s="10">
        <v>0</v>
      </c>
      <c r="K49" s="8"/>
      <c r="L49" s="8" t="s">
        <v>61</v>
      </c>
      <c r="M49" s="8" t="s">
        <v>60</v>
      </c>
      <c r="N49" s="8" t="s">
        <v>65</v>
      </c>
      <c r="O49" s="3" t="s">
        <v>571</v>
      </c>
      <c r="P49" s="3" t="s">
        <v>714</v>
      </c>
      <c r="Q49" s="3" t="s">
        <v>715</v>
      </c>
      <c r="R49" s="3" t="s">
        <v>574</v>
      </c>
      <c r="S49" s="8" t="s">
        <v>60</v>
      </c>
      <c r="T49" s="3" t="s">
        <v>716</v>
      </c>
      <c r="U49" s="3" t="s">
        <v>306</v>
      </c>
      <c r="V49" s="3" t="s">
        <v>652</v>
      </c>
      <c r="W49" s="3" t="s">
        <v>717</v>
      </c>
      <c r="X49" s="3"/>
      <c r="Y49" s="3" t="s">
        <v>718</v>
      </c>
      <c r="Z49" s="3" t="s">
        <v>719</v>
      </c>
      <c r="AA49" s="4" t="s">
        <v>147</v>
      </c>
      <c r="AC49" s="30" t="s">
        <v>720</v>
      </c>
      <c r="AD49" s="30" t="s">
        <v>42</v>
      </c>
      <c r="AE49" s="30" t="s">
        <v>721</v>
      </c>
      <c r="AF49" s="30" t="s">
        <v>462</v>
      </c>
      <c r="AG49" s="30" t="s">
        <v>722</v>
      </c>
      <c r="AH49" s="30" t="s">
        <v>644</v>
      </c>
      <c r="AI49" s="30" t="s">
        <v>723</v>
      </c>
      <c r="AJ49" s="30"/>
      <c r="AK49" s="30" t="s">
        <v>60</v>
      </c>
      <c r="AL49" s="30" t="s">
        <v>66</v>
      </c>
      <c r="AM49" s="30" t="s">
        <v>724</v>
      </c>
      <c r="AN49" s="31" t="s">
        <v>725</v>
      </c>
    </row>
    <row r="50" spans="1:40" ht="21.4" customHeight="1">
      <c r="A50" s="5" t="s">
        <v>473</v>
      </c>
      <c r="B50" s="5" t="s">
        <v>472</v>
      </c>
      <c r="C50" s="5" t="s">
        <v>617</v>
      </c>
      <c r="D50" s="5" t="s">
        <v>726</v>
      </c>
      <c r="E50" s="5" t="s">
        <v>45</v>
      </c>
      <c r="F50" s="5" t="s">
        <v>45</v>
      </c>
      <c r="G50" s="7" t="s">
        <v>60</v>
      </c>
      <c r="H50" s="9">
        <v>1</v>
      </c>
      <c r="I50" s="7" t="s">
        <v>61</v>
      </c>
      <c r="J50" s="9">
        <v>0</v>
      </c>
      <c r="K50" s="7"/>
      <c r="L50" s="7" t="s">
        <v>61</v>
      </c>
      <c r="M50" s="7" t="s">
        <v>60</v>
      </c>
      <c r="N50" s="7" t="s">
        <v>65</v>
      </c>
      <c r="O50" s="5" t="s">
        <v>571</v>
      </c>
      <c r="P50" s="5" t="s">
        <v>727</v>
      </c>
      <c r="Q50" s="5" t="s">
        <v>728</v>
      </c>
      <c r="R50" s="5" t="s">
        <v>574</v>
      </c>
      <c r="S50" s="7" t="s">
        <v>60</v>
      </c>
      <c r="T50" s="5" t="s">
        <v>729</v>
      </c>
      <c r="U50" s="5" t="s">
        <v>306</v>
      </c>
      <c r="V50" s="5" t="s">
        <v>652</v>
      </c>
      <c r="W50" s="5" t="s">
        <v>730</v>
      </c>
      <c r="X50" s="5"/>
      <c r="Y50" s="5" t="s">
        <v>731</v>
      </c>
      <c r="Z50" s="5" t="s">
        <v>732</v>
      </c>
      <c r="AA50" s="6" t="s">
        <v>147</v>
      </c>
      <c r="AC50" s="30" t="s">
        <v>733</v>
      </c>
      <c r="AD50" s="30" t="s">
        <v>47</v>
      </c>
      <c r="AE50" s="30" t="s">
        <v>734</v>
      </c>
      <c r="AF50" s="30" t="s">
        <v>735</v>
      </c>
      <c r="AG50" s="30" t="s">
        <v>736</v>
      </c>
      <c r="AH50" s="30" t="s">
        <v>644</v>
      </c>
      <c r="AI50" s="30" t="s">
        <v>737</v>
      </c>
      <c r="AJ50" s="30" t="s">
        <v>738</v>
      </c>
      <c r="AK50" s="30" t="s">
        <v>61</v>
      </c>
      <c r="AL50" s="30" t="s">
        <v>66</v>
      </c>
      <c r="AM50" s="30" t="s">
        <v>739</v>
      </c>
      <c r="AN50" s="31"/>
    </row>
    <row r="51" spans="1:40" ht="21.4" customHeight="1">
      <c r="A51" s="3" t="s">
        <v>740</v>
      </c>
      <c r="B51" s="3" t="s">
        <v>741</v>
      </c>
      <c r="C51" s="3" t="s">
        <v>742</v>
      </c>
      <c r="D51" s="3" t="s">
        <v>743</v>
      </c>
      <c r="E51" s="3" t="s">
        <v>47</v>
      </c>
      <c r="F51" s="3" t="s">
        <v>744</v>
      </c>
      <c r="G51" s="8" t="s">
        <v>60</v>
      </c>
      <c r="H51" s="10">
        <v>1</v>
      </c>
      <c r="I51" s="8" t="s">
        <v>60</v>
      </c>
      <c r="J51" s="10">
        <v>1</v>
      </c>
      <c r="K51" s="8" t="s">
        <v>60</v>
      </c>
      <c r="L51" s="8"/>
      <c r="M51" s="8" t="s">
        <v>60</v>
      </c>
      <c r="N51" s="8" t="s">
        <v>64</v>
      </c>
      <c r="O51" s="3" t="s">
        <v>745</v>
      </c>
      <c r="P51" s="3" t="s">
        <v>746</v>
      </c>
      <c r="Q51" s="3" t="s">
        <v>747</v>
      </c>
      <c r="R51" s="3" t="s">
        <v>748</v>
      </c>
      <c r="S51" s="8" t="s">
        <v>60</v>
      </c>
      <c r="T51" s="3" t="s">
        <v>142</v>
      </c>
      <c r="U51" s="3"/>
      <c r="V51" s="3" t="s">
        <v>143</v>
      </c>
      <c r="W51" s="3" t="s">
        <v>144</v>
      </c>
      <c r="X51" s="3" t="s">
        <v>492</v>
      </c>
      <c r="Y51" s="3" t="s">
        <v>749</v>
      </c>
      <c r="Z51" s="3" t="s">
        <v>750</v>
      </c>
      <c r="AA51" s="4" t="s">
        <v>147</v>
      </c>
      <c r="AC51" s="30" t="s">
        <v>751</v>
      </c>
      <c r="AD51" s="30" t="s">
        <v>39</v>
      </c>
      <c r="AE51" s="30" t="s">
        <v>752</v>
      </c>
      <c r="AF51" s="30" t="s">
        <v>159</v>
      </c>
      <c r="AG51" s="30" t="s">
        <v>753</v>
      </c>
      <c r="AH51" s="30" t="s">
        <v>754</v>
      </c>
      <c r="AI51" s="30" t="s">
        <v>755</v>
      </c>
      <c r="AJ51" s="30"/>
      <c r="AK51" s="30" t="s">
        <v>60</v>
      </c>
      <c r="AL51" s="30" t="s">
        <v>756</v>
      </c>
      <c r="AM51" s="30" t="s">
        <v>757</v>
      </c>
      <c r="AN51" s="31"/>
    </row>
    <row r="52" spans="1:40" ht="21.4" customHeight="1">
      <c r="A52" s="5" t="s">
        <v>758</v>
      </c>
      <c r="B52" s="5" t="s">
        <v>759</v>
      </c>
      <c r="C52" s="5" t="s">
        <v>760</v>
      </c>
      <c r="D52" s="5" t="s">
        <v>761</v>
      </c>
      <c r="E52" s="5" t="s">
        <v>47</v>
      </c>
      <c r="F52" s="5" t="s">
        <v>744</v>
      </c>
      <c r="G52" s="7" t="s">
        <v>61</v>
      </c>
      <c r="H52" s="9">
        <v>0</v>
      </c>
      <c r="I52" s="7" t="s">
        <v>61</v>
      </c>
      <c r="J52" s="9">
        <v>0</v>
      </c>
      <c r="K52" s="7" t="s">
        <v>61</v>
      </c>
      <c r="L52" s="7"/>
      <c r="M52" s="7" t="s">
        <v>60</v>
      </c>
      <c r="N52" s="7" t="s">
        <v>64</v>
      </c>
      <c r="O52" s="5" t="s">
        <v>762</v>
      </c>
      <c r="P52" s="5" t="s">
        <v>763</v>
      </c>
      <c r="Q52" s="5" t="s">
        <v>764</v>
      </c>
      <c r="R52" s="5" t="s">
        <v>765</v>
      </c>
      <c r="S52" s="7" t="s">
        <v>60</v>
      </c>
      <c r="T52" s="5" t="s">
        <v>766</v>
      </c>
      <c r="U52" s="5"/>
      <c r="V52" s="5" t="s">
        <v>143</v>
      </c>
      <c r="W52" s="5" t="s">
        <v>144</v>
      </c>
      <c r="X52" s="5"/>
      <c r="Y52" s="5" t="s">
        <v>767</v>
      </c>
      <c r="Z52" s="5" t="s">
        <v>768</v>
      </c>
      <c r="AA52" s="6" t="s">
        <v>147</v>
      </c>
      <c r="AC52" s="30" t="s">
        <v>769</v>
      </c>
      <c r="AD52" s="30" t="s">
        <v>39</v>
      </c>
      <c r="AE52" s="30" t="s">
        <v>770</v>
      </c>
      <c r="AF52" s="30" t="s">
        <v>386</v>
      </c>
      <c r="AG52" s="30" t="s">
        <v>771</v>
      </c>
      <c r="AH52" s="30" t="s">
        <v>754</v>
      </c>
      <c r="AI52" s="30" t="s">
        <v>772</v>
      </c>
      <c r="AJ52" s="30"/>
      <c r="AK52" s="30" t="s">
        <v>60</v>
      </c>
      <c r="AL52" s="30" t="s">
        <v>756</v>
      </c>
      <c r="AM52" s="30" t="s">
        <v>773</v>
      </c>
      <c r="AN52" s="31"/>
    </row>
    <row r="53" spans="1:40" ht="21.4" customHeight="1">
      <c r="A53" s="3" t="s">
        <v>774</v>
      </c>
      <c r="B53" s="3" t="s">
        <v>775</v>
      </c>
      <c r="C53" s="3" t="s">
        <v>776</v>
      </c>
      <c r="D53" s="3" t="s">
        <v>777</v>
      </c>
      <c r="E53" s="3" t="s">
        <v>47</v>
      </c>
      <c r="F53" s="3" t="s">
        <v>744</v>
      </c>
      <c r="G53" s="8" t="s">
        <v>60</v>
      </c>
      <c r="H53" s="10">
        <v>1</v>
      </c>
      <c r="I53" s="8" t="s">
        <v>60</v>
      </c>
      <c r="J53" s="10">
        <v>1</v>
      </c>
      <c r="K53" s="8" t="s">
        <v>60</v>
      </c>
      <c r="L53" s="8"/>
      <c r="M53" s="8" t="s">
        <v>60</v>
      </c>
      <c r="N53" s="8" t="s">
        <v>64</v>
      </c>
      <c r="O53" s="3" t="s">
        <v>778</v>
      </c>
      <c r="P53" s="3" t="s">
        <v>779</v>
      </c>
      <c r="Q53" s="3" t="s">
        <v>780</v>
      </c>
      <c r="R53" s="3" t="s">
        <v>781</v>
      </c>
      <c r="S53" s="8" t="s">
        <v>60</v>
      </c>
      <c r="T53" s="3" t="s">
        <v>142</v>
      </c>
      <c r="U53" s="3"/>
      <c r="V53" s="3" t="s">
        <v>143</v>
      </c>
      <c r="W53" s="3" t="s">
        <v>144</v>
      </c>
      <c r="X53" s="3"/>
      <c r="Y53" s="3" t="s">
        <v>782</v>
      </c>
      <c r="Z53" s="3" t="s">
        <v>783</v>
      </c>
      <c r="AA53" s="4" t="s">
        <v>147</v>
      </c>
      <c r="AC53" s="30" t="s">
        <v>784</v>
      </c>
      <c r="AD53" s="30" t="s">
        <v>42</v>
      </c>
      <c r="AE53" s="30" t="s">
        <v>785</v>
      </c>
      <c r="AF53" s="30" t="s">
        <v>786</v>
      </c>
      <c r="AG53" s="30" t="s">
        <v>787</v>
      </c>
      <c r="AH53" s="30" t="s">
        <v>754</v>
      </c>
      <c r="AI53" s="30" t="s">
        <v>788</v>
      </c>
      <c r="AJ53" s="30"/>
      <c r="AK53" s="30" t="s">
        <v>60</v>
      </c>
      <c r="AL53" s="30" t="s">
        <v>756</v>
      </c>
      <c r="AM53" s="30" t="s">
        <v>789</v>
      </c>
      <c r="AN53" s="31"/>
    </row>
    <row r="54" spans="1:40" ht="24" customHeight="1">
      <c r="A54" s="5" t="s">
        <v>790</v>
      </c>
      <c r="B54" s="5" t="s">
        <v>791</v>
      </c>
      <c r="C54" s="5" t="s">
        <v>792</v>
      </c>
      <c r="D54" s="5" t="s">
        <v>793</v>
      </c>
      <c r="E54" s="5" t="s">
        <v>47</v>
      </c>
      <c r="F54" s="5" t="s">
        <v>744</v>
      </c>
      <c r="G54" s="7" t="s">
        <v>60</v>
      </c>
      <c r="H54" s="9">
        <v>1</v>
      </c>
      <c r="I54" s="7" t="s">
        <v>60</v>
      </c>
      <c r="J54" s="9">
        <v>1</v>
      </c>
      <c r="K54" s="7" t="s">
        <v>60</v>
      </c>
      <c r="L54" s="7"/>
      <c r="M54" s="7" t="s">
        <v>60</v>
      </c>
      <c r="N54" s="7" t="s">
        <v>64</v>
      </c>
      <c r="O54" s="5" t="s">
        <v>794</v>
      </c>
      <c r="P54" s="5" t="s">
        <v>795</v>
      </c>
      <c r="Q54" s="5" t="s">
        <v>796</v>
      </c>
      <c r="R54" s="5" t="s">
        <v>797</v>
      </c>
      <c r="S54" s="7" t="s">
        <v>60</v>
      </c>
      <c r="T54" s="5" t="s">
        <v>142</v>
      </c>
      <c r="U54" s="5"/>
      <c r="V54" s="5" t="s">
        <v>143</v>
      </c>
      <c r="W54" s="5" t="s">
        <v>144</v>
      </c>
      <c r="X54" s="5"/>
      <c r="Y54" s="5" t="s">
        <v>798</v>
      </c>
      <c r="Z54" s="5" t="s">
        <v>799</v>
      </c>
      <c r="AA54" s="6" t="s">
        <v>147</v>
      </c>
      <c r="AC54" s="30" t="s">
        <v>800</v>
      </c>
      <c r="AD54" s="30" t="s">
        <v>42</v>
      </c>
      <c r="AE54" s="30" t="s">
        <v>801</v>
      </c>
      <c r="AF54" s="30" t="s">
        <v>210</v>
      </c>
      <c r="AG54" s="30" t="s">
        <v>802</v>
      </c>
      <c r="AH54" s="30" t="s">
        <v>754</v>
      </c>
      <c r="AI54" s="30" t="s">
        <v>803</v>
      </c>
      <c r="AJ54" s="30"/>
      <c r="AK54" s="30" t="s">
        <v>60</v>
      </c>
      <c r="AL54" s="30" t="s">
        <v>756</v>
      </c>
      <c r="AM54" s="30" t="s">
        <v>804</v>
      </c>
      <c r="AN54" s="31"/>
    </row>
    <row r="55" spans="1:40" ht="24" customHeight="1">
      <c r="A55" s="3" t="s">
        <v>805</v>
      </c>
      <c r="B55" s="3" t="s">
        <v>806</v>
      </c>
      <c r="C55" s="3" t="s">
        <v>792</v>
      </c>
      <c r="D55" s="3" t="s">
        <v>807</v>
      </c>
      <c r="E55" s="3" t="s">
        <v>47</v>
      </c>
      <c r="F55" s="3" t="s">
        <v>744</v>
      </c>
      <c r="G55" s="8" t="s">
        <v>61</v>
      </c>
      <c r="H55" s="10">
        <v>0</v>
      </c>
      <c r="I55" s="8" t="s">
        <v>61</v>
      </c>
      <c r="J55" s="10">
        <v>0</v>
      </c>
      <c r="K55" s="8" t="s">
        <v>61</v>
      </c>
      <c r="L55" s="8"/>
      <c r="M55" s="8" t="s">
        <v>60</v>
      </c>
      <c r="N55" s="8" t="s">
        <v>64</v>
      </c>
      <c r="O55" s="3" t="s">
        <v>808</v>
      </c>
      <c r="P55" s="3" t="s">
        <v>809</v>
      </c>
      <c r="Q55" s="3" t="s">
        <v>810</v>
      </c>
      <c r="R55" s="3" t="s">
        <v>811</v>
      </c>
      <c r="S55" s="8" t="s">
        <v>60</v>
      </c>
      <c r="T55" s="3" t="s">
        <v>812</v>
      </c>
      <c r="U55" s="3"/>
      <c r="V55" s="3" t="s">
        <v>143</v>
      </c>
      <c r="W55" s="3" t="s">
        <v>144</v>
      </c>
      <c r="X55" s="3"/>
      <c r="Y55" s="3" t="s">
        <v>813</v>
      </c>
      <c r="Z55" s="3" t="s">
        <v>814</v>
      </c>
      <c r="AA55" s="4" t="s">
        <v>147</v>
      </c>
      <c r="AC55" s="30" t="s">
        <v>815</v>
      </c>
      <c r="AD55" s="30" t="s">
        <v>47</v>
      </c>
      <c r="AE55" s="30" t="s">
        <v>816</v>
      </c>
      <c r="AF55" s="30" t="s">
        <v>817</v>
      </c>
      <c r="AG55" s="30" t="s">
        <v>818</v>
      </c>
      <c r="AH55" s="30" t="s">
        <v>754</v>
      </c>
      <c r="AI55" s="30" t="s">
        <v>819</v>
      </c>
      <c r="AJ55" s="30"/>
      <c r="AK55" s="30" t="s">
        <v>646</v>
      </c>
      <c r="AL55" s="30" t="s">
        <v>756</v>
      </c>
      <c r="AM55" s="30" t="s">
        <v>820</v>
      </c>
      <c r="AN55" s="31"/>
    </row>
    <row r="56" spans="1:40" ht="24" customHeight="1">
      <c r="A56" s="5" t="s">
        <v>738</v>
      </c>
      <c r="B56" s="5" t="s">
        <v>734</v>
      </c>
      <c r="C56" s="5" t="s">
        <v>735</v>
      </c>
      <c r="D56" s="5" t="s">
        <v>736</v>
      </c>
      <c r="E56" s="5" t="s">
        <v>47</v>
      </c>
      <c r="F56" s="5" t="s">
        <v>744</v>
      </c>
      <c r="G56" s="7" t="s">
        <v>61</v>
      </c>
      <c r="H56" s="9">
        <v>0</v>
      </c>
      <c r="I56" s="7" t="s">
        <v>61</v>
      </c>
      <c r="J56" s="9">
        <v>0</v>
      </c>
      <c r="K56" s="7" t="s">
        <v>61</v>
      </c>
      <c r="L56" s="7"/>
      <c r="M56" s="7" t="s">
        <v>61</v>
      </c>
      <c r="N56" s="7" t="s">
        <v>64</v>
      </c>
      <c r="O56" s="5" t="s">
        <v>821</v>
      </c>
      <c r="P56" s="5" t="s">
        <v>822</v>
      </c>
      <c r="Q56" s="5" t="s">
        <v>823</v>
      </c>
      <c r="R56" s="5" t="s">
        <v>824</v>
      </c>
      <c r="S56" s="7" t="s">
        <v>60</v>
      </c>
      <c r="T56" s="5" t="s">
        <v>142</v>
      </c>
      <c r="U56" s="5"/>
      <c r="V56" s="5" t="s">
        <v>174</v>
      </c>
      <c r="W56" s="5" t="s">
        <v>825</v>
      </c>
      <c r="X56" s="5"/>
      <c r="Y56" s="5" t="s">
        <v>826</v>
      </c>
      <c r="Z56" s="5" t="s">
        <v>827</v>
      </c>
      <c r="AA56" s="6" t="s">
        <v>147</v>
      </c>
      <c r="AC56" s="30" t="s">
        <v>828</v>
      </c>
      <c r="AD56" s="30" t="s">
        <v>47</v>
      </c>
      <c r="AE56" s="30" t="s">
        <v>829</v>
      </c>
      <c r="AF56" s="30" t="s">
        <v>830</v>
      </c>
      <c r="AG56" s="30" t="s">
        <v>831</v>
      </c>
      <c r="AH56" s="30" t="s">
        <v>754</v>
      </c>
      <c r="AI56" s="30" t="s">
        <v>832</v>
      </c>
      <c r="AJ56" s="30"/>
      <c r="AK56" s="30" t="s">
        <v>60</v>
      </c>
      <c r="AL56" s="30" t="s">
        <v>756</v>
      </c>
      <c r="AM56" s="30" t="s">
        <v>833</v>
      </c>
      <c r="AN56" s="31"/>
    </row>
    <row r="57" spans="1:40" ht="24" customHeight="1">
      <c r="A57" s="3" t="s">
        <v>834</v>
      </c>
      <c r="B57" s="3" t="s">
        <v>835</v>
      </c>
      <c r="C57" s="3" t="s">
        <v>836</v>
      </c>
      <c r="D57" s="3" t="s">
        <v>837</v>
      </c>
      <c r="E57" s="3" t="s">
        <v>47</v>
      </c>
      <c r="F57" s="3" t="s">
        <v>744</v>
      </c>
      <c r="G57" s="8" t="s">
        <v>61</v>
      </c>
      <c r="H57" s="10">
        <v>0</v>
      </c>
      <c r="I57" s="8" t="s">
        <v>61</v>
      </c>
      <c r="J57" s="10">
        <v>0</v>
      </c>
      <c r="K57" s="8" t="s">
        <v>61</v>
      </c>
      <c r="L57" s="8"/>
      <c r="M57" s="8" t="s">
        <v>61</v>
      </c>
      <c r="N57" s="8" t="s">
        <v>64</v>
      </c>
      <c r="O57" s="3" t="s">
        <v>821</v>
      </c>
      <c r="P57" s="3" t="s">
        <v>838</v>
      </c>
      <c r="Q57" s="3" t="s">
        <v>839</v>
      </c>
      <c r="R57" s="3" t="s">
        <v>840</v>
      </c>
      <c r="S57" s="8" t="s">
        <v>60</v>
      </c>
      <c r="T57" s="3" t="s">
        <v>142</v>
      </c>
      <c r="U57" s="3"/>
      <c r="V57" s="3" t="s">
        <v>143</v>
      </c>
      <c r="W57" s="3" t="s">
        <v>144</v>
      </c>
      <c r="X57" s="3"/>
      <c r="Y57" s="3" t="s">
        <v>841</v>
      </c>
      <c r="Z57" s="3" t="s">
        <v>842</v>
      </c>
      <c r="AA57" s="4" t="s">
        <v>147</v>
      </c>
      <c r="AC57" s="30" t="s">
        <v>843</v>
      </c>
      <c r="AD57" s="30" t="s">
        <v>47</v>
      </c>
      <c r="AE57" s="30" t="s">
        <v>844</v>
      </c>
      <c r="AF57" s="30" t="s">
        <v>462</v>
      </c>
      <c r="AG57" s="30" t="s">
        <v>845</v>
      </c>
      <c r="AH57" s="30" t="s">
        <v>754</v>
      </c>
      <c r="AI57" s="30" t="s">
        <v>846</v>
      </c>
      <c r="AJ57" s="30"/>
      <c r="AK57" s="30" t="s">
        <v>60</v>
      </c>
      <c r="AL57" s="30" t="s">
        <v>756</v>
      </c>
      <c r="AM57" s="30" t="s">
        <v>847</v>
      </c>
      <c r="AN57" s="31"/>
    </row>
    <row r="58" spans="1:40" ht="24" customHeight="1">
      <c r="A58" s="5" t="s">
        <v>848</v>
      </c>
      <c r="B58" s="5" t="s">
        <v>849</v>
      </c>
      <c r="C58" s="5" t="s">
        <v>850</v>
      </c>
      <c r="D58" s="5" t="s">
        <v>851</v>
      </c>
      <c r="E58" s="5" t="s">
        <v>47</v>
      </c>
      <c r="F58" s="5" t="s">
        <v>744</v>
      </c>
      <c r="G58" s="7" t="s">
        <v>60</v>
      </c>
      <c r="H58" s="9">
        <v>1</v>
      </c>
      <c r="I58" s="7" t="s">
        <v>60</v>
      </c>
      <c r="J58" s="9">
        <v>1</v>
      </c>
      <c r="K58" s="7" t="s">
        <v>60</v>
      </c>
      <c r="L58" s="7"/>
      <c r="M58" s="7" t="s">
        <v>60</v>
      </c>
      <c r="N58" s="7" t="s">
        <v>64</v>
      </c>
      <c r="O58" s="5" t="s">
        <v>181</v>
      </c>
      <c r="P58" s="5" t="s">
        <v>852</v>
      </c>
      <c r="Q58" s="5" t="s">
        <v>853</v>
      </c>
      <c r="R58" s="5" t="s">
        <v>854</v>
      </c>
      <c r="S58" s="7" t="s">
        <v>60</v>
      </c>
      <c r="T58" s="5" t="s">
        <v>855</v>
      </c>
      <c r="U58" s="5"/>
      <c r="V58" s="5" t="s">
        <v>143</v>
      </c>
      <c r="W58" s="5" t="s">
        <v>144</v>
      </c>
      <c r="X58" s="5"/>
      <c r="Y58" s="5" t="s">
        <v>856</v>
      </c>
      <c r="Z58" s="5" t="s">
        <v>857</v>
      </c>
      <c r="AA58" s="6" t="s">
        <v>147</v>
      </c>
      <c r="AC58" s="30" t="s">
        <v>858</v>
      </c>
      <c r="AD58" s="30" t="s">
        <v>47</v>
      </c>
      <c r="AE58" s="30" t="s">
        <v>859</v>
      </c>
      <c r="AF58" s="30" t="s">
        <v>462</v>
      </c>
      <c r="AG58" s="30" t="s">
        <v>860</v>
      </c>
      <c r="AH58" s="30" t="s">
        <v>754</v>
      </c>
      <c r="AI58" s="30" t="s">
        <v>861</v>
      </c>
      <c r="AJ58" s="30"/>
      <c r="AK58" s="30" t="s">
        <v>646</v>
      </c>
      <c r="AL58" s="30" t="s">
        <v>756</v>
      </c>
      <c r="AM58" s="30" t="s">
        <v>862</v>
      </c>
      <c r="AN58" s="31"/>
    </row>
    <row r="59" spans="1:40" ht="24" customHeight="1">
      <c r="A59" s="3" t="s">
        <v>863</v>
      </c>
      <c r="B59" s="3" t="s">
        <v>864</v>
      </c>
      <c r="C59" s="3" t="s">
        <v>865</v>
      </c>
      <c r="D59" s="3" t="s">
        <v>866</v>
      </c>
      <c r="E59" s="3" t="s">
        <v>47</v>
      </c>
      <c r="F59" s="3" t="s">
        <v>744</v>
      </c>
      <c r="G59" s="8" t="s">
        <v>60</v>
      </c>
      <c r="H59" s="10">
        <v>1</v>
      </c>
      <c r="I59" s="8" t="s">
        <v>60</v>
      </c>
      <c r="J59" s="10">
        <v>1</v>
      </c>
      <c r="K59" s="8" t="s">
        <v>60</v>
      </c>
      <c r="L59" s="8"/>
      <c r="M59" s="8" t="s">
        <v>60</v>
      </c>
      <c r="N59" s="8" t="s">
        <v>64</v>
      </c>
      <c r="O59" s="3" t="s">
        <v>867</v>
      </c>
      <c r="P59" s="3" t="s">
        <v>868</v>
      </c>
      <c r="Q59" s="3" t="s">
        <v>869</v>
      </c>
      <c r="R59" s="3" t="s">
        <v>870</v>
      </c>
      <c r="S59" s="8" t="s">
        <v>60</v>
      </c>
      <c r="T59" s="3" t="s">
        <v>353</v>
      </c>
      <c r="U59" s="3"/>
      <c r="V59" s="3" t="s">
        <v>143</v>
      </c>
      <c r="W59" s="3" t="s">
        <v>144</v>
      </c>
      <c r="X59" s="3"/>
      <c r="Y59" s="3" t="s">
        <v>871</v>
      </c>
      <c r="Z59" s="3" t="s">
        <v>872</v>
      </c>
      <c r="AA59" s="4" t="s">
        <v>147</v>
      </c>
      <c r="AC59" s="30" t="s">
        <v>873</v>
      </c>
      <c r="AD59" s="30" t="s">
        <v>47</v>
      </c>
      <c r="AE59" s="30" t="s">
        <v>874</v>
      </c>
      <c r="AF59" s="30" t="s">
        <v>462</v>
      </c>
      <c r="AG59" s="30" t="s">
        <v>875</v>
      </c>
      <c r="AH59" s="30" t="s">
        <v>754</v>
      </c>
      <c r="AI59" s="30" t="s">
        <v>876</v>
      </c>
      <c r="AJ59" s="30"/>
      <c r="AK59" s="30" t="s">
        <v>60</v>
      </c>
      <c r="AL59" s="30"/>
      <c r="AM59" s="30"/>
      <c r="AN59" s="31"/>
    </row>
    <row r="60" spans="1:40" ht="24" customHeight="1">
      <c r="A60" s="5" t="s">
        <v>877</v>
      </c>
      <c r="B60" s="5"/>
      <c r="C60" s="5"/>
      <c r="D60" s="5" t="s">
        <v>878</v>
      </c>
      <c r="E60" s="5" t="s">
        <v>47</v>
      </c>
      <c r="F60" s="5" t="s">
        <v>744</v>
      </c>
      <c r="G60" s="7" t="s">
        <v>61</v>
      </c>
      <c r="H60" s="9">
        <v>0</v>
      </c>
      <c r="I60" s="7" t="s">
        <v>61</v>
      </c>
      <c r="J60" s="9">
        <v>0</v>
      </c>
      <c r="K60" s="7"/>
      <c r="L60" s="7"/>
      <c r="M60" s="7"/>
      <c r="N60" s="7"/>
      <c r="O60" s="5"/>
      <c r="P60" s="5" t="s">
        <v>879</v>
      </c>
      <c r="Q60" s="5" t="s">
        <v>880</v>
      </c>
      <c r="R60" s="5" t="s">
        <v>881</v>
      </c>
      <c r="S60" s="7" t="s">
        <v>60</v>
      </c>
      <c r="T60" s="5" t="s">
        <v>882</v>
      </c>
      <c r="U60" s="5"/>
      <c r="V60" s="5" t="s">
        <v>469</v>
      </c>
      <c r="W60" s="5"/>
      <c r="X60" s="5"/>
      <c r="Y60" s="5" t="s">
        <v>883</v>
      </c>
      <c r="Z60" s="5" t="s">
        <v>884</v>
      </c>
      <c r="AA60" s="6" t="s">
        <v>147</v>
      </c>
      <c r="AC60" s="30" t="s">
        <v>885</v>
      </c>
      <c r="AD60" s="30" t="s">
        <v>47</v>
      </c>
      <c r="AE60" s="30" t="s">
        <v>886</v>
      </c>
      <c r="AF60" s="30" t="s">
        <v>136</v>
      </c>
      <c r="AG60" s="30" t="s">
        <v>887</v>
      </c>
      <c r="AH60" s="30" t="s">
        <v>754</v>
      </c>
      <c r="AI60" s="30" t="s">
        <v>819</v>
      </c>
      <c r="AJ60" s="30"/>
      <c r="AK60" s="30" t="s">
        <v>60</v>
      </c>
      <c r="AL60" s="30" t="s">
        <v>756</v>
      </c>
      <c r="AM60" s="30" t="s">
        <v>888</v>
      </c>
      <c r="AN60" s="31"/>
    </row>
    <row r="61" spans="1:40" ht="24" customHeight="1">
      <c r="A61" s="3" t="s">
        <v>889</v>
      </c>
      <c r="B61" s="3"/>
      <c r="C61" s="3"/>
      <c r="D61" s="3" t="s">
        <v>890</v>
      </c>
      <c r="E61" s="3" t="s">
        <v>47</v>
      </c>
      <c r="F61" s="3" t="s">
        <v>744</v>
      </c>
      <c r="G61" s="8" t="s">
        <v>61</v>
      </c>
      <c r="H61" s="10">
        <v>0</v>
      </c>
      <c r="I61" s="8" t="s">
        <v>61</v>
      </c>
      <c r="J61" s="10">
        <v>0</v>
      </c>
      <c r="K61" s="8"/>
      <c r="L61" s="8"/>
      <c r="M61" s="8"/>
      <c r="N61" s="8"/>
      <c r="O61" s="3"/>
      <c r="P61" s="3" t="s">
        <v>891</v>
      </c>
      <c r="Q61" s="3" t="s">
        <v>892</v>
      </c>
      <c r="R61" s="3" t="s">
        <v>893</v>
      </c>
      <c r="S61" s="8" t="s">
        <v>60</v>
      </c>
      <c r="T61" s="3" t="s">
        <v>882</v>
      </c>
      <c r="U61" s="3"/>
      <c r="V61" s="3" t="s">
        <v>469</v>
      </c>
      <c r="W61" s="3"/>
      <c r="X61" s="3"/>
      <c r="Y61" s="3" t="s">
        <v>894</v>
      </c>
      <c r="Z61" s="3" t="s">
        <v>895</v>
      </c>
      <c r="AA61" s="4" t="s">
        <v>147</v>
      </c>
      <c r="AC61" s="32" t="s">
        <v>896</v>
      </c>
      <c r="AD61" s="32" t="s">
        <v>47</v>
      </c>
      <c r="AE61" s="32" t="s">
        <v>897</v>
      </c>
      <c r="AF61" s="32" t="s">
        <v>898</v>
      </c>
      <c r="AG61" s="32" t="s">
        <v>899</v>
      </c>
      <c r="AH61" s="32" t="s">
        <v>900</v>
      </c>
      <c r="AI61" s="32" t="s">
        <v>901</v>
      </c>
      <c r="AJ61" s="32"/>
      <c r="AK61" s="32" t="s">
        <v>61</v>
      </c>
      <c r="AL61" s="32" t="s">
        <v>66</v>
      </c>
      <c r="AM61" s="32" t="s">
        <v>902</v>
      </c>
      <c r="AN61" s="33"/>
    </row>
    <row r="62" spans="1:40" ht="24" customHeight="1">
      <c r="A62" s="5" t="s">
        <v>903</v>
      </c>
      <c r="B62" s="5" t="s">
        <v>500</v>
      </c>
      <c r="C62" s="5" t="s">
        <v>501</v>
      </c>
      <c r="D62" s="5" t="s">
        <v>904</v>
      </c>
      <c r="E62" s="5" t="s">
        <v>50</v>
      </c>
      <c r="F62" s="5" t="s">
        <v>905</v>
      </c>
      <c r="G62" s="7" t="s">
        <v>60</v>
      </c>
      <c r="H62" s="9">
        <v>1</v>
      </c>
      <c r="I62" s="7" t="s">
        <v>60</v>
      </c>
      <c r="J62" s="9">
        <v>1</v>
      </c>
      <c r="K62" s="7" t="s">
        <v>60</v>
      </c>
      <c r="L62" s="7"/>
      <c r="M62" s="7"/>
      <c r="N62" s="7" t="s">
        <v>64</v>
      </c>
      <c r="O62" s="5" t="s">
        <v>465</v>
      </c>
      <c r="P62" s="5" t="s">
        <v>906</v>
      </c>
      <c r="Q62" s="5" t="s">
        <v>907</v>
      </c>
      <c r="R62" s="5" t="s">
        <v>908</v>
      </c>
      <c r="S62" s="7" t="s">
        <v>61</v>
      </c>
      <c r="T62" s="5"/>
      <c r="U62" s="5"/>
      <c r="V62" s="5" t="s">
        <v>143</v>
      </c>
      <c r="W62" s="5" t="s">
        <v>144</v>
      </c>
      <c r="X62" s="5"/>
      <c r="Y62" s="5" t="s">
        <v>909</v>
      </c>
      <c r="Z62" s="5" t="s">
        <v>910</v>
      </c>
      <c r="AA62" s="6" t="s">
        <v>147</v>
      </c>
    </row>
    <row r="63" spans="1:40" ht="24" customHeight="1">
      <c r="A63" s="3" t="s">
        <v>634</v>
      </c>
      <c r="B63" s="3" t="s">
        <v>622</v>
      </c>
      <c r="C63" s="3" t="s">
        <v>501</v>
      </c>
      <c r="D63" s="3" t="s">
        <v>911</v>
      </c>
      <c r="E63" s="3" t="s">
        <v>50</v>
      </c>
      <c r="F63" s="3" t="s">
        <v>905</v>
      </c>
      <c r="G63" s="8" t="s">
        <v>60</v>
      </c>
      <c r="H63" s="10">
        <v>1</v>
      </c>
      <c r="I63" s="8" t="s">
        <v>60</v>
      </c>
      <c r="J63" s="10">
        <v>1</v>
      </c>
      <c r="K63" s="8" t="s">
        <v>60</v>
      </c>
      <c r="L63" s="8" t="s">
        <v>60</v>
      </c>
      <c r="M63" s="8"/>
      <c r="N63" s="8" t="s">
        <v>64</v>
      </c>
      <c r="O63" s="3" t="s">
        <v>912</v>
      </c>
      <c r="P63" s="3" t="s">
        <v>913</v>
      </c>
      <c r="Q63" s="3" t="s">
        <v>914</v>
      </c>
      <c r="R63" s="3" t="s">
        <v>915</v>
      </c>
      <c r="S63" s="8" t="s">
        <v>60</v>
      </c>
      <c r="T63" s="3" t="s">
        <v>916</v>
      </c>
      <c r="U63" s="3"/>
      <c r="V63" s="3" t="s">
        <v>652</v>
      </c>
      <c r="W63" s="3" t="s">
        <v>917</v>
      </c>
      <c r="X63" s="3"/>
      <c r="Y63" s="3" t="s">
        <v>918</v>
      </c>
      <c r="Z63" s="3" t="s">
        <v>919</v>
      </c>
      <c r="AA63" s="4" t="s">
        <v>147</v>
      </c>
    </row>
    <row r="64" spans="1:40" ht="24" customHeight="1">
      <c r="A64" s="5" t="s">
        <v>920</v>
      </c>
      <c r="B64" s="5" t="s">
        <v>677</v>
      </c>
      <c r="C64" s="5" t="s">
        <v>501</v>
      </c>
      <c r="D64" s="5" t="s">
        <v>921</v>
      </c>
      <c r="E64" s="5" t="s">
        <v>50</v>
      </c>
      <c r="F64" s="5" t="s">
        <v>905</v>
      </c>
      <c r="G64" s="7" t="s">
        <v>60</v>
      </c>
      <c r="H64" s="9">
        <v>1</v>
      </c>
      <c r="I64" s="7" t="s">
        <v>60</v>
      </c>
      <c r="J64" s="9">
        <v>1</v>
      </c>
      <c r="K64" s="7" t="s">
        <v>60</v>
      </c>
      <c r="L64" s="7"/>
      <c r="M64" s="7"/>
      <c r="N64" s="7" t="s">
        <v>64</v>
      </c>
      <c r="O64" s="5" t="s">
        <v>922</v>
      </c>
      <c r="P64" s="5" t="s">
        <v>923</v>
      </c>
      <c r="Q64" s="5" t="s">
        <v>924</v>
      </c>
      <c r="R64" s="5" t="s">
        <v>925</v>
      </c>
      <c r="S64" s="7" t="s">
        <v>61</v>
      </c>
      <c r="T64" s="5"/>
      <c r="U64" s="5"/>
      <c r="V64" s="5" t="s">
        <v>143</v>
      </c>
      <c r="W64" s="5" t="s">
        <v>144</v>
      </c>
      <c r="X64" s="5"/>
      <c r="Y64" s="5" t="s">
        <v>926</v>
      </c>
      <c r="Z64" s="5" t="s">
        <v>927</v>
      </c>
      <c r="AA64" s="6" t="s">
        <v>147</v>
      </c>
    </row>
    <row r="65" spans="1:27" ht="24" customHeight="1">
      <c r="A65" s="3" t="s">
        <v>928</v>
      </c>
      <c r="B65" s="3" t="s">
        <v>304</v>
      </c>
      <c r="C65" s="3" t="s">
        <v>501</v>
      </c>
      <c r="D65" s="3" t="s">
        <v>929</v>
      </c>
      <c r="E65" s="3" t="s">
        <v>50</v>
      </c>
      <c r="F65" s="3" t="s">
        <v>905</v>
      </c>
      <c r="G65" s="8" t="s">
        <v>60</v>
      </c>
      <c r="H65" s="10">
        <v>1</v>
      </c>
      <c r="I65" s="8" t="s">
        <v>60</v>
      </c>
      <c r="J65" s="10">
        <v>1</v>
      </c>
      <c r="K65" s="8" t="s">
        <v>60</v>
      </c>
      <c r="L65" s="8" t="s">
        <v>60</v>
      </c>
      <c r="M65" s="8"/>
      <c r="N65" s="8" t="s">
        <v>64</v>
      </c>
      <c r="O65" s="3" t="s">
        <v>930</v>
      </c>
      <c r="P65" s="3" t="s">
        <v>931</v>
      </c>
      <c r="Q65" s="3" t="s">
        <v>932</v>
      </c>
      <c r="R65" s="3" t="s">
        <v>933</v>
      </c>
      <c r="S65" s="8" t="s">
        <v>60</v>
      </c>
      <c r="T65" s="3" t="s">
        <v>934</v>
      </c>
      <c r="U65" s="3"/>
      <c r="V65" s="3" t="s">
        <v>143</v>
      </c>
      <c r="W65" s="3" t="s">
        <v>144</v>
      </c>
      <c r="X65" s="3"/>
      <c r="Y65" s="3" t="s">
        <v>935</v>
      </c>
      <c r="Z65" s="3" t="s">
        <v>936</v>
      </c>
      <c r="AA65" s="4" t="s">
        <v>147</v>
      </c>
    </row>
    <row r="66" spans="1:27" ht="24" customHeight="1">
      <c r="A66" s="5" t="s">
        <v>937</v>
      </c>
      <c r="B66" s="5"/>
      <c r="C66" s="5"/>
      <c r="D66" s="5" t="s">
        <v>938</v>
      </c>
      <c r="E66" s="5" t="s">
        <v>50</v>
      </c>
      <c r="F66" s="5" t="s">
        <v>905</v>
      </c>
      <c r="G66" s="7" t="s">
        <v>60</v>
      </c>
      <c r="H66" s="9">
        <v>1</v>
      </c>
      <c r="I66" s="7" t="s">
        <v>60</v>
      </c>
      <c r="J66" s="9">
        <v>1</v>
      </c>
      <c r="K66" s="7"/>
      <c r="L66" s="7" t="s">
        <v>60</v>
      </c>
      <c r="M66" s="7"/>
      <c r="N66" s="7" t="s">
        <v>65</v>
      </c>
      <c r="O66" s="5" t="s">
        <v>939</v>
      </c>
      <c r="P66" s="5" t="s">
        <v>940</v>
      </c>
      <c r="Q66" s="5" t="s">
        <v>941</v>
      </c>
      <c r="R66" s="5" t="s">
        <v>942</v>
      </c>
      <c r="S66" s="7" t="s">
        <v>61</v>
      </c>
      <c r="T66" s="5"/>
      <c r="U66" s="5"/>
      <c r="V66" s="5" t="s">
        <v>469</v>
      </c>
      <c r="W66" s="5"/>
      <c r="X66" s="5"/>
      <c r="Y66" s="5" t="s">
        <v>943</v>
      </c>
      <c r="Z66" s="5" t="s">
        <v>944</v>
      </c>
      <c r="AA66" s="6" t="s">
        <v>147</v>
      </c>
    </row>
    <row r="67" spans="1:27" ht="24" customHeight="1">
      <c r="A67" s="3" t="s">
        <v>945</v>
      </c>
      <c r="B67" s="3" t="s">
        <v>320</v>
      </c>
      <c r="C67" s="3" t="s">
        <v>510</v>
      </c>
      <c r="D67" s="3" t="s">
        <v>946</v>
      </c>
      <c r="E67" s="3" t="s">
        <v>50</v>
      </c>
      <c r="F67" s="3" t="s">
        <v>905</v>
      </c>
      <c r="G67" s="8" t="s">
        <v>60</v>
      </c>
      <c r="H67" s="10">
        <v>1</v>
      </c>
      <c r="I67" s="8" t="s">
        <v>60</v>
      </c>
      <c r="J67" s="10">
        <v>1</v>
      </c>
      <c r="K67" s="8" t="s">
        <v>60</v>
      </c>
      <c r="L67" s="8" t="s">
        <v>60</v>
      </c>
      <c r="M67" s="8"/>
      <c r="N67" s="8" t="s">
        <v>64</v>
      </c>
      <c r="O67" s="3" t="s">
        <v>947</v>
      </c>
      <c r="P67" s="3" t="s">
        <v>948</v>
      </c>
      <c r="Q67" s="3" t="s">
        <v>949</v>
      </c>
      <c r="R67" s="3" t="s">
        <v>950</v>
      </c>
      <c r="S67" s="8" t="s">
        <v>60</v>
      </c>
      <c r="T67" s="3" t="s">
        <v>934</v>
      </c>
      <c r="U67" s="3"/>
      <c r="V67" s="3" t="s">
        <v>143</v>
      </c>
      <c r="W67" s="3" t="s">
        <v>144</v>
      </c>
      <c r="X67" s="3"/>
      <c r="Y67" s="3" t="s">
        <v>951</v>
      </c>
      <c r="Z67" s="3" t="s">
        <v>952</v>
      </c>
      <c r="AA67" s="4" t="s">
        <v>147</v>
      </c>
    </row>
    <row r="68" spans="1:27" ht="24" customHeight="1">
      <c r="A68" s="5" t="s">
        <v>953</v>
      </c>
      <c r="B68" s="5" t="s">
        <v>333</v>
      </c>
      <c r="C68" s="5" t="s">
        <v>510</v>
      </c>
      <c r="D68" s="5" t="s">
        <v>954</v>
      </c>
      <c r="E68" s="5" t="s">
        <v>50</v>
      </c>
      <c r="F68" s="5" t="s">
        <v>905</v>
      </c>
      <c r="G68" s="7" t="s">
        <v>60</v>
      </c>
      <c r="H68" s="9">
        <v>1</v>
      </c>
      <c r="I68" s="7" t="s">
        <v>60</v>
      </c>
      <c r="J68" s="9">
        <v>1</v>
      </c>
      <c r="K68" s="7" t="s">
        <v>60</v>
      </c>
      <c r="L68" s="7"/>
      <c r="M68" s="7"/>
      <c r="N68" s="7" t="s">
        <v>64</v>
      </c>
      <c r="O68" s="5" t="s">
        <v>955</v>
      </c>
      <c r="P68" s="5" t="s">
        <v>956</v>
      </c>
      <c r="Q68" s="5" t="s">
        <v>957</v>
      </c>
      <c r="R68" s="5" t="s">
        <v>958</v>
      </c>
      <c r="S68" s="7" t="s">
        <v>61</v>
      </c>
      <c r="T68" s="5"/>
      <c r="U68" s="5"/>
      <c r="V68" s="5" t="s">
        <v>143</v>
      </c>
      <c r="W68" s="5" t="s">
        <v>144</v>
      </c>
      <c r="X68" s="5"/>
      <c r="Y68" s="5" t="s">
        <v>959</v>
      </c>
      <c r="Z68" s="5" t="s">
        <v>960</v>
      </c>
      <c r="AA68" s="6" t="s">
        <v>147</v>
      </c>
    </row>
    <row r="69" spans="1:27" ht="24" customHeight="1">
      <c r="A69" s="3" t="s">
        <v>961</v>
      </c>
      <c r="B69" s="3" t="s">
        <v>344</v>
      </c>
      <c r="C69" s="3" t="s">
        <v>462</v>
      </c>
      <c r="D69" s="3" t="s">
        <v>962</v>
      </c>
      <c r="E69" s="3" t="s">
        <v>50</v>
      </c>
      <c r="F69" s="3" t="s">
        <v>905</v>
      </c>
      <c r="G69" s="8" t="s">
        <v>60</v>
      </c>
      <c r="H69" s="10">
        <v>1</v>
      </c>
      <c r="I69" s="8" t="s">
        <v>60</v>
      </c>
      <c r="J69" s="10">
        <v>1</v>
      </c>
      <c r="K69" s="8" t="s">
        <v>60</v>
      </c>
      <c r="L69" s="8"/>
      <c r="M69" s="8"/>
      <c r="N69" s="8" t="s">
        <v>64</v>
      </c>
      <c r="O69" s="3" t="s">
        <v>963</v>
      </c>
      <c r="P69" s="3" t="s">
        <v>964</v>
      </c>
      <c r="Q69" s="3" t="s">
        <v>965</v>
      </c>
      <c r="R69" s="3" t="s">
        <v>966</v>
      </c>
      <c r="S69" s="8" t="s">
        <v>60</v>
      </c>
      <c r="T69" s="3" t="s">
        <v>967</v>
      </c>
      <c r="U69" s="3"/>
      <c r="V69" s="3" t="s">
        <v>143</v>
      </c>
      <c r="W69" s="3" t="s">
        <v>144</v>
      </c>
      <c r="X69" s="3"/>
      <c r="Y69" s="3" t="s">
        <v>968</v>
      </c>
      <c r="Z69" s="3" t="s">
        <v>969</v>
      </c>
      <c r="AA69" s="4" t="s">
        <v>147</v>
      </c>
    </row>
    <row r="70" spans="1:27" ht="24" customHeight="1"/>
    <row r="71" spans="1:27" ht="24" customHeight="1"/>
    <row r="72" spans="1:27" ht="24" customHeight="1"/>
    <row r="73" spans="1:27" ht="24" customHeight="1"/>
    <row r="74" spans="1:27" ht="24" customHeight="1"/>
    <row r="75" spans="1:27" ht="24" customHeight="1"/>
    <row r="76" spans="1:27" ht="24" customHeight="1"/>
    <row r="77" spans="1:27" ht="24" customHeight="1"/>
  </sheetData>
  <mergeCells count="6">
    <mergeCell ref="AC1:AE1"/>
    <mergeCell ref="AG1:AN1"/>
    <mergeCell ref="AG9:AN9"/>
    <mergeCell ref="AC15:AK15"/>
    <mergeCell ref="AC35:AN35"/>
    <mergeCell ref="AC14:AN14"/>
  </mergeCells>
  <conditionalFormatting sqref="A2:AA77">
    <cfRule type="expression" dxfId="18" priority="14">
      <formula>$G2&lt;&gt;$I2</formula>
    </cfRule>
    <cfRule type="expression" dxfId="17" priority="15">
      <formula>LEFT($U2,11)="New passage"</formula>
    </cfRule>
  </conditionalFormatting>
  <conditionalFormatting sqref="G2:G77">
    <cfRule type="expression" dxfId="16" priority="1">
      <formula>G2="Yes"</formula>
    </cfRule>
    <cfRule type="expression" dxfId="15" priority="2">
      <formula>G2="No"</formula>
    </cfRule>
  </conditionalFormatting>
  <conditionalFormatting sqref="I2:I77">
    <cfRule type="expression" dxfId="14" priority="3">
      <formula>I2="Yes"</formula>
    </cfRule>
    <cfRule type="expression" dxfId="13" priority="4">
      <formula>I2="No"</formula>
    </cfRule>
    <cfRule type="expression" dxfId="12" priority="11">
      <formula>$G2&lt;&gt;$I2</formula>
    </cfRule>
  </conditionalFormatting>
  <conditionalFormatting sqref="K2:M77">
    <cfRule type="expression" dxfId="11" priority="5">
      <formula>K2="Yes"</formula>
    </cfRule>
    <cfRule type="expression" dxfId="10" priority="6">
      <formula>K2="No"</formula>
    </cfRule>
  </conditionalFormatting>
  <conditionalFormatting sqref="S2:S77">
    <cfRule type="expression" dxfId="9" priority="12">
      <formula>$S2="Yes"</formula>
    </cfRule>
  </conditionalFormatting>
  <conditionalFormatting sqref="U2:U77">
    <cfRule type="expression" dxfId="8" priority="13">
      <formula>$U2&lt;&gt;""</formula>
    </cfRule>
  </conditionalFormatting>
  <conditionalFormatting sqref="AF17:AF32">
    <cfRule type="expression" dxfId="7" priority="16">
      <formula>AF17="Yes"</formula>
    </cfRule>
    <cfRule type="expression" dxfId="6" priority="17">
      <formula>AF17="No"</formula>
    </cfRule>
  </conditionalFormatting>
  <conditionalFormatting sqref="AG17:AG32">
    <cfRule type="expression" dxfId="5" priority="18">
      <formula>AG17="Yes"</formula>
    </cfRule>
    <cfRule type="expression" dxfId="4" priority="19">
      <formula>AG17="No"</formula>
    </cfRule>
  </conditionalFormatting>
  <conditionalFormatting sqref="AH17:AH32">
    <cfRule type="expression" dxfId="3" priority="20">
      <formula>AH17="Yes"</formula>
    </cfRule>
    <cfRule type="expression" dxfId="2" priority="21">
      <formula>AH17="No"</formula>
    </cfRule>
  </conditionalFormatting>
  <conditionalFormatting sqref="AI17:AI32">
    <cfRule type="expression" dxfId="1" priority="22">
      <formula>AI17="Yes"</formula>
    </cfRule>
    <cfRule type="expression" dxfId="0" priority="23">
      <formula>AI17="No"</formula>
    </cfRule>
  </conditionalFormatting>
  <pageMargins left="0.7" right="0.7" top="0.75" bottom="0.75" header="0.3" footer="0.3"/>
  <tableParts count="3">
    <tablePart r:id="rId1"/>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7"/>
  <sheetViews>
    <sheetView workbookViewId="0"/>
  </sheetViews>
  <sheetFormatPr defaultRowHeight="14"/>
  <cols>
    <col min="1" max="1" width="30" customWidth="1"/>
    <col min="2" max="2" width="55" customWidth="1"/>
    <col min="3" max="3" width="47" customWidth="1"/>
    <col min="4" max="4" width="53" customWidth="1"/>
    <col min="5" max="5" width="54" customWidth="1"/>
    <col min="6" max="6" width="58" customWidth="1"/>
  </cols>
  <sheetData>
    <row r="1" spans="1:26" ht="34.65" customHeight="1">
      <c r="A1" s="50" t="s">
        <v>68</v>
      </c>
      <c r="B1" s="48"/>
      <c r="C1" s="48"/>
      <c r="D1" s="48"/>
      <c r="E1" s="48"/>
      <c r="F1" s="49"/>
      <c r="G1" s="35"/>
      <c r="H1" s="35"/>
      <c r="I1" s="35"/>
      <c r="J1" s="35"/>
      <c r="K1" s="35"/>
      <c r="L1" s="35"/>
      <c r="M1" s="35"/>
      <c r="N1" s="35"/>
      <c r="O1" s="35"/>
      <c r="P1" s="35"/>
      <c r="Q1" s="35"/>
      <c r="R1" s="35"/>
      <c r="S1" s="35"/>
      <c r="T1" s="35"/>
      <c r="U1" s="35"/>
      <c r="V1" s="35"/>
      <c r="W1" s="35"/>
      <c r="X1" s="35"/>
      <c r="Y1" s="35"/>
      <c r="Z1" s="35"/>
    </row>
    <row r="2" spans="1:26" ht="12.4" customHeight="1">
      <c r="A2" s="36" t="s">
        <v>69</v>
      </c>
      <c r="B2" s="36" t="s">
        <v>70</v>
      </c>
      <c r="C2" s="36" t="s">
        <v>71</v>
      </c>
      <c r="D2" s="36" t="s">
        <v>72</v>
      </c>
      <c r="E2" s="36" t="s">
        <v>73</v>
      </c>
      <c r="F2" s="36" t="s">
        <v>74</v>
      </c>
      <c r="G2" s="35"/>
      <c r="H2" s="35"/>
      <c r="I2" s="35"/>
      <c r="J2" s="35"/>
      <c r="K2" s="35"/>
      <c r="L2" s="35"/>
      <c r="M2" s="35"/>
      <c r="N2" s="35"/>
      <c r="O2" s="35"/>
      <c r="P2" s="35"/>
      <c r="Q2" s="35"/>
      <c r="R2" s="35"/>
      <c r="S2" s="35"/>
      <c r="T2" s="35"/>
      <c r="U2" s="35"/>
      <c r="V2" s="35"/>
      <c r="W2" s="35"/>
      <c r="X2" s="35"/>
      <c r="Y2" s="35"/>
      <c r="Z2" s="35"/>
    </row>
    <row r="3" spans="1:26" ht="10.65" customHeight="1">
      <c r="A3" s="51" t="s">
        <v>75</v>
      </c>
      <c r="B3" s="48"/>
      <c r="C3" s="48"/>
      <c r="D3" s="48"/>
      <c r="E3" s="48"/>
      <c r="F3" s="49"/>
      <c r="G3" s="35"/>
      <c r="H3" s="35"/>
      <c r="I3" s="35"/>
      <c r="J3" s="35"/>
      <c r="K3" s="35"/>
      <c r="L3" s="35"/>
      <c r="M3" s="35"/>
      <c r="N3" s="35"/>
      <c r="O3" s="35"/>
      <c r="P3" s="35"/>
      <c r="Q3" s="35"/>
      <c r="R3" s="35"/>
      <c r="S3" s="35"/>
      <c r="T3" s="35"/>
      <c r="U3" s="35"/>
      <c r="V3" s="35"/>
      <c r="W3" s="35"/>
      <c r="X3" s="35"/>
      <c r="Y3" s="35"/>
      <c r="Z3" s="35"/>
    </row>
    <row r="4" spans="1:26" ht="71.150000000000006" customHeight="1">
      <c r="A4" s="37" t="s">
        <v>76</v>
      </c>
      <c r="B4" s="37" t="s">
        <v>77</v>
      </c>
      <c r="C4" s="37" t="s">
        <v>78</v>
      </c>
      <c r="D4" s="37" t="s">
        <v>79</v>
      </c>
      <c r="E4" s="37" t="s">
        <v>80</v>
      </c>
      <c r="F4" s="37" t="s">
        <v>81</v>
      </c>
      <c r="G4" s="35"/>
      <c r="H4" s="35"/>
      <c r="I4" s="35"/>
      <c r="J4" s="35"/>
      <c r="K4" s="35"/>
      <c r="L4" s="35"/>
      <c r="M4" s="35"/>
      <c r="N4" s="35"/>
      <c r="O4" s="35"/>
      <c r="P4" s="35"/>
      <c r="Q4" s="35"/>
      <c r="R4" s="35"/>
      <c r="S4" s="35"/>
      <c r="T4" s="35"/>
      <c r="U4" s="35"/>
      <c r="V4" s="35"/>
      <c r="W4" s="35"/>
      <c r="X4" s="35"/>
      <c r="Y4" s="35"/>
      <c r="Z4" s="35"/>
    </row>
    <row r="5" spans="1:26" ht="10.65" customHeight="1">
      <c r="A5" s="51" t="s">
        <v>82</v>
      </c>
      <c r="B5" s="48"/>
      <c r="C5" s="48"/>
      <c r="D5" s="48"/>
      <c r="E5" s="48"/>
      <c r="F5" s="49"/>
      <c r="G5" s="35"/>
      <c r="H5" s="35"/>
      <c r="I5" s="35"/>
      <c r="J5" s="35"/>
      <c r="K5" s="35"/>
      <c r="L5" s="35"/>
      <c r="M5" s="35"/>
      <c r="N5" s="35"/>
      <c r="O5" s="35"/>
      <c r="P5" s="35"/>
      <c r="Q5" s="35"/>
      <c r="R5" s="35"/>
      <c r="S5" s="35"/>
      <c r="T5" s="35"/>
      <c r="U5" s="35"/>
      <c r="V5" s="35"/>
      <c r="W5" s="35"/>
      <c r="X5" s="35"/>
      <c r="Y5" s="35"/>
      <c r="Z5" s="35"/>
    </row>
    <row r="6" spans="1:26" ht="40.9" customHeight="1">
      <c r="A6" s="37" t="s">
        <v>83</v>
      </c>
      <c r="B6" s="37" t="s">
        <v>84</v>
      </c>
      <c r="C6" s="37" t="s">
        <v>85</v>
      </c>
      <c r="D6" s="37" t="s">
        <v>86</v>
      </c>
      <c r="E6" s="37" t="s">
        <v>87</v>
      </c>
      <c r="F6" s="37" t="s">
        <v>88</v>
      </c>
      <c r="G6" s="35"/>
      <c r="H6" s="35"/>
      <c r="I6" s="35"/>
      <c r="J6" s="35"/>
      <c r="K6" s="35"/>
      <c r="L6" s="35"/>
      <c r="M6" s="35"/>
      <c r="N6" s="35"/>
      <c r="O6" s="35"/>
      <c r="P6" s="35"/>
      <c r="Q6" s="35"/>
      <c r="R6" s="35"/>
      <c r="S6" s="35"/>
      <c r="T6" s="35"/>
      <c r="U6" s="35"/>
      <c r="V6" s="35"/>
      <c r="W6" s="35"/>
      <c r="X6" s="35"/>
      <c r="Y6" s="35"/>
      <c r="Z6" s="35"/>
    </row>
    <row r="7" spans="1:26" ht="40.9" customHeight="1">
      <c r="A7" s="37" t="s">
        <v>89</v>
      </c>
      <c r="B7" s="37" t="s">
        <v>90</v>
      </c>
      <c r="C7" s="37" t="s">
        <v>91</v>
      </c>
      <c r="D7" s="37" t="s">
        <v>92</v>
      </c>
      <c r="E7" s="37" t="s">
        <v>93</v>
      </c>
      <c r="F7" s="37" t="s">
        <v>94</v>
      </c>
      <c r="G7" s="35"/>
      <c r="H7" s="35"/>
      <c r="I7" s="35"/>
      <c r="J7" s="35"/>
      <c r="K7" s="35"/>
      <c r="L7" s="35"/>
      <c r="M7" s="35"/>
      <c r="N7" s="35"/>
      <c r="O7" s="35"/>
      <c r="P7" s="35"/>
      <c r="Q7" s="35"/>
      <c r="R7" s="35"/>
      <c r="S7" s="35"/>
      <c r="T7" s="35"/>
      <c r="U7" s="35"/>
      <c r="V7" s="35"/>
      <c r="W7" s="35"/>
      <c r="X7" s="35"/>
      <c r="Y7" s="35"/>
      <c r="Z7" s="35"/>
    </row>
    <row r="8" spans="1:26" ht="44.4" customHeight="1">
      <c r="A8" s="37" t="s">
        <v>95</v>
      </c>
      <c r="B8" s="37" t="s">
        <v>96</v>
      </c>
      <c r="C8" s="37" t="s">
        <v>97</v>
      </c>
      <c r="D8" s="37" t="s">
        <v>98</v>
      </c>
      <c r="E8" s="37" t="s">
        <v>99</v>
      </c>
      <c r="F8" s="37" t="s">
        <v>100</v>
      </c>
      <c r="G8" s="35"/>
      <c r="H8" s="35"/>
      <c r="I8" s="35"/>
      <c r="J8" s="35"/>
      <c r="K8" s="35"/>
      <c r="L8" s="35"/>
      <c r="M8" s="35"/>
      <c r="N8" s="35"/>
      <c r="O8" s="35"/>
      <c r="P8" s="35"/>
      <c r="Q8" s="35"/>
      <c r="R8" s="35"/>
      <c r="S8" s="35"/>
      <c r="T8" s="35"/>
      <c r="U8" s="35"/>
      <c r="V8" s="35"/>
      <c r="W8" s="35"/>
      <c r="X8" s="35"/>
      <c r="Y8" s="35"/>
      <c r="Z8" s="35"/>
    </row>
    <row r="9" spans="1:26" ht="48.9" customHeight="1">
      <c r="A9" s="37" t="s">
        <v>101</v>
      </c>
      <c r="B9" s="37" t="s">
        <v>102</v>
      </c>
      <c r="C9" s="37" t="s">
        <v>103</v>
      </c>
      <c r="D9" s="37" t="s">
        <v>104</v>
      </c>
      <c r="E9" s="37" t="s">
        <v>105</v>
      </c>
      <c r="F9" s="37" t="s">
        <v>106</v>
      </c>
      <c r="G9" s="35"/>
      <c r="H9" s="35"/>
      <c r="I9" s="35"/>
      <c r="J9" s="35"/>
      <c r="K9" s="35"/>
      <c r="L9" s="35"/>
      <c r="M9" s="35"/>
      <c r="N9" s="35"/>
      <c r="O9" s="35"/>
      <c r="P9" s="35"/>
      <c r="Q9" s="35"/>
      <c r="R9" s="35"/>
      <c r="S9" s="35"/>
      <c r="T9" s="35"/>
      <c r="U9" s="35"/>
      <c r="V9" s="35"/>
      <c r="W9" s="35"/>
      <c r="X9" s="35"/>
      <c r="Y9" s="35"/>
      <c r="Z9" s="35"/>
    </row>
    <row r="10" spans="1:26" ht="46.65" customHeight="1">
      <c r="A10" s="37" t="s">
        <v>107</v>
      </c>
      <c r="B10" s="37" t="s">
        <v>108</v>
      </c>
      <c r="C10" s="37" t="s">
        <v>109</v>
      </c>
      <c r="D10" s="37" t="s">
        <v>110</v>
      </c>
      <c r="E10" s="37" t="s">
        <v>111</v>
      </c>
      <c r="F10" s="37" t="s">
        <v>112</v>
      </c>
      <c r="G10" s="35"/>
      <c r="H10" s="35"/>
      <c r="I10" s="35"/>
      <c r="J10" s="35"/>
      <c r="K10" s="35"/>
      <c r="L10" s="35"/>
      <c r="M10" s="35"/>
      <c r="N10" s="35"/>
      <c r="O10" s="35"/>
      <c r="P10" s="35"/>
      <c r="Q10" s="35"/>
      <c r="R10" s="35"/>
      <c r="S10" s="35"/>
      <c r="T10" s="35"/>
      <c r="U10" s="35"/>
      <c r="V10" s="35"/>
      <c r="W10" s="35"/>
      <c r="X10" s="35"/>
      <c r="Y10" s="35"/>
      <c r="Z10" s="35"/>
    </row>
    <row r="11" spans="1:26" ht="10.65" customHeight="1">
      <c r="A11" s="51" t="s">
        <v>113</v>
      </c>
      <c r="B11" s="48"/>
      <c r="C11" s="48"/>
      <c r="D11" s="48"/>
      <c r="E11" s="48"/>
      <c r="F11" s="49"/>
      <c r="G11" s="35"/>
      <c r="H11" s="35"/>
      <c r="I11" s="35"/>
      <c r="J11" s="35"/>
      <c r="K11" s="35"/>
      <c r="L11" s="35"/>
      <c r="M11" s="35"/>
      <c r="N11" s="35"/>
      <c r="O11" s="35"/>
      <c r="P11" s="35"/>
      <c r="Q11" s="35"/>
      <c r="R11" s="35"/>
      <c r="S11" s="35"/>
      <c r="T11" s="35"/>
      <c r="U11" s="35"/>
      <c r="V11" s="35"/>
      <c r="W11" s="35"/>
      <c r="X11" s="35"/>
      <c r="Y11" s="35"/>
      <c r="Z11" s="35"/>
    </row>
    <row r="12" spans="1:26" ht="39.15" customHeight="1">
      <c r="A12" s="37" t="s">
        <v>114</v>
      </c>
      <c r="B12" s="37" t="s">
        <v>115</v>
      </c>
      <c r="C12" s="37" t="s">
        <v>116</v>
      </c>
      <c r="D12" s="37" t="s">
        <v>117</v>
      </c>
      <c r="E12" s="37" t="s">
        <v>118</v>
      </c>
      <c r="F12" s="37" t="s">
        <v>119</v>
      </c>
      <c r="G12" s="35"/>
      <c r="H12" s="35"/>
      <c r="I12" s="35"/>
      <c r="J12" s="35"/>
      <c r="K12" s="35"/>
      <c r="L12" s="35"/>
      <c r="M12" s="35"/>
      <c r="N12" s="35"/>
      <c r="O12" s="35"/>
      <c r="P12" s="35"/>
      <c r="Q12" s="35"/>
      <c r="R12" s="35"/>
      <c r="S12" s="35"/>
      <c r="T12" s="35"/>
      <c r="U12" s="35"/>
      <c r="V12" s="35"/>
      <c r="W12" s="35"/>
      <c r="X12" s="35"/>
      <c r="Y12" s="35"/>
      <c r="Z12" s="35"/>
    </row>
    <row r="13" spans="1:26" ht="10.65" customHeight="1">
      <c r="A13" s="52" t="s">
        <v>120</v>
      </c>
      <c r="B13" s="48"/>
      <c r="C13" s="48"/>
      <c r="D13" s="48"/>
      <c r="E13" s="48"/>
      <c r="F13" s="49"/>
      <c r="G13" s="35"/>
      <c r="H13" s="35"/>
      <c r="I13" s="35"/>
      <c r="J13" s="35"/>
      <c r="K13" s="35"/>
      <c r="L13" s="35"/>
      <c r="M13" s="35"/>
      <c r="N13" s="35"/>
      <c r="O13" s="35"/>
      <c r="P13" s="35"/>
      <c r="Q13" s="35"/>
      <c r="R13" s="35"/>
      <c r="S13" s="35"/>
      <c r="T13" s="35"/>
      <c r="U13" s="35"/>
      <c r="V13" s="35"/>
      <c r="W13" s="35"/>
      <c r="X13" s="35"/>
      <c r="Y13" s="35"/>
      <c r="Z13" s="35"/>
    </row>
    <row r="14" spans="1:26" ht="32.9" customHeight="1">
      <c r="A14" s="38" t="s">
        <v>121</v>
      </c>
      <c r="B14" s="38" t="s">
        <v>122</v>
      </c>
      <c r="C14" s="38" t="s">
        <v>123</v>
      </c>
      <c r="D14" s="38" t="s">
        <v>124</v>
      </c>
      <c r="E14" s="38" t="s">
        <v>125</v>
      </c>
      <c r="F14" s="38" t="s">
        <v>126</v>
      </c>
      <c r="G14" s="39"/>
      <c r="H14" s="39"/>
      <c r="I14" s="39"/>
      <c r="J14" s="39"/>
      <c r="K14" s="39"/>
      <c r="L14" s="39"/>
      <c r="M14" s="39"/>
      <c r="N14" s="39"/>
      <c r="O14" s="39"/>
      <c r="P14" s="39"/>
      <c r="Q14" s="39"/>
      <c r="R14" s="39"/>
      <c r="S14" s="39"/>
      <c r="T14" s="39"/>
      <c r="U14" s="39"/>
      <c r="V14" s="39"/>
      <c r="W14" s="39"/>
      <c r="X14" s="39"/>
      <c r="Y14" s="39"/>
      <c r="Z14" s="39"/>
    </row>
    <row r="15" spans="1:26" ht="32.9" customHeight="1">
      <c r="A15" s="38" t="s">
        <v>127</v>
      </c>
      <c r="B15" s="38" t="s">
        <v>128</v>
      </c>
      <c r="C15" s="38" t="s">
        <v>129</v>
      </c>
      <c r="D15" s="38" t="s">
        <v>130</v>
      </c>
      <c r="E15" s="38" t="s">
        <v>131</v>
      </c>
      <c r="F15" s="38" t="s">
        <v>132</v>
      </c>
      <c r="G15" s="39"/>
      <c r="H15" s="39"/>
      <c r="I15" s="39"/>
      <c r="J15" s="39"/>
      <c r="K15" s="39"/>
      <c r="L15" s="39"/>
      <c r="M15" s="39"/>
      <c r="N15" s="39"/>
      <c r="O15" s="39"/>
      <c r="P15" s="39"/>
      <c r="Q15" s="39"/>
      <c r="R15" s="39"/>
      <c r="S15" s="39"/>
      <c r="T15" s="39"/>
      <c r="U15" s="39"/>
      <c r="V15" s="39"/>
      <c r="W15" s="39"/>
      <c r="X15" s="39"/>
      <c r="Y15" s="39"/>
      <c r="Z15" s="39"/>
    </row>
    <row r="16" spans="1:26" ht="10.65" customHeight="1">
      <c r="A16" s="47" t="s">
        <v>133</v>
      </c>
      <c r="B16" s="48"/>
      <c r="C16" s="48"/>
      <c r="D16" s="48"/>
      <c r="E16" s="48"/>
      <c r="F16" s="49"/>
      <c r="G16" s="35"/>
      <c r="H16" s="35"/>
      <c r="I16" s="35"/>
      <c r="J16" s="35"/>
      <c r="K16" s="35"/>
      <c r="L16" s="35"/>
      <c r="M16" s="35"/>
      <c r="N16" s="35"/>
      <c r="O16" s="35"/>
      <c r="P16" s="35"/>
      <c r="Q16" s="35"/>
      <c r="R16" s="35"/>
      <c r="S16" s="35"/>
      <c r="T16" s="35"/>
      <c r="U16" s="35"/>
      <c r="V16" s="35"/>
      <c r="W16" s="35"/>
      <c r="X16" s="35"/>
      <c r="Y16" s="35"/>
      <c r="Z16" s="35"/>
    </row>
    <row r="17" spans="2:3">
      <c r="B17" s="40"/>
      <c r="C17" s="40"/>
    </row>
    <row r="18" spans="2:3">
      <c r="B18" s="40"/>
      <c r="C18" s="40"/>
    </row>
    <row r="19" spans="2:3">
      <c r="B19" s="40"/>
      <c r="C19" s="40"/>
    </row>
    <row r="20" spans="2:3">
      <c r="B20" s="40"/>
      <c r="C20" s="40"/>
    </row>
    <row r="21" spans="2:3">
      <c r="B21" s="40"/>
      <c r="C21" s="40"/>
    </row>
    <row r="22" spans="2:3">
      <c r="B22" s="40"/>
      <c r="C22" s="40"/>
    </row>
    <row r="23" spans="2:3">
      <c r="B23" s="40"/>
      <c r="C23" s="40"/>
    </row>
    <row r="24" spans="2:3">
      <c r="B24" s="40"/>
      <c r="C24" s="40"/>
    </row>
    <row r="25" spans="2:3">
      <c r="B25" s="40"/>
      <c r="C25" s="40"/>
    </row>
    <row r="26" spans="2:3">
      <c r="B26" s="40"/>
      <c r="C26" s="40"/>
    </row>
    <row r="27" spans="2:3">
      <c r="B27" s="40"/>
      <c r="C27" s="40"/>
    </row>
    <row r="28" spans="2:3">
      <c r="B28" s="40"/>
      <c r="C28" s="40"/>
    </row>
    <row r="29" spans="2:3">
      <c r="B29" s="40"/>
      <c r="C29" s="40"/>
    </row>
    <row r="30" spans="2:3">
      <c r="B30" s="40"/>
      <c r="C30" s="40"/>
    </row>
    <row r="31" spans="2:3">
      <c r="B31" s="40"/>
      <c r="C31" s="40"/>
    </row>
    <row r="32" spans="2:3">
      <c r="B32" s="40"/>
      <c r="C32" s="40"/>
    </row>
    <row r="33" spans="2:3">
      <c r="B33" s="40"/>
      <c r="C33" s="40"/>
    </row>
    <row r="34" spans="2:3">
      <c r="B34" s="40"/>
      <c r="C34" s="40"/>
    </row>
    <row r="35" spans="2:3">
      <c r="B35" s="40"/>
      <c r="C35" s="40"/>
    </row>
    <row r="36" spans="2:3">
      <c r="B36" s="40"/>
      <c r="C36" s="40"/>
    </row>
    <row r="37" spans="2:3">
      <c r="B37" s="40"/>
      <c r="C37" s="40"/>
    </row>
    <row r="38" spans="2:3">
      <c r="B38" s="40"/>
      <c r="C38" s="40"/>
    </row>
    <row r="39" spans="2:3">
      <c r="B39" s="40"/>
      <c r="C39" s="40"/>
    </row>
    <row r="40" spans="2:3">
      <c r="B40" s="40"/>
      <c r="C40" s="40"/>
    </row>
    <row r="41" spans="2:3">
      <c r="B41" s="40"/>
      <c r="C41" s="40"/>
    </row>
    <row r="42" spans="2:3">
      <c r="B42" s="40"/>
      <c r="C42" s="40"/>
    </row>
    <row r="43" spans="2:3">
      <c r="B43" s="40"/>
      <c r="C43" s="40"/>
    </row>
    <row r="44" spans="2:3">
      <c r="B44" s="40"/>
      <c r="C44" s="40"/>
    </row>
    <row r="45" spans="2:3">
      <c r="B45" s="40"/>
      <c r="C45" s="40"/>
    </row>
    <row r="46" spans="2:3">
      <c r="B46" s="40"/>
      <c r="C46" s="40"/>
    </row>
    <row r="47" spans="2:3">
      <c r="B47" s="40"/>
      <c r="C47" s="40"/>
    </row>
    <row r="48" spans="2:3">
      <c r="B48" s="40"/>
      <c r="C48" s="40"/>
    </row>
    <row r="49" spans="2:3">
      <c r="B49" s="40"/>
      <c r="C49" s="40"/>
    </row>
    <row r="50" spans="2:3">
      <c r="B50" s="40"/>
      <c r="C50" s="40"/>
    </row>
    <row r="51" spans="2:3">
      <c r="B51" s="40"/>
      <c r="C51" s="40"/>
    </row>
    <row r="52" spans="2:3">
      <c r="B52" s="40"/>
      <c r="C52" s="40"/>
    </row>
    <row r="53" spans="2:3">
      <c r="B53" s="40"/>
      <c r="C53" s="40"/>
    </row>
    <row r="54" spans="2:3">
      <c r="B54" s="40"/>
      <c r="C54" s="40"/>
    </row>
    <row r="55" spans="2:3">
      <c r="B55" s="40"/>
      <c r="C55" s="40"/>
    </row>
    <row r="56" spans="2:3">
      <c r="B56" s="40"/>
      <c r="C56" s="40"/>
    </row>
    <row r="57" spans="2:3">
      <c r="B57" s="40"/>
      <c r="C57" s="40"/>
    </row>
    <row r="58" spans="2:3">
      <c r="B58" s="40"/>
      <c r="C58" s="40"/>
    </row>
    <row r="59" spans="2:3">
      <c r="B59" s="40"/>
      <c r="C59" s="40"/>
    </row>
    <row r="60" spans="2:3">
      <c r="B60" s="40"/>
      <c r="C60" s="40"/>
    </row>
    <row r="61" spans="2:3">
      <c r="B61" s="40"/>
      <c r="C61" s="40"/>
    </row>
    <row r="62" spans="2:3">
      <c r="B62" s="40"/>
      <c r="C62" s="40"/>
    </row>
    <row r="63" spans="2:3">
      <c r="B63" s="40"/>
      <c r="C63" s="40"/>
    </row>
    <row r="64" spans="2:3">
      <c r="B64" s="40"/>
      <c r="C64" s="40"/>
    </row>
    <row r="65" spans="2:3">
      <c r="B65" s="40"/>
      <c r="C65" s="40"/>
    </row>
    <row r="66" spans="2:3">
      <c r="B66" s="40"/>
      <c r="C66" s="40"/>
    </row>
    <row r="67" spans="2:3">
      <c r="B67" s="40"/>
      <c r="C67" s="40"/>
    </row>
    <row r="68" spans="2:3">
      <c r="B68" s="40"/>
      <c r="C68" s="40"/>
    </row>
    <row r="69" spans="2:3">
      <c r="B69" s="40"/>
      <c r="C69" s="40"/>
    </row>
    <row r="70" spans="2:3">
      <c r="B70" s="40"/>
      <c r="C70" s="40"/>
    </row>
    <row r="71" spans="2:3">
      <c r="B71" s="40"/>
      <c r="C71" s="40"/>
    </row>
    <row r="72" spans="2:3">
      <c r="B72" s="40"/>
      <c r="C72" s="40"/>
    </row>
    <row r="73" spans="2:3">
      <c r="B73" s="40"/>
      <c r="C73" s="40"/>
    </row>
    <row r="74" spans="2:3">
      <c r="B74" s="40"/>
      <c r="C74" s="40"/>
    </row>
    <row r="75" spans="2:3">
      <c r="B75" s="40"/>
      <c r="C75" s="40"/>
    </row>
    <row r="76" spans="2:3">
      <c r="B76" s="40"/>
      <c r="C76" s="40"/>
    </row>
    <row r="77" spans="2:3">
      <c r="B77" s="40"/>
      <c r="C77" s="40"/>
    </row>
    <row r="78" spans="2:3">
      <c r="B78" s="40"/>
      <c r="C78" s="40"/>
    </row>
    <row r="79" spans="2:3">
      <c r="B79" s="40"/>
      <c r="C79" s="40"/>
    </row>
    <row r="80" spans="2:3">
      <c r="B80" s="40"/>
      <c r="C80" s="40"/>
    </row>
    <row r="81" spans="2:3">
      <c r="B81" s="40"/>
      <c r="C81" s="40"/>
    </row>
    <row r="82" spans="2:3">
      <c r="B82" s="40"/>
      <c r="C82" s="40"/>
    </row>
    <row r="83" spans="2:3">
      <c r="B83" s="40"/>
      <c r="C83" s="40"/>
    </row>
    <row r="84" spans="2:3">
      <c r="B84" s="40"/>
      <c r="C84" s="40"/>
    </row>
    <row r="85" spans="2:3">
      <c r="B85" s="40"/>
      <c r="C85" s="40"/>
    </row>
    <row r="86" spans="2:3">
      <c r="B86" s="40"/>
      <c r="C86" s="40"/>
    </row>
    <row r="87" spans="2:3">
      <c r="B87" s="40"/>
      <c r="C87" s="40"/>
    </row>
    <row r="88" spans="2:3">
      <c r="B88" s="40"/>
      <c r="C88" s="40"/>
    </row>
    <row r="89" spans="2:3">
      <c r="B89" s="40"/>
      <c r="C89" s="40"/>
    </row>
    <row r="90" spans="2:3">
      <c r="B90" s="40"/>
      <c r="C90" s="40"/>
    </row>
    <row r="91" spans="2:3">
      <c r="B91" s="40"/>
      <c r="C91" s="40"/>
    </row>
    <row r="92" spans="2:3">
      <c r="B92" s="40"/>
      <c r="C92" s="40"/>
    </row>
    <row r="93" spans="2:3">
      <c r="B93" s="40"/>
      <c r="C93" s="40"/>
    </row>
    <row r="94" spans="2:3">
      <c r="B94" s="40"/>
      <c r="C94" s="40"/>
    </row>
    <row r="95" spans="2:3">
      <c r="B95" s="40"/>
      <c r="C95" s="40"/>
    </row>
    <row r="96" spans="2:3">
      <c r="B96" s="40"/>
      <c r="C96" s="40"/>
    </row>
    <row r="97" spans="2:3">
      <c r="B97" s="40"/>
      <c r="C97" s="40"/>
    </row>
    <row r="98" spans="2:3">
      <c r="B98" s="40"/>
      <c r="C98" s="40"/>
    </row>
    <row r="99" spans="2:3">
      <c r="B99" s="40"/>
      <c r="C99" s="40"/>
    </row>
    <row r="100" spans="2:3">
      <c r="B100" s="40"/>
      <c r="C100" s="40"/>
    </row>
    <row r="101" spans="2:3">
      <c r="B101" s="40"/>
      <c r="C101" s="40"/>
    </row>
    <row r="102" spans="2:3">
      <c r="B102" s="40"/>
      <c r="C102" s="40"/>
    </row>
    <row r="103" spans="2:3">
      <c r="B103" s="40"/>
      <c r="C103" s="40"/>
    </row>
    <row r="104" spans="2:3">
      <c r="B104" s="40"/>
      <c r="C104" s="40"/>
    </row>
    <row r="105" spans="2:3">
      <c r="B105" s="40"/>
      <c r="C105" s="40"/>
    </row>
    <row r="106" spans="2:3">
      <c r="B106" s="40"/>
      <c r="C106" s="40"/>
    </row>
    <row r="107" spans="2:3">
      <c r="B107" s="40"/>
      <c r="C107" s="40"/>
    </row>
    <row r="108" spans="2:3">
      <c r="B108" s="40"/>
      <c r="C108" s="40"/>
    </row>
    <row r="109" spans="2:3">
      <c r="B109" s="40"/>
      <c r="C109" s="40"/>
    </row>
    <row r="110" spans="2:3">
      <c r="B110" s="40"/>
      <c r="C110" s="40"/>
    </row>
    <row r="111" spans="2:3">
      <c r="B111" s="40"/>
      <c r="C111" s="40"/>
    </row>
    <row r="112" spans="2:3">
      <c r="B112" s="40"/>
      <c r="C112" s="40"/>
    </row>
    <row r="113" spans="2:3">
      <c r="B113" s="40"/>
      <c r="C113" s="40"/>
    </row>
    <row r="114" spans="2:3">
      <c r="B114" s="40"/>
      <c r="C114" s="40"/>
    </row>
    <row r="115" spans="2:3">
      <c r="B115" s="40"/>
      <c r="C115" s="40"/>
    </row>
    <row r="116" spans="2:3">
      <c r="B116" s="40"/>
      <c r="C116" s="40"/>
    </row>
    <row r="117" spans="2:3">
      <c r="B117" s="40"/>
      <c r="C117" s="40"/>
    </row>
    <row r="118" spans="2:3">
      <c r="B118" s="40"/>
      <c r="C118" s="40"/>
    </row>
    <row r="119" spans="2:3">
      <c r="B119" s="40"/>
      <c r="C119" s="40"/>
    </row>
    <row r="120" spans="2:3">
      <c r="B120" s="40"/>
      <c r="C120" s="40"/>
    </row>
    <row r="121" spans="2:3">
      <c r="B121" s="40"/>
      <c r="C121" s="40"/>
    </row>
    <row r="122" spans="2:3">
      <c r="B122" s="40"/>
      <c r="C122" s="40"/>
    </row>
    <row r="123" spans="2:3">
      <c r="B123" s="40"/>
      <c r="C123" s="40"/>
    </row>
    <row r="124" spans="2:3">
      <c r="B124" s="40"/>
      <c r="C124" s="40"/>
    </row>
    <row r="125" spans="2:3">
      <c r="B125" s="40"/>
      <c r="C125" s="40"/>
    </row>
    <row r="126" spans="2:3">
      <c r="B126" s="40"/>
      <c r="C126" s="40"/>
    </row>
    <row r="127" spans="2:3">
      <c r="B127" s="40"/>
      <c r="C127" s="40"/>
    </row>
    <row r="128" spans="2:3">
      <c r="B128" s="40"/>
      <c r="C128" s="40"/>
    </row>
    <row r="129" spans="2:3">
      <c r="B129" s="40"/>
      <c r="C129" s="40"/>
    </row>
    <row r="130" spans="2:3">
      <c r="B130" s="40"/>
      <c r="C130" s="40"/>
    </row>
    <row r="131" spans="2:3">
      <c r="B131" s="40"/>
      <c r="C131" s="40"/>
    </row>
    <row r="132" spans="2:3">
      <c r="B132" s="40"/>
      <c r="C132" s="40"/>
    </row>
    <row r="133" spans="2:3">
      <c r="B133" s="40"/>
      <c r="C133" s="40"/>
    </row>
    <row r="134" spans="2:3">
      <c r="B134" s="40"/>
      <c r="C134" s="40"/>
    </row>
    <row r="135" spans="2:3">
      <c r="B135" s="40"/>
      <c r="C135" s="40"/>
    </row>
    <row r="136" spans="2:3">
      <c r="B136" s="40"/>
      <c r="C136" s="40"/>
    </row>
    <row r="137" spans="2:3">
      <c r="B137" s="40"/>
      <c r="C137" s="40"/>
    </row>
    <row r="138" spans="2:3">
      <c r="B138" s="40"/>
      <c r="C138" s="40"/>
    </row>
    <row r="139" spans="2:3">
      <c r="B139" s="40"/>
      <c r="C139" s="40"/>
    </row>
    <row r="140" spans="2:3">
      <c r="B140" s="40"/>
      <c r="C140" s="40"/>
    </row>
    <row r="141" spans="2:3">
      <c r="B141" s="40"/>
      <c r="C141" s="40"/>
    </row>
    <row r="142" spans="2:3">
      <c r="B142" s="40"/>
      <c r="C142" s="40"/>
    </row>
    <row r="143" spans="2:3">
      <c r="B143" s="40"/>
      <c r="C143" s="40"/>
    </row>
    <row r="144" spans="2:3">
      <c r="B144" s="40"/>
      <c r="C144" s="40"/>
    </row>
    <row r="145" spans="2:3">
      <c r="B145" s="40"/>
      <c r="C145" s="40"/>
    </row>
    <row r="146" spans="2:3">
      <c r="B146" s="40"/>
      <c r="C146" s="40"/>
    </row>
    <row r="147" spans="2:3">
      <c r="B147" s="40"/>
      <c r="C147" s="40"/>
    </row>
    <row r="148" spans="2:3">
      <c r="B148" s="40"/>
      <c r="C148" s="40"/>
    </row>
    <row r="149" spans="2:3">
      <c r="B149" s="40"/>
      <c r="C149" s="40"/>
    </row>
    <row r="150" spans="2:3">
      <c r="B150" s="40"/>
      <c r="C150" s="40"/>
    </row>
    <row r="151" spans="2:3">
      <c r="B151" s="40"/>
      <c r="C151" s="40"/>
    </row>
    <row r="152" spans="2:3">
      <c r="B152" s="40"/>
      <c r="C152" s="40"/>
    </row>
    <row r="153" spans="2:3">
      <c r="B153" s="40"/>
      <c r="C153" s="40"/>
    </row>
    <row r="154" spans="2:3">
      <c r="B154" s="40"/>
      <c r="C154" s="40"/>
    </row>
    <row r="155" spans="2:3">
      <c r="B155" s="40"/>
      <c r="C155" s="40"/>
    </row>
    <row r="156" spans="2:3">
      <c r="B156" s="40"/>
      <c r="C156" s="40"/>
    </row>
    <row r="157" spans="2:3">
      <c r="B157" s="40"/>
      <c r="C157" s="40"/>
    </row>
    <row r="158" spans="2:3">
      <c r="B158" s="40"/>
      <c r="C158" s="40"/>
    </row>
    <row r="159" spans="2:3">
      <c r="B159" s="40"/>
      <c r="C159" s="40"/>
    </row>
    <row r="160" spans="2:3">
      <c r="B160" s="40"/>
      <c r="C160" s="40"/>
    </row>
    <row r="161" spans="2:3">
      <c r="B161" s="40"/>
      <c r="C161" s="40"/>
    </row>
    <row r="162" spans="2:3">
      <c r="B162" s="40"/>
      <c r="C162" s="40"/>
    </row>
    <row r="163" spans="2:3">
      <c r="B163" s="40"/>
      <c r="C163" s="40"/>
    </row>
    <row r="164" spans="2:3">
      <c r="B164" s="40"/>
      <c r="C164" s="40"/>
    </row>
    <row r="165" spans="2:3">
      <c r="B165" s="40"/>
      <c r="C165" s="40"/>
    </row>
    <row r="166" spans="2:3">
      <c r="B166" s="40"/>
      <c r="C166" s="40"/>
    </row>
    <row r="167" spans="2:3">
      <c r="B167" s="40"/>
      <c r="C167" s="40"/>
    </row>
    <row r="168" spans="2:3">
      <c r="B168" s="40"/>
      <c r="C168" s="40"/>
    </row>
    <row r="169" spans="2:3">
      <c r="B169" s="40"/>
      <c r="C169" s="40"/>
    </row>
    <row r="170" spans="2:3">
      <c r="B170" s="40"/>
      <c r="C170" s="40"/>
    </row>
    <row r="171" spans="2:3">
      <c r="B171" s="40"/>
      <c r="C171" s="40"/>
    </row>
    <row r="172" spans="2:3">
      <c r="B172" s="40"/>
      <c r="C172" s="40"/>
    </row>
    <row r="173" spans="2:3">
      <c r="B173" s="40"/>
      <c r="C173" s="40"/>
    </row>
    <row r="174" spans="2:3">
      <c r="B174" s="40"/>
      <c r="C174" s="40"/>
    </row>
    <row r="175" spans="2:3">
      <c r="B175" s="40"/>
      <c r="C175" s="40"/>
    </row>
    <row r="176" spans="2:3">
      <c r="B176" s="40"/>
      <c r="C176" s="40"/>
    </row>
    <row r="177" spans="2:3">
      <c r="B177" s="40"/>
      <c r="C177" s="40"/>
    </row>
    <row r="178" spans="2:3">
      <c r="B178" s="40"/>
      <c r="C178" s="40"/>
    </row>
    <row r="179" spans="2:3">
      <c r="B179" s="40"/>
      <c r="C179" s="40"/>
    </row>
    <row r="180" spans="2:3">
      <c r="B180" s="40"/>
      <c r="C180" s="40"/>
    </row>
    <row r="181" spans="2:3">
      <c r="B181" s="40"/>
      <c r="C181" s="40"/>
    </row>
    <row r="182" spans="2:3">
      <c r="B182" s="40"/>
      <c r="C182" s="40"/>
    </row>
    <row r="183" spans="2:3">
      <c r="B183" s="40"/>
      <c r="C183" s="40"/>
    </row>
    <row r="184" spans="2:3">
      <c r="B184" s="40"/>
      <c r="C184" s="40"/>
    </row>
    <row r="185" spans="2:3">
      <c r="B185" s="40"/>
      <c r="C185" s="40"/>
    </row>
    <row r="186" spans="2:3">
      <c r="B186" s="40"/>
      <c r="C186" s="40"/>
    </row>
    <row r="187" spans="2:3">
      <c r="B187" s="40"/>
      <c r="C187" s="40"/>
    </row>
    <row r="188" spans="2:3">
      <c r="B188" s="40"/>
      <c r="C188" s="40"/>
    </row>
    <row r="189" spans="2:3">
      <c r="B189" s="40"/>
      <c r="C189" s="40"/>
    </row>
    <row r="190" spans="2:3">
      <c r="B190" s="40"/>
      <c r="C190" s="40"/>
    </row>
    <row r="191" spans="2:3">
      <c r="B191" s="40"/>
      <c r="C191" s="40"/>
    </row>
    <row r="192" spans="2:3">
      <c r="B192" s="40"/>
      <c r="C192" s="40"/>
    </row>
    <row r="193" spans="2:3">
      <c r="B193" s="40"/>
      <c r="C193" s="40"/>
    </row>
    <row r="194" spans="2:3">
      <c r="B194" s="40"/>
      <c r="C194" s="40"/>
    </row>
    <row r="195" spans="2:3">
      <c r="B195" s="40"/>
      <c r="C195" s="40"/>
    </row>
    <row r="196" spans="2:3">
      <c r="B196" s="40"/>
      <c r="C196" s="40"/>
    </row>
    <row r="197" spans="2:3">
      <c r="B197" s="40"/>
      <c r="C197" s="40"/>
    </row>
    <row r="198" spans="2:3">
      <c r="B198" s="40"/>
      <c r="C198" s="40"/>
    </row>
    <row r="199" spans="2:3">
      <c r="B199" s="40"/>
      <c r="C199" s="40"/>
    </row>
    <row r="200" spans="2:3">
      <c r="B200" s="40"/>
      <c r="C200" s="40"/>
    </row>
    <row r="201" spans="2:3">
      <c r="B201" s="40"/>
      <c r="C201" s="40"/>
    </row>
    <row r="202" spans="2:3">
      <c r="B202" s="40"/>
      <c r="C202" s="40"/>
    </row>
    <row r="203" spans="2:3">
      <c r="B203" s="40"/>
      <c r="C203" s="40"/>
    </row>
    <row r="204" spans="2:3">
      <c r="B204" s="40"/>
      <c r="C204" s="40"/>
    </row>
    <row r="205" spans="2:3">
      <c r="B205" s="40"/>
      <c r="C205" s="40"/>
    </row>
    <row r="206" spans="2:3">
      <c r="B206" s="40"/>
      <c r="C206" s="40"/>
    </row>
    <row r="207" spans="2:3">
      <c r="B207" s="40"/>
      <c r="C207" s="40"/>
    </row>
    <row r="208" spans="2:3">
      <c r="B208" s="40"/>
      <c r="C208" s="40"/>
    </row>
    <row r="209" spans="2:3">
      <c r="B209" s="40"/>
      <c r="C209" s="40"/>
    </row>
    <row r="210" spans="2:3">
      <c r="B210" s="40"/>
      <c r="C210" s="40"/>
    </row>
    <row r="211" spans="2:3">
      <c r="B211" s="40"/>
      <c r="C211" s="40"/>
    </row>
    <row r="212" spans="2:3">
      <c r="B212" s="40"/>
      <c r="C212" s="40"/>
    </row>
    <row r="213" spans="2:3">
      <c r="B213" s="40"/>
      <c r="C213" s="40"/>
    </row>
    <row r="214" spans="2:3">
      <c r="B214" s="40"/>
      <c r="C214" s="40"/>
    </row>
    <row r="215" spans="2:3">
      <c r="B215" s="40"/>
      <c r="C215" s="40"/>
    </row>
    <row r="216" spans="2:3">
      <c r="B216" s="40"/>
      <c r="C216" s="40"/>
    </row>
    <row r="217" spans="2:3">
      <c r="B217" s="40"/>
      <c r="C217" s="40"/>
    </row>
    <row r="218" spans="2:3">
      <c r="B218" s="40"/>
      <c r="C218" s="40"/>
    </row>
    <row r="219" spans="2:3">
      <c r="B219" s="40"/>
      <c r="C219" s="40"/>
    </row>
    <row r="220" spans="2:3">
      <c r="B220" s="40"/>
      <c r="C220" s="40"/>
    </row>
    <row r="221" spans="2:3">
      <c r="B221" s="40"/>
      <c r="C221" s="40"/>
    </row>
    <row r="222" spans="2:3">
      <c r="B222" s="40"/>
      <c r="C222" s="40"/>
    </row>
    <row r="223" spans="2:3">
      <c r="B223" s="40"/>
      <c r="C223" s="40"/>
    </row>
    <row r="224" spans="2:3">
      <c r="B224" s="40"/>
      <c r="C224" s="40"/>
    </row>
    <row r="225" spans="2:3">
      <c r="B225" s="40"/>
      <c r="C225" s="40"/>
    </row>
    <row r="226" spans="2:3">
      <c r="B226" s="40"/>
      <c r="C226" s="40"/>
    </row>
    <row r="227" spans="2:3">
      <c r="B227" s="40"/>
      <c r="C227" s="40"/>
    </row>
    <row r="228" spans="2:3">
      <c r="B228" s="40"/>
      <c r="C228" s="40"/>
    </row>
    <row r="229" spans="2:3">
      <c r="B229" s="40"/>
      <c r="C229" s="40"/>
    </row>
    <row r="230" spans="2:3">
      <c r="B230" s="40"/>
      <c r="C230" s="40"/>
    </row>
    <row r="231" spans="2:3">
      <c r="B231" s="40"/>
      <c r="C231" s="40"/>
    </row>
    <row r="232" spans="2:3">
      <c r="B232" s="40"/>
      <c r="C232" s="40"/>
    </row>
    <row r="233" spans="2:3">
      <c r="B233" s="40"/>
      <c r="C233" s="40"/>
    </row>
    <row r="234" spans="2:3">
      <c r="B234" s="40"/>
      <c r="C234" s="40"/>
    </row>
    <row r="235" spans="2:3">
      <c r="B235" s="40"/>
      <c r="C235" s="40"/>
    </row>
    <row r="236" spans="2:3">
      <c r="B236" s="40"/>
      <c r="C236" s="40"/>
    </row>
    <row r="237" spans="2:3">
      <c r="B237" s="40"/>
      <c r="C237" s="40"/>
    </row>
    <row r="238" spans="2:3">
      <c r="B238" s="40"/>
      <c r="C238" s="40"/>
    </row>
    <row r="239" spans="2:3">
      <c r="B239" s="40"/>
      <c r="C239" s="40"/>
    </row>
    <row r="240" spans="2:3">
      <c r="B240" s="40"/>
      <c r="C240" s="40"/>
    </row>
    <row r="241" spans="2:3">
      <c r="B241" s="40"/>
      <c r="C241" s="40"/>
    </row>
    <row r="242" spans="2:3">
      <c r="B242" s="40"/>
      <c r="C242" s="40"/>
    </row>
    <row r="243" spans="2:3">
      <c r="B243" s="40"/>
      <c r="C243" s="40"/>
    </row>
    <row r="244" spans="2:3">
      <c r="B244" s="40"/>
      <c r="C244" s="40"/>
    </row>
    <row r="245" spans="2:3">
      <c r="B245" s="40"/>
      <c r="C245" s="40"/>
    </row>
    <row r="246" spans="2:3">
      <c r="B246" s="40"/>
      <c r="C246" s="40"/>
    </row>
    <row r="247" spans="2:3">
      <c r="B247" s="40"/>
      <c r="C247" s="40"/>
    </row>
    <row r="248" spans="2:3">
      <c r="B248" s="40"/>
      <c r="C248" s="40"/>
    </row>
    <row r="249" spans="2:3">
      <c r="B249" s="40"/>
      <c r="C249" s="40"/>
    </row>
    <row r="250" spans="2:3">
      <c r="B250" s="40"/>
      <c r="C250" s="40"/>
    </row>
    <row r="251" spans="2:3">
      <c r="B251" s="40"/>
      <c r="C251" s="40"/>
    </row>
    <row r="252" spans="2:3">
      <c r="B252" s="40"/>
      <c r="C252" s="40"/>
    </row>
    <row r="253" spans="2:3">
      <c r="B253" s="40"/>
      <c r="C253" s="40"/>
    </row>
    <row r="254" spans="2:3">
      <c r="B254" s="40"/>
      <c r="C254" s="40"/>
    </row>
    <row r="255" spans="2:3">
      <c r="B255" s="40"/>
      <c r="C255" s="40"/>
    </row>
    <row r="256" spans="2:3">
      <c r="B256" s="40"/>
      <c r="C256" s="40"/>
    </row>
    <row r="257" spans="2:3">
      <c r="B257" s="40"/>
      <c r="C257" s="40"/>
    </row>
    <row r="258" spans="2:3">
      <c r="B258" s="40"/>
      <c r="C258" s="40"/>
    </row>
    <row r="259" spans="2:3">
      <c r="B259" s="40"/>
      <c r="C259" s="40"/>
    </row>
    <row r="260" spans="2:3">
      <c r="B260" s="40"/>
      <c r="C260" s="40"/>
    </row>
    <row r="261" spans="2:3">
      <c r="B261" s="40"/>
      <c r="C261" s="40"/>
    </row>
    <row r="262" spans="2:3">
      <c r="B262" s="40"/>
      <c r="C262" s="40"/>
    </row>
    <row r="263" spans="2:3">
      <c r="B263" s="40"/>
      <c r="C263" s="40"/>
    </row>
    <row r="264" spans="2:3">
      <c r="B264" s="40"/>
      <c r="C264" s="40"/>
    </row>
    <row r="265" spans="2:3">
      <c r="B265" s="40"/>
      <c r="C265" s="40"/>
    </row>
    <row r="266" spans="2:3">
      <c r="B266" s="40"/>
      <c r="C266" s="40"/>
    </row>
    <row r="267" spans="2:3">
      <c r="B267" s="40"/>
      <c r="C267" s="40"/>
    </row>
    <row r="268" spans="2:3">
      <c r="B268" s="40"/>
      <c r="C268" s="40"/>
    </row>
    <row r="269" spans="2:3">
      <c r="B269" s="40"/>
      <c r="C269" s="40"/>
    </row>
    <row r="270" spans="2:3">
      <c r="B270" s="40"/>
      <c r="C270" s="40"/>
    </row>
    <row r="271" spans="2:3">
      <c r="B271" s="40"/>
      <c r="C271" s="40"/>
    </row>
    <row r="272" spans="2:3">
      <c r="B272" s="40"/>
      <c r="C272" s="40"/>
    </row>
    <row r="273" spans="2:3">
      <c r="B273" s="40"/>
      <c r="C273" s="40"/>
    </row>
    <row r="274" spans="2:3">
      <c r="B274" s="40"/>
      <c r="C274" s="40"/>
    </row>
    <row r="275" spans="2:3">
      <c r="B275" s="40"/>
      <c r="C275" s="40"/>
    </row>
    <row r="276" spans="2:3">
      <c r="B276" s="40"/>
      <c r="C276" s="40"/>
    </row>
    <row r="277" spans="2:3">
      <c r="B277" s="40"/>
      <c r="C277" s="40"/>
    </row>
    <row r="278" spans="2:3">
      <c r="B278" s="40"/>
      <c r="C278" s="40"/>
    </row>
    <row r="279" spans="2:3">
      <c r="B279" s="40"/>
      <c r="C279" s="40"/>
    </row>
    <row r="280" spans="2:3">
      <c r="B280" s="40"/>
      <c r="C280" s="40"/>
    </row>
    <row r="281" spans="2:3">
      <c r="B281" s="40"/>
      <c r="C281" s="40"/>
    </row>
    <row r="282" spans="2:3">
      <c r="B282" s="40"/>
      <c r="C282" s="40"/>
    </row>
    <row r="283" spans="2:3">
      <c r="B283" s="40"/>
      <c r="C283" s="40"/>
    </row>
    <row r="284" spans="2:3">
      <c r="B284" s="40"/>
      <c r="C284" s="40"/>
    </row>
    <row r="285" spans="2:3">
      <c r="B285" s="40"/>
      <c r="C285" s="40"/>
    </row>
    <row r="286" spans="2:3">
      <c r="B286" s="40"/>
      <c r="C286" s="40"/>
    </row>
    <row r="287" spans="2:3">
      <c r="B287" s="40"/>
      <c r="C287" s="40"/>
    </row>
    <row r="288" spans="2:3">
      <c r="B288" s="40"/>
      <c r="C288" s="40"/>
    </row>
    <row r="289" spans="2:3">
      <c r="B289" s="40"/>
      <c r="C289" s="40"/>
    </row>
    <row r="290" spans="2:3">
      <c r="B290" s="40"/>
      <c r="C290" s="40"/>
    </row>
    <row r="291" spans="2:3">
      <c r="B291" s="40"/>
      <c r="C291" s="40"/>
    </row>
    <row r="292" spans="2:3">
      <c r="B292" s="40"/>
      <c r="C292" s="40"/>
    </row>
    <row r="293" spans="2:3">
      <c r="B293" s="40"/>
      <c r="C293" s="40"/>
    </row>
    <row r="294" spans="2:3">
      <c r="B294" s="40"/>
      <c r="C294" s="40"/>
    </row>
    <row r="295" spans="2:3">
      <c r="B295" s="40"/>
      <c r="C295" s="40"/>
    </row>
    <row r="296" spans="2:3">
      <c r="B296" s="40"/>
      <c r="C296" s="40"/>
    </row>
    <row r="297" spans="2:3">
      <c r="B297" s="40"/>
      <c r="C297" s="40"/>
    </row>
    <row r="298" spans="2:3">
      <c r="B298" s="40"/>
      <c r="C298" s="40"/>
    </row>
    <row r="299" spans="2:3">
      <c r="B299" s="40"/>
      <c r="C299" s="40"/>
    </row>
    <row r="300" spans="2:3">
      <c r="B300" s="40"/>
      <c r="C300" s="40"/>
    </row>
    <row r="301" spans="2:3">
      <c r="B301" s="40"/>
      <c r="C301" s="40"/>
    </row>
    <row r="302" spans="2:3">
      <c r="B302" s="40"/>
      <c r="C302" s="40"/>
    </row>
    <row r="303" spans="2:3">
      <c r="B303" s="40"/>
      <c r="C303" s="40"/>
    </row>
    <row r="304" spans="2:3">
      <c r="B304" s="40"/>
      <c r="C304" s="40"/>
    </row>
    <row r="305" spans="2:3">
      <c r="B305" s="40"/>
      <c r="C305" s="40"/>
    </row>
    <row r="306" spans="2:3">
      <c r="B306" s="40"/>
      <c r="C306" s="40"/>
    </row>
    <row r="307" spans="2:3">
      <c r="B307" s="40"/>
      <c r="C307" s="40"/>
    </row>
    <row r="308" spans="2:3">
      <c r="B308" s="40"/>
      <c r="C308" s="40"/>
    </row>
    <row r="309" spans="2:3">
      <c r="B309" s="40"/>
      <c r="C309" s="40"/>
    </row>
    <row r="310" spans="2:3">
      <c r="B310" s="40"/>
      <c r="C310" s="40"/>
    </row>
    <row r="311" spans="2:3">
      <c r="B311" s="40"/>
      <c r="C311" s="40"/>
    </row>
    <row r="312" spans="2:3">
      <c r="B312" s="40"/>
      <c r="C312" s="40"/>
    </row>
    <row r="313" spans="2:3">
      <c r="B313" s="40"/>
      <c r="C313" s="40"/>
    </row>
    <row r="314" spans="2:3">
      <c r="B314" s="40"/>
      <c r="C314" s="40"/>
    </row>
    <row r="315" spans="2:3">
      <c r="B315" s="40"/>
      <c r="C315" s="40"/>
    </row>
    <row r="316" spans="2:3">
      <c r="B316" s="40"/>
      <c r="C316" s="40"/>
    </row>
    <row r="317" spans="2:3">
      <c r="B317" s="40"/>
      <c r="C317" s="40"/>
    </row>
    <row r="318" spans="2:3">
      <c r="B318" s="40"/>
      <c r="C318" s="40"/>
    </row>
    <row r="319" spans="2:3">
      <c r="B319" s="40"/>
      <c r="C319" s="40"/>
    </row>
    <row r="320" spans="2:3">
      <c r="B320" s="40"/>
      <c r="C320" s="40"/>
    </row>
    <row r="321" spans="2:3">
      <c r="B321" s="40"/>
      <c r="C321" s="40"/>
    </row>
    <row r="322" spans="2:3">
      <c r="B322" s="40"/>
      <c r="C322" s="40"/>
    </row>
    <row r="323" spans="2:3">
      <c r="B323" s="40"/>
      <c r="C323" s="40"/>
    </row>
    <row r="324" spans="2:3">
      <c r="B324" s="40"/>
      <c r="C324" s="40"/>
    </row>
    <row r="325" spans="2:3">
      <c r="B325" s="40"/>
      <c r="C325" s="40"/>
    </row>
    <row r="326" spans="2:3">
      <c r="B326" s="40"/>
      <c r="C326" s="40"/>
    </row>
    <row r="327" spans="2:3">
      <c r="B327" s="40"/>
      <c r="C327" s="40"/>
    </row>
    <row r="328" spans="2:3">
      <c r="B328" s="40"/>
      <c r="C328" s="40"/>
    </row>
    <row r="329" spans="2:3">
      <c r="B329" s="40"/>
      <c r="C329" s="40"/>
    </row>
    <row r="330" spans="2:3">
      <c r="B330" s="40"/>
      <c r="C330" s="40"/>
    </row>
    <row r="331" spans="2:3">
      <c r="B331" s="40"/>
      <c r="C331" s="40"/>
    </row>
    <row r="332" spans="2:3">
      <c r="B332" s="40"/>
      <c r="C332" s="40"/>
    </row>
    <row r="333" spans="2:3">
      <c r="B333" s="40"/>
      <c r="C333" s="40"/>
    </row>
    <row r="334" spans="2:3">
      <c r="B334" s="40"/>
      <c r="C334" s="40"/>
    </row>
    <row r="335" spans="2:3">
      <c r="B335" s="40"/>
      <c r="C335" s="40"/>
    </row>
    <row r="336" spans="2:3">
      <c r="B336" s="40"/>
      <c r="C336" s="40"/>
    </row>
    <row r="337" spans="2:3">
      <c r="B337" s="40"/>
      <c r="C337" s="40"/>
    </row>
    <row r="338" spans="2:3">
      <c r="B338" s="40"/>
      <c r="C338" s="40"/>
    </row>
    <row r="339" spans="2:3">
      <c r="B339" s="40"/>
      <c r="C339" s="40"/>
    </row>
    <row r="340" spans="2:3">
      <c r="B340" s="40"/>
      <c r="C340" s="40"/>
    </row>
    <row r="341" spans="2:3">
      <c r="B341" s="40"/>
      <c r="C341" s="40"/>
    </row>
    <row r="342" spans="2:3">
      <c r="B342" s="40"/>
      <c r="C342" s="40"/>
    </row>
    <row r="343" spans="2:3">
      <c r="B343" s="40"/>
      <c r="C343" s="40"/>
    </row>
    <row r="344" spans="2:3">
      <c r="B344" s="40"/>
      <c r="C344" s="40"/>
    </row>
    <row r="345" spans="2:3">
      <c r="B345" s="40"/>
      <c r="C345" s="40"/>
    </row>
    <row r="346" spans="2:3">
      <c r="B346" s="40"/>
      <c r="C346" s="40"/>
    </row>
    <row r="347" spans="2:3">
      <c r="B347" s="40"/>
      <c r="C347" s="40"/>
    </row>
    <row r="348" spans="2:3">
      <c r="B348" s="40"/>
      <c r="C348" s="40"/>
    </row>
    <row r="349" spans="2:3">
      <c r="B349" s="40"/>
      <c r="C349" s="40"/>
    </row>
    <row r="350" spans="2:3">
      <c r="B350" s="40"/>
      <c r="C350" s="40"/>
    </row>
    <row r="351" spans="2:3">
      <c r="B351" s="40"/>
      <c r="C351" s="40"/>
    </row>
    <row r="352" spans="2:3">
      <c r="B352" s="40"/>
      <c r="C352" s="40"/>
    </row>
    <row r="353" spans="2:3">
      <c r="B353" s="40"/>
      <c r="C353" s="40"/>
    </row>
    <row r="354" spans="2:3">
      <c r="B354" s="40"/>
      <c r="C354" s="40"/>
    </row>
    <row r="355" spans="2:3">
      <c r="B355" s="40"/>
      <c r="C355" s="40"/>
    </row>
    <row r="356" spans="2:3">
      <c r="B356" s="40"/>
      <c r="C356" s="40"/>
    </row>
    <row r="357" spans="2:3">
      <c r="B357" s="40"/>
      <c r="C357" s="40"/>
    </row>
    <row r="358" spans="2:3">
      <c r="B358" s="40"/>
      <c r="C358" s="40"/>
    </row>
    <row r="359" spans="2:3">
      <c r="B359" s="40"/>
      <c r="C359" s="40"/>
    </row>
    <row r="360" spans="2:3">
      <c r="B360" s="40"/>
      <c r="C360" s="40"/>
    </row>
    <row r="361" spans="2:3">
      <c r="B361" s="40"/>
      <c r="C361" s="40"/>
    </row>
    <row r="362" spans="2:3">
      <c r="B362" s="40"/>
      <c r="C362" s="40"/>
    </row>
    <row r="363" spans="2:3">
      <c r="B363" s="40"/>
      <c r="C363" s="40"/>
    </row>
    <row r="364" spans="2:3">
      <c r="B364" s="40"/>
      <c r="C364" s="40"/>
    </row>
    <row r="365" spans="2:3">
      <c r="B365" s="40"/>
      <c r="C365" s="40"/>
    </row>
    <row r="366" spans="2:3">
      <c r="B366" s="40"/>
      <c r="C366" s="40"/>
    </row>
    <row r="367" spans="2:3">
      <c r="B367" s="40"/>
      <c r="C367" s="40"/>
    </row>
    <row r="368" spans="2:3">
      <c r="B368" s="40"/>
      <c r="C368" s="40"/>
    </row>
    <row r="369" spans="2:3">
      <c r="B369" s="40"/>
      <c r="C369" s="40"/>
    </row>
    <row r="370" spans="2:3">
      <c r="B370" s="40"/>
      <c r="C370" s="40"/>
    </row>
    <row r="371" spans="2:3">
      <c r="B371" s="40"/>
      <c r="C371" s="40"/>
    </row>
    <row r="372" spans="2:3">
      <c r="B372" s="40"/>
      <c r="C372" s="40"/>
    </row>
    <row r="373" spans="2:3">
      <c r="B373" s="40"/>
      <c r="C373" s="40"/>
    </row>
    <row r="374" spans="2:3">
      <c r="B374" s="40"/>
      <c r="C374" s="40"/>
    </row>
    <row r="375" spans="2:3">
      <c r="B375" s="40"/>
      <c r="C375" s="40"/>
    </row>
    <row r="376" spans="2:3">
      <c r="B376" s="40"/>
      <c r="C376" s="40"/>
    </row>
    <row r="377" spans="2:3">
      <c r="B377" s="40"/>
      <c r="C377" s="40"/>
    </row>
    <row r="378" spans="2:3">
      <c r="B378" s="40"/>
      <c r="C378" s="40"/>
    </row>
    <row r="379" spans="2:3">
      <c r="B379" s="40"/>
      <c r="C379" s="40"/>
    </row>
    <row r="380" spans="2:3">
      <c r="B380" s="40"/>
      <c r="C380" s="40"/>
    </row>
    <row r="381" spans="2:3">
      <c r="B381" s="40"/>
      <c r="C381" s="40"/>
    </row>
    <row r="382" spans="2:3">
      <c r="B382" s="40"/>
      <c r="C382" s="40"/>
    </row>
    <row r="383" spans="2:3">
      <c r="B383" s="40"/>
      <c r="C383" s="40"/>
    </row>
    <row r="384" spans="2:3">
      <c r="B384" s="40"/>
      <c r="C384" s="40"/>
    </row>
    <row r="385" spans="2:3">
      <c r="B385" s="40"/>
      <c r="C385" s="40"/>
    </row>
    <row r="386" spans="2:3">
      <c r="B386" s="40"/>
      <c r="C386" s="40"/>
    </row>
    <row r="387" spans="2:3">
      <c r="B387" s="40"/>
      <c r="C387" s="40"/>
    </row>
    <row r="388" spans="2:3">
      <c r="B388" s="40"/>
      <c r="C388" s="40"/>
    </row>
    <row r="389" spans="2:3">
      <c r="B389" s="40"/>
      <c r="C389" s="40"/>
    </row>
    <row r="390" spans="2:3">
      <c r="B390" s="40"/>
      <c r="C390" s="40"/>
    </row>
    <row r="391" spans="2:3">
      <c r="B391" s="40"/>
      <c r="C391" s="40"/>
    </row>
    <row r="392" spans="2:3">
      <c r="B392" s="40"/>
      <c r="C392" s="40"/>
    </row>
    <row r="393" spans="2:3">
      <c r="B393" s="40"/>
      <c r="C393" s="40"/>
    </row>
    <row r="394" spans="2:3">
      <c r="B394" s="40"/>
      <c r="C394" s="40"/>
    </row>
    <row r="395" spans="2:3">
      <c r="B395" s="40"/>
      <c r="C395" s="40"/>
    </row>
    <row r="396" spans="2:3">
      <c r="B396" s="40"/>
      <c r="C396" s="40"/>
    </row>
    <row r="397" spans="2:3">
      <c r="B397" s="40"/>
      <c r="C397" s="40"/>
    </row>
    <row r="398" spans="2:3">
      <c r="B398" s="40"/>
      <c r="C398" s="40"/>
    </row>
    <row r="399" spans="2:3">
      <c r="B399" s="40"/>
      <c r="C399" s="40"/>
    </row>
    <row r="400" spans="2:3">
      <c r="B400" s="40"/>
      <c r="C400" s="40"/>
    </row>
    <row r="401" spans="2:3">
      <c r="B401" s="40"/>
      <c r="C401" s="40"/>
    </row>
    <row r="402" spans="2:3">
      <c r="B402" s="40"/>
      <c r="C402" s="40"/>
    </row>
    <row r="403" spans="2:3">
      <c r="B403" s="40"/>
      <c r="C403" s="40"/>
    </row>
    <row r="404" spans="2:3">
      <c r="B404" s="40"/>
      <c r="C404" s="40"/>
    </row>
    <row r="405" spans="2:3">
      <c r="B405" s="40"/>
      <c r="C405" s="40"/>
    </row>
    <row r="406" spans="2:3">
      <c r="B406" s="40"/>
      <c r="C406" s="40"/>
    </row>
    <row r="407" spans="2:3">
      <c r="B407" s="40"/>
      <c r="C407" s="40"/>
    </row>
    <row r="408" spans="2:3">
      <c r="B408" s="40"/>
      <c r="C408" s="40"/>
    </row>
    <row r="409" spans="2:3">
      <c r="B409" s="40"/>
      <c r="C409" s="40"/>
    </row>
    <row r="410" spans="2:3">
      <c r="B410" s="40"/>
      <c r="C410" s="40"/>
    </row>
    <row r="411" spans="2:3">
      <c r="B411" s="40"/>
      <c r="C411" s="40"/>
    </row>
    <row r="412" spans="2:3">
      <c r="B412" s="40"/>
      <c r="C412" s="40"/>
    </row>
    <row r="413" spans="2:3">
      <c r="B413" s="40"/>
      <c r="C413" s="40"/>
    </row>
    <row r="414" spans="2:3">
      <c r="B414" s="40"/>
      <c r="C414" s="40"/>
    </row>
    <row r="415" spans="2:3">
      <c r="B415" s="40"/>
      <c r="C415" s="40"/>
    </row>
    <row r="416" spans="2:3">
      <c r="B416" s="40"/>
      <c r="C416" s="40"/>
    </row>
    <row r="417" spans="2:3">
      <c r="B417" s="40"/>
      <c r="C417" s="40"/>
    </row>
    <row r="418" spans="2:3">
      <c r="B418" s="40"/>
      <c r="C418" s="40"/>
    </row>
    <row r="419" spans="2:3">
      <c r="B419" s="40"/>
      <c r="C419" s="40"/>
    </row>
    <row r="420" spans="2:3">
      <c r="B420" s="40"/>
      <c r="C420" s="40"/>
    </row>
    <row r="421" spans="2:3">
      <c r="B421" s="40"/>
      <c r="C421" s="40"/>
    </row>
    <row r="422" spans="2:3">
      <c r="B422" s="40"/>
      <c r="C422" s="40"/>
    </row>
    <row r="423" spans="2:3">
      <c r="B423" s="40"/>
      <c r="C423" s="40"/>
    </row>
    <row r="424" spans="2:3">
      <c r="B424" s="40"/>
      <c r="C424" s="40"/>
    </row>
    <row r="425" spans="2:3">
      <c r="B425" s="40"/>
      <c r="C425" s="40"/>
    </row>
    <row r="426" spans="2:3">
      <c r="B426" s="40"/>
      <c r="C426" s="40"/>
    </row>
    <row r="427" spans="2:3">
      <c r="B427" s="40"/>
      <c r="C427" s="40"/>
    </row>
    <row r="428" spans="2:3">
      <c r="B428" s="40"/>
      <c r="C428" s="40"/>
    </row>
    <row r="429" spans="2:3">
      <c r="B429" s="40"/>
      <c r="C429" s="40"/>
    </row>
    <row r="430" spans="2:3">
      <c r="B430" s="40"/>
      <c r="C430" s="40"/>
    </row>
    <row r="431" spans="2:3">
      <c r="B431" s="40"/>
      <c r="C431" s="40"/>
    </row>
    <row r="432" spans="2:3">
      <c r="B432" s="40"/>
      <c r="C432" s="40"/>
    </row>
    <row r="433" spans="2:3">
      <c r="B433" s="40"/>
      <c r="C433" s="40"/>
    </row>
    <row r="434" spans="2:3">
      <c r="B434" s="40"/>
      <c r="C434" s="40"/>
    </row>
    <row r="435" spans="2:3">
      <c r="B435" s="40"/>
      <c r="C435" s="40"/>
    </row>
    <row r="436" spans="2:3">
      <c r="B436" s="40"/>
      <c r="C436" s="40"/>
    </row>
    <row r="437" spans="2:3">
      <c r="B437" s="40"/>
      <c r="C437" s="40"/>
    </row>
    <row r="438" spans="2:3">
      <c r="B438" s="40"/>
      <c r="C438" s="40"/>
    </row>
    <row r="439" spans="2:3">
      <c r="B439" s="40"/>
      <c r="C439" s="40"/>
    </row>
    <row r="440" spans="2:3">
      <c r="B440" s="40"/>
      <c r="C440" s="40"/>
    </row>
    <row r="441" spans="2:3">
      <c r="B441" s="40"/>
      <c r="C441" s="40"/>
    </row>
    <row r="442" spans="2:3">
      <c r="B442" s="40"/>
      <c r="C442" s="40"/>
    </row>
    <row r="443" spans="2:3">
      <c r="B443" s="40"/>
      <c r="C443" s="40"/>
    </row>
    <row r="444" spans="2:3">
      <c r="B444" s="40"/>
      <c r="C444" s="40"/>
    </row>
    <row r="445" spans="2:3">
      <c r="B445" s="40"/>
      <c r="C445" s="40"/>
    </row>
    <row r="446" spans="2:3">
      <c r="B446" s="40"/>
      <c r="C446" s="40"/>
    </row>
    <row r="447" spans="2:3">
      <c r="B447" s="40"/>
      <c r="C447" s="40"/>
    </row>
    <row r="448" spans="2:3">
      <c r="B448" s="40"/>
      <c r="C448" s="40"/>
    </row>
    <row r="449" spans="2:3">
      <c r="B449" s="40"/>
      <c r="C449" s="40"/>
    </row>
    <row r="450" spans="2:3">
      <c r="B450" s="40"/>
      <c r="C450" s="40"/>
    </row>
    <row r="451" spans="2:3">
      <c r="B451" s="40"/>
      <c r="C451" s="40"/>
    </row>
    <row r="452" spans="2:3">
      <c r="B452" s="40"/>
      <c r="C452" s="40"/>
    </row>
    <row r="453" spans="2:3">
      <c r="B453" s="40"/>
      <c r="C453" s="40"/>
    </row>
    <row r="454" spans="2:3">
      <c r="B454" s="40"/>
      <c r="C454" s="40"/>
    </row>
    <row r="455" spans="2:3">
      <c r="B455" s="40"/>
      <c r="C455" s="40"/>
    </row>
    <row r="456" spans="2:3">
      <c r="B456" s="40"/>
      <c r="C456" s="40"/>
    </row>
    <row r="457" spans="2:3">
      <c r="B457" s="40"/>
      <c r="C457" s="40"/>
    </row>
    <row r="458" spans="2:3">
      <c r="B458" s="40"/>
      <c r="C458" s="40"/>
    </row>
    <row r="459" spans="2:3">
      <c r="B459" s="40"/>
      <c r="C459" s="40"/>
    </row>
    <row r="460" spans="2:3">
      <c r="B460" s="40"/>
      <c r="C460" s="40"/>
    </row>
    <row r="461" spans="2:3">
      <c r="B461" s="40"/>
      <c r="C461" s="40"/>
    </row>
    <row r="462" spans="2:3">
      <c r="B462" s="40"/>
      <c r="C462" s="40"/>
    </row>
    <row r="463" spans="2:3">
      <c r="B463" s="40"/>
      <c r="C463" s="40"/>
    </row>
    <row r="464" spans="2:3">
      <c r="B464" s="40"/>
      <c r="C464" s="40"/>
    </row>
    <row r="465" spans="2:3">
      <c r="B465" s="40"/>
      <c r="C465" s="40"/>
    </row>
    <row r="466" spans="2:3">
      <c r="B466" s="40"/>
      <c r="C466" s="40"/>
    </row>
    <row r="467" spans="2:3">
      <c r="B467" s="40"/>
      <c r="C467" s="40"/>
    </row>
    <row r="468" spans="2:3">
      <c r="B468" s="40"/>
      <c r="C468" s="40"/>
    </row>
    <row r="469" spans="2:3">
      <c r="B469" s="40"/>
      <c r="C469" s="40"/>
    </row>
    <row r="470" spans="2:3">
      <c r="B470" s="40"/>
      <c r="C470" s="40"/>
    </row>
    <row r="471" spans="2:3">
      <c r="B471" s="40"/>
      <c r="C471" s="40"/>
    </row>
    <row r="472" spans="2:3">
      <c r="B472" s="40"/>
      <c r="C472" s="40"/>
    </row>
    <row r="473" spans="2:3">
      <c r="B473" s="40"/>
      <c r="C473" s="40"/>
    </row>
    <row r="474" spans="2:3">
      <c r="B474" s="40"/>
      <c r="C474" s="40"/>
    </row>
    <row r="475" spans="2:3">
      <c r="B475" s="40"/>
      <c r="C475" s="40"/>
    </row>
    <row r="476" spans="2:3">
      <c r="B476" s="40"/>
      <c r="C476" s="40"/>
    </row>
    <row r="477" spans="2:3">
      <c r="B477" s="40"/>
      <c r="C477" s="40"/>
    </row>
    <row r="478" spans="2:3">
      <c r="B478" s="40"/>
      <c r="C478" s="40"/>
    </row>
    <row r="479" spans="2:3">
      <c r="B479" s="40"/>
      <c r="C479" s="40"/>
    </row>
    <row r="480" spans="2:3">
      <c r="B480" s="40"/>
      <c r="C480" s="40"/>
    </row>
    <row r="481" spans="2:3">
      <c r="B481" s="40"/>
      <c r="C481" s="40"/>
    </row>
    <row r="482" spans="2:3">
      <c r="B482" s="40"/>
      <c r="C482" s="40"/>
    </row>
    <row r="483" spans="2:3">
      <c r="B483" s="40"/>
      <c r="C483" s="40"/>
    </row>
    <row r="484" spans="2:3">
      <c r="B484" s="40"/>
      <c r="C484" s="40"/>
    </row>
    <row r="485" spans="2:3">
      <c r="B485" s="40"/>
      <c r="C485" s="40"/>
    </row>
    <row r="486" spans="2:3">
      <c r="B486" s="40"/>
      <c r="C486" s="40"/>
    </row>
    <row r="487" spans="2:3">
      <c r="B487" s="40"/>
      <c r="C487" s="40"/>
    </row>
    <row r="488" spans="2:3">
      <c r="B488" s="40"/>
      <c r="C488" s="40"/>
    </row>
    <row r="489" spans="2:3">
      <c r="B489" s="40"/>
      <c r="C489" s="40"/>
    </row>
    <row r="490" spans="2:3">
      <c r="B490" s="40"/>
      <c r="C490" s="40"/>
    </row>
    <row r="491" spans="2:3">
      <c r="B491" s="40"/>
      <c r="C491" s="40"/>
    </row>
    <row r="492" spans="2:3">
      <c r="B492" s="40"/>
      <c r="C492" s="40"/>
    </row>
    <row r="493" spans="2:3">
      <c r="B493" s="40"/>
      <c r="C493" s="40"/>
    </row>
    <row r="494" spans="2:3">
      <c r="B494" s="40"/>
      <c r="C494" s="40"/>
    </row>
    <row r="495" spans="2:3">
      <c r="B495" s="40"/>
      <c r="C495" s="40"/>
    </row>
    <row r="496" spans="2:3">
      <c r="B496" s="40"/>
      <c r="C496" s="40"/>
    </row>
    <row r="497" spans="2:3">
      <c r="B497" s="40"/>
      <c r="C497" s="40"/>
    </row>
    <row r="498" spans="2:3">
      <c r="B498" s="40"/>
      <c r="C498" s="40"/>
    </row>
    <row r="499" spans="2:3">
      <c r="B499" s="40"/>
      <c r="C499" s="40"/>
    </row>
    <row r="500" spans="2:3">
      <c r="B500" s="40"/>
      <c r="C500" s="40"/>
    </row>
    <row r="501" spans="2:3">
      <c r="B501" s="40"/>
      <c r="C501" s="40"/>
    </row>
    <row r="502" spans="2:3">
      <c r="B502" s="40"/>
      <c r="C502" s="40"/>
    </row>
    <row r="503" spans="2:3">
      <c r="B503" s="40"/>
      <c r="C503" s="40"/>
    </row>
    <row r="504" spans="2:3">
      <c r="B504" s="40"/>
      <c r="C504" s="40"/>
    </row>
    <row r="505" spans="2:3">
      <c r="B505" s="40"/>
      <c r="C505" s="40"/>
    </row>
    <row r="506" spans="2:3">
      <c r="B506" s="40"/>
      <c r="C506" s="40"/>
    </row>
    <row r="507" spans="2:3">
      <c r="B507" s="40"/>
      <c r="C507" s="40"/>
    </row>
    <row r="508" spans="2:3">
      <c r="B508" s="40"/>
      <c r="C508" s="40"/>
    </row>
    <row r="509" spans="2:3">
      <c r="B509" s="40"/>
      <c r="C509" s="40"/>
    </row>
    <row r="510" spans="2:3">
      <c r="B510" s="40"/>
      <c r="C510" s="40"/>
    </row>
    <row r="511" spans="2:3">
      <c r="B511" s="40"/>
      <c r="C511" s="40"/>
    </row>
    <row r="512" spans="2:3">
      <c r="B512" s="40"/>
      <c r="C512" s="40"/>
    </row>
    <row r="513" spans="2:3">
      <c r="B513" s="40"/>
      <c r="C513" s="40"/>
    </row>
    <row r="514" spans="2:3">
      <c r="B514" s="40"/>
      <c r="C514" s="40"/>
    </row>
    <row r="515" spans="2:3">
      <c r="B515" s="40"/>
      <c r="C515" s="40"/>
    </row>
    <row r="516" spans="2:3">
      <c r="B516" s="40"/>
      <c r="C516" s="40"/>
    </row>
    <row r="517" spans="2:3">
      <c r="B517" s="40"/>
      <c r="C517" s="40"/>
    </row>
    <row r="518" spans="2:3">
      <c r="B518" s="40"/>
      <c r="C518" s="40"/>
    </row>
    <row r="519" spans="2:3">
      <c r="B519" s="40"/>
      <c r="C519" s="40"/>
    </row>
    <row r="520" spans="2:3">
      <c r="B520" s="40"/>
      <c r="C520" s="40"/>
    </row>
    <row r="521" spans="2:3">
      <c r="B521" s="40"/>
      <c r="C521" s="40"/>
    </row>
    <row r="522" spans="2:3">
      <c r="B522" s="40"/>
      <c r="C522" s="40"/>
    </row>
    <row r="523" spans="2:3">
      <c r="B523" s="40"/>
      <c r="C523" s="40"/>
    </row>
    <row r="524" spans="2:3">
      <c r="B524" s="40"/>
      <c r="C524" s="40"/>
    </row>
    <row r="525" spans="2:3">
      <c r="B525" s="40"/>
      <c r="C525" s="40"/>
    </row>
    <row r="526" spans="2:3">
      <c r="B526" s="40"/>
      <c r="C526" s="40"/>
    </row>
    <row r="527" spans="2:3">
      <c r="B527" s="40"/>
      <c r="C527" s="40"/>
    </row>
    <row r="528" spans="2:3">
      <c r="B528" s="40"/>
      <c r="C528" s="40"/>
    </row>
    <row r="529" spans="2:3">
      <c r="B529" s="40"/>
      <c r="C529" s="40"/>
    </row>
    <row r="530" spans="2:3">
      <c r="B530" s="40"/>
      <c r="C530" s="40"/>
    </row>
    <row r="531" spans="2:3">
      <c r="B531" s="40"/>
      <c r="C531" s="40"/>
    </row>
    <row r="532" spans="2:3">
      <c r="B532" s="40"/>
      <c r="C532" s="40"/>
    </row>
    <row r="533" spans="2:3">
      <c r="B533" s="40"/>
      <c r="C533" s="40"/>
    </row>
    <row r="534" spans="2:3">
      <c r="B534" s="40"/>
      <c r="C534" s="40"/>
    </row>
    <row r="535" spans="2:3">
      <c r="B535" s="40"/>
      <c r="C535" s="40"/>
    </row>
    <row r="536" spans="2:3">
      <c r="B536" s="40"/>
      <c r="C536" s="40"/>
    </row>
    <row r="537" spans="2:3">
      <c r="B537" s="40"/>
      <c r="C537" s="40"/>
    </row>
    <row r="538" spans="2:3">
      <c r="B538" s="40"/>
      <c r="C538" s="40"/>
    </row>
    <row r="539" spans="2:3">
      <c r="B539" s="40"/>
      <c r="C539" s="40"/>
    </row>
    <row r="540" spans="2:3">
      <c r="B540" s="40"/>
      <c r="C540" s="40"/>
    </row>
    <row r="541" spans="2:3">
      <c r="B541" s="40"/>
      <c r="C541" s="40"/>
    </row>
    <row r="542" spans="2:3">
      <c r="B542" s="40"/>
      <c r="C542" s="40"/>
    </row>
    <row r="543" spans="2:3">
      <c r="B543" s="40"/>
      <c r="C543" s="40"/>
    </row>
    <row r="544" spans="2:3">
      <c r="B544" s="40"/>
      <c r="C544" s="40"/>
    </row>
    <row r="545" spans="2:3">
      <c r="B545" s="40"/>
      <c r="C545" s="40"/>
    </row>
    <row r="546" spans="2:3">
      <c r="B546" s="40"/>
      <c r="C546" s="40"/>
    </row>
    <row r="547" spans="2:3">
      <c r="B547" s="40"/>
      <c r="C547" s="40"/>
    </row>
    <row r="548" spans="2:3">
      <c r="B548" s="40"/>
      <c r="C548" s="40"/>
    </row>
    <row r="549" spans="2:3">
      <c r="B549" s="40"/>
      <c r="C549" s="40"/>
    </row>
    <row r="550" spans="2:3">
      <c r="B550" s="40"/>
      <c r="C550" s="40"/>
    </row>
    <row r="551" spans="2:3">
      <c r="B551" s="40"/>
      <c r="C551" s="40"/>
    </row>
    <row r="552" spans="2:3">
      <c r="B552" s="40"/>
      <c r="C552" s="40"/>
    </row>
    <row r="553" spans="2:3">
      <c r="B553" s="40"/>
      <c r="C553" s="40"/>
    </row>
    <row r="554" spans="2:3">
      <c r="B554" s="40"/>
      <c r="C554" s="40"/>
    </row>
    <row r="555" spans="2:3">
      <c r="B555" s="40"/>
      <c r="C555" s="40"/>
    </row>
    <row r="556" spans="2:3">
      <c r="B556" s="40"/>
      <c r="C556" s="40"/>
    </row>
    <row r="557" spans="2:3">
      <c r="B557" s="40"/>
      <c r="C557" s="40"/>
    </row>
    <row r="558" spans="2:3">
      <c r="B558" s="40"/>
      <c r="C558" s="40"/>
    </row>
    <row r="559" spans="2:3">
      <c r="B559" s="40"/>
      <c r="C559" s="40"/>
    </row>
    <row r="560" spans="2:3">
      <c r="B560" s="40"/>
      <c r="C560" s="40"/>
    </row>
    <row r="561" spans="2:3">
      <c r="B561" s="40"/>
      <c r="C561" s="40"/>
    </row>
    <row r="562" spans="2:3">
      <c r="B562" s="40"/>
      <c r="C562" s="40"/>
    </row>
    <row r="563" spans="2:3">
      <c r="B563" s="40"/>
      <c r="C563" s="40"/>
    </row>
    <row r="564" spans="2:3">
      <c r="B564" s="40"/>
      <c r="C564" s="40"/>
    </row>
    <row r="565" spans="2:3">
      <c r="B565" s="40"/>
      <c r="C565" s="40"/>
    </row>
    <row r="566" spans="2:3">
      <c r="B566" s="40"/>
      <c r="C566" s="40"/>
    </row>
    <row r="567" spans="2:3">
      <c r="B567" s="40"/>
      <c r="C567" s="40"/>
    </row>
    <row r="568" spans="2:3">
      <c r="B568" s="40"/>
      <c r="C568" s="40"/>
    </row>
    <row r="569" spans="2:3">
      <c r="B569" s="40"/>
      <c r="C569" s="40"/>
    </row>
    <row r="570" spans="2:3">
      <c r="B570" s="40"/>
      <c r="C570" s="40"/>
    </row>
    <row r="571" spans="2:3">
      <c r="B571" s="40"/>
      <c r="C571" s="40"/>
    </row>
    <row r="572" spans="2:3">
      <c r="B572" s="40"/>
      <c r="C572" s="40"/>
    </row>
    <row r="573" spans="2:3">
      <c r="B573" s="40"/>
      <c r="C573" s="40"/>
    </row>
    <row r="574" spans="2:3">
      <c r="B574" s="40"/>
      <c r="C574" s="40"/>
    </row>
    <row r="575" spans="2:3">
      <c r="B575" s="40"/>
      <c r="C575" s="40"/>
    </row>
    <row r="576" spans="2:3">
      <c r="B576" s="40"/>
      <c r="C576" s="40"/>
    </row>
    <row r="577" spans="2:3">
      <c r="B577" s="40"/>
      <c r="C577" s="40"/>
    </row>
    <row r="578" spans="2:3">
      <c r="B578" s="40"/>
      <c r="C578" s="40"/>
    </row>
    <row r="579" spans="2:3">
      <c r="B579" s="40"/>
      <c r="C579" s="40"/>
    </row>
    <row r="580" spans="2:3">
      <c r="B580" s="40"/>
      <c r="C580" s="40"/>
    </row>
    <row r="581" spans="2:3">
      <c r="B581" s="40"/>
      <c r="C581" s="40"/>
    </row>
    <row r="582" spans="2:3">
      <c r="B582" s="40"/>
      <c r="C582" s="40"/>
    </row>
    <row r="583" spans="2:3">
      <c r="B583" s="40"/>
      <c r="C583" s="40"/>
    </row>
    <row r="584" spans="2:3">
      <c r="B584" s="40"/>
      <c r="C584" s="40"/>
    </row>
    <row r="585" spans="2:3">
      <c r="B585" s="40"/>
      <c r="C585" s="40"/>
    </row>
    <row r="586" spans="2:3">
      <c r="B586" s="40"/>
      <c r="C586" s="40"/>
    </row>
    <row r="587" spans="2:3">
      <c r="B587" s="40"/>
      <c r="C587" s="40"/>
    </row>
    <row r="588" spans="2:3">
      <c r="B588" s="40"/>
      <c r="C588" s="40"/>
    </row>
    <row r="589" spans="2:3">
      <c r="B589" s="40"/>
      <c r="C589" s="40"/>
    </row>
    <row r="590" spans="2:3">
      <c r="B590" s="40"/>
      <c r="C590" s="40"/>
    </row>
    <row r="591" spans="2:3">
      <c r="B591" s="40"/>
      <c r="C591" s="40"/>
    </row>
    <row r="592" spans="2:3">
      <c r="B592" s="40"/>
      <c r="C592" s="40"/>
    </row>
    <row r="593" spans="2:3">
      <c r="B593" s="40"/>
      <c r="C593" s="40"/>
    </row>
    <row r="594" spans="2:3">
      <c r="B594" s="40"/>
      <c r="C594" s="40"/>
    </row>
    <row r="595" spans="2:3">
      <c r="B595" s="40"/>
      <c r="C595" s="40"/>
    </row>
    <row r="596" spans="2:3">
      <c r="B596" s="40"/>
      <c r="C596" s="40"/>
    </row>
    <row r="597" spans="2:3">
      <c r="B597" s="40"/>
      <c r="C597" s="40"/>
    </row>
    <row r="598" spans="2:3">
      <c r="B598" s="40"/>
      <c r="C598" s="40"/>
    </row>
    <row r="599" spans="2:3">
      <c r="B599" s="40"/>
      <c r="C599" s="40"/>
    </row>
    <row r="600" spans="2:3">
      <c r="B600" s="40"/>
      <c r="C600" s="40"/>
    </row>
    <row r="601" spans="2:3">
      <c r="B601" s="40"/>
      <c r="C601" s="40"/>
    </row>
    <row r="602" spans="2:3">
      <c r="B602" s="40"/>
      <c r="C602" s="40"/>
    </row>
    <row r="603" spans="2:3">
      <c r="B603" s="40"/>
      <c r="C603" s="40"/>
    </row>
    <row r="604" spans="2:3">
      <c r="B604" s="40"/>
      <c r="C604" s="40"/>
    </row>
    <row r="605" spans="2:3">
      <c r="B605" s="40"/>
      <c r="C605" s="40"/>
    </row>
    <row r="606" spans="2:3">
      <c r="B606" s="40"/>
      <c r="C606" s="40"/>
    </row>
    <row r="607" spans="2:3">
      <c r="B607" s="40"/>
      <c r="C607" s="40"/>
    </row>
    <row r="608" spans="2:3">
      <c r="B608" s="40"/>
      <c r="C608" s="40"/>
    </row>
    <row r="609" spans="2:3">
      <c r="B609" s="40"/>
      <c r="C609" s="40"/>
    </row>
    <row r="610" spans="2:3">
      <c r="B610" s="40"/>
      <c r="C610" s="40"/>
    </row>
    <row r="611" spans="2:3">
      <c r="B611" s="40"/>
      <c r="C611" s="40"/>
    </row>
    <row r="612" spans="2:3">
      <c r="B612" s="40"/>
      <c r="C612" s="40"/>
    </row>
    <row r="613" spans="2:3">
      <c r="B613" s="40"/>
      <c r="C613" s="40"/>
    </row>
    <row r="614" spans="2:3">
      <c r="B614" s="40"/>
      <c r="C614" s="40"/>
    </row>
    <row r="615" spans="2:3">
      <c r="B615" s="40"/>
      <c r="C615" s="40"/>
    </row>
    <row r="616" spans="2:3">
      <c r="B616" s="40"/>
      <c r="C616" s="40"/>
    </row>
    <row r="617" spans="2:3">
      <c r="B617" s="40"/>
      <c r="C617" s="40"/>
    </row>
    <row r="618" spans="2:3">
      <c r="B618" s="40"/>
      <c r="C618" s="40"/>
    </row>
    <row r="619" spans="2:3">
      <c r="B619" s="40"/>
      <c r="C619" s="40"/>
    </row>
    <row r="620" spans="2:3">
      <c r="B620" s="40"/>
      <c r="C620" s="40"/>
    </row>
    <row r="621" spans="2:3">
      <c r="B621" s="40"/>
      <c r="C621" s="40"/>
    </row>
    <row r="622" spans="2:3">
      <c r="B622" s="40"/>
      <c r="C622" s="40"/>
    </row>
    <row r="623" spans="2:3">
      <c r="B623" s="40"/>
      <c r="C623" s="40"/>
    </row>
    <row r="624" spans="2:3">
      <c r="B624" s="40"/>
      <c r="C624" s="40"/>
    </row>
    <row r="625" spans="2:3">
      <c r="B625" s="40"/>
      <c r="C625" s="40"/>
    </row>
    <row r="626" spans="2:3">
      <c r="B626" s="40"/>
      <c r="C626" s="40"/>
    </row>
    <row r="627" spans="2:3">
      <c r="B627" s="40"/>
      <c r="C627" s="40"/>
    </row>
    <row r="628" spans="2:3">
      <c r="B628" s="40"/>
      <c r="C628" s="40"/>
    </row>
    <row r="629" spans="2:3">
      <c r="B629" s="40"/>
      <c r="C629" s="40"/>
    </row>
    <row r="630" spans="2:3">
      <c r="B630" s="40"/>
      <c r="C630" s="40"/>
    </row>
    <row r="631" spans="2:3">
      <c r="B631" s="40"/>
      <c r="C631" s="40"/>
    </row>
    <row r="632" spans="2:3">
      <c r="B632" s="40"/>
      <c r="C632" s="40"/>
    </row>
    <row r="633" spans="2:3">
      <c r="B633" s="40"/>
      <c r="C633" s="40"/>
    </row>
    <row r="634" spans="2:3">
      <c r="B634" s="40"/>
      <c r="C634" s="40"/>
    </row>
    <row r="635" spans="2:3">
      <c r="B635" s="40"/>
      <c r="C635" s="40"/>
    </row>
    <row r="636" spans="2:3">
      <c r="B636" s="40"/>
      <c r="C636" s="40"/>
    </row>
    <row r="637" spans="2:3">
      <c r="B637" s="40"/>
      <c r="C637" s="40"/>
    </row>
    <row r="638" spans="2:3">
      <c r="B638" s="40"/>
      <c r="C638" s="40"/>
    </row>
    <row r="639" spans="2:3">
      <c r="B639" s="40"/>
      <c r="C639" s="40"/>
    </row>
    <row r="640" spans="2:3">
      <c r="B640" s="40"/>
      <c r="C640" s="40"/>
    </row>
    <row r="641" spans="2:3">
      <c r="B641" s="40"/>
      <c r="C641" s="40"/>
    </row>
    <row r="642" spans="2:3">
      <c r="B642" s="40"/>
      <c r="C642" s="40"/>
    </row>
    <row r="643" spans="2:3">
      <c r="B643" s="40"/>
      <c r="C643" s="40"/>
    </row>
    <row r="644" spans="2:3">
      <c r="B644" s="40"/>
      <c r="C644" s="40"/>
    </row>
    <row r="645" spans="2:3">
      <c r="B645" s="40"/>
      <c r="C645" s="40"/>
    </row>
    <row r="646" spans="2:3">
      <c r="B646" s="40"/>
      <c r="C646" s="40"/>
    </row>
    <row r="647" spans="2:3">
      <c r="B647" s="40"/>
      <c r="C647" s="40"/>
    </row>
    <row r="648" spans="2:3">
      <c r="B648" s="40"/>
      <c r="C648" s="40"/>
    </row>
    <row r="649" spans="2:3">
      <c r="B649" s="40"/>
      <c r="C649" s="40"/>
    </row>
    <row r="650" spans="2:3">
      <c r="B650" s="40"/>
      <c r="C650" s="40"/>
    </row>
    <row r="651" spans="2:3">
      <c r="B651" s="40"/>
      <c r="C651" s="40"/>
    </row>
    <row r="652" spans="2:3">
      <c r="B652" s="40"/>
      <c r="C652" s="40"/>
    </row>
    <row r="653" spans="2:3">
      <c r="B653" s="40"/>
      <c r="C653" s="40"/>
    </row>
    <row r="654" spans="2:3">
      <c r="B654" s="40"/>
      <c r="C654" s="40"/>
    </row>
    <row r="655" spans="2:3">
      <c r="B655" s="40"/>
      <c r="C655" s="40"/>
    </row>
    <row r="656" spans="2:3">
      <c r="B656" s="40"/>
      <c r="C656" s="40"/>
    </row>
    <row r="657" spans="2:3">
      <c r="B657" s="40"/>
      <c r="C657" s="40"/>
    </row>
    <row r="658" spans="2:3">
      <c r="B658" s="40"/>
      <c r="C658" s="40"/>
    </row>
    <row r="659" spans="2:3">
      <c r="B659" s="40"/>
      <c r="C659" s="40"/>
    </row>
    <row r="660" spans="2:3">
      <c r="B660" s="40"/>
      <c r="C660" s="40"/>
    </row>
    <row r="661" spans="2:3">
      <c r="B661" s="40"/>
      <c r="C661" s="40"/>
    </row>
    <row r="662" spans="2:3">
      <c r="B662" s="40"/>
      <c r="C662" s="40"/>
    </row>
    <row r="663" spans="2:3">
      <c r="B663" s="40"/>
      <c r="C663" s="40"/>
    </row>
    <row r="664" spans="2:3">
      <c r="B664" s="40"/>
      <c r="C664" s="40"/>
    </row>
    <row r="665" spans="2:3">
      <c r="B665" s="40"/>
      <c r="C665" s="40"/>
    </row>
    <row r="666" spans="2:3">
      <c r="B666" s="40"/>
      <c r="C666" s="40"/>
    </row>
    <row r="667" spans="2:3">
      <c r="B667" s="40"/>
      <c r="C667" s="40"/>
    </row>
    <row r="668" spans="2:3">
      <c r="B668" s="40"/>
      <c r="C668" s="40"/>
    </row>
    <row r="669" spans="2:3">
      <c r="B669" s="40"/>
      <c r="C669" s="40"/>
    </row>
    <row r="670" spans="2:3">
      <c r="B670" s="40"/>
      <c r="C670" s="40"/>
    </row>
    <row r="671" spans="2:3">
      <c r="B671" s="40"/>
      <c r="C671" s="40"/>
    </row>
    <row r="672" spans="2:3">
      <c r="B672" s="40"/>
      <c r="C672" s="40"/>
    </row>
    <row r="673" spans="2:3">
      <c r="B673" s="40"/>
      <c r="C673" s="40"/>
    </row>
    <row r="674" spans="2:3">
      <c r="B674" s="40"/>
      <c r="C674" s="40"/>
    </row>
    <row r="675" spans="2:3">
      <c r="B675" s="40"/>
      <c r="C675" s="40"/>
    </row>
    <row r="676" spans="2:3">
      <c r="B676" s="40"/>
      <c r="C676" s="40"/>
    </row>
    <row r="677" spans="2:3">
      <c r="B677" s="40"/>
      <c r="C677" s="40"/>
    </row>
    <row r="678" spans="2:3">
      <c r="B678" s="40"/>
      <c r="C678" s="40"/>
    </row>
    <row r="679" spans="2:3">
      <c r="B679" s="40"/>
      <c r="C679" s="40"/>
    </row>
    <row r="680" spans="2:3">
      <c r="B680" s="40"/>
      <c r="C680" s="40"/>
    </row>
    <row r="681" spans="2:3">
      <c r="B681" s="40"/>
      <c r="C681" s="40"/>
    </row>
    <row r="682" spans="2:3">
      <c r="B682" s="40"/>
      <c r="C682" s="40"/>
    </row>
    <row r="683" spans="2:3">
      <c r="B683" s="40"/>
      <c r="C683" s="40"/>
    </row>
    <row r="684" spans="2:3">
      <c r="B684" s="40"/>
      <c r="C684" s="40"/>
    </row>
    <row r="685" spans="2:3">
      <c r="B685" s="40"/>
      <c r="C685" s="40"/>
    </row>
    <row r="686" spans="2:3">
      <c r="B686" s="40"/>
      <c r="C686" s="40"/>
    </row>
    <row r="687" spans="2:3">
      <c r="B687" s="40"/>
      <c r="C687" s="40"/>
    </row>
    <row r="688" spans="2:3">
      <c r="B688" s="40"/>
      <c r="C688" s="40"/>
    </row>
    <row r="689" spans="2:3">
      <c r="B689" s="40"/>
      <c r="C689" s="40"/>
    </row>
    <row r="690" spans="2:3">
      <c r="B690" s="40"/>
      <c r="C690" s="40"/>
    </row>
    <row r="691" spans="2:3">
      <c r="B691" s="40"/>
      <c r="C691" s="40"/>
    </row>
    <row r="692" spans="2:3">
      <c r="B692" s="40"/>
      <c r="C692" s="40"/>
    </row>
    <row r="693" spans="2:3">
      <c r="B693" s="40"/>
      <c r="C693" s="40"/>
    </row>
    <row r="694" spans="2:3">
      <c r="B694" s="40"/>
      <c r="C694" s="40"/>
    </row>
    <row r="695" spans="2:3">
      <c r="B695" s="40"/>
      <c r="C695" s="40"/>
    </row>
    <row r="696" spans="2:3">
      <c r="B696" s="40"/>
      <c r="C696" s="40"/>
    </row>
    <row r="697" spans="2:3">
      <c r="B697" s="40"/>
      <c r="C697" s="40"/>
    </row>
    <row r="698" spans="2:3">
      <c r="B698" s="40"/>
      <c r="C698" s="40"/>
    </row>
    <row r="699" spans="2:3">
      <c r="B699" s="40"/>
      <c r="C699" s="40"/>
    </row>
    <row r="700" spans="2:3">
      <c r="B700" s="40"/>
      <c r="C700" s="40"/>
    </row>
    <row r="701" spans="2:3">
      <c r="B701" s="40"/>
      <c r="C701" s="40"/>
    </row>
    <row r="702" spans="2:3">
      <c r="B702" s="40"/>
      <c r="C702" s="40"/>
    </row>
    <row r="703" spans="2:3">
      <c r="B703" s="40"/>
      <c r="C703" s="40"/>
    </row>
    <row r="704" spans="2:3">
      <c r="B704" s="40"/>
      <c r="C704" s="40"/>
    </row>
    <row r="705" spans="2:3">
      <c r="B705" s="40"/>
      <c r="C705" s="40"/>
    </row>
    <row r="706" spans="2:3">
      <c r="B706" s="40"/>
      <c r="C706" s="40"/>
    </row>
    <row r="707" spans="2:3">
      <c r="B707" s="40"/>
      <c r="C707" s="40"/>
    </row>
    <row r="708" spans="2:3">
      <c r="B708" s="40"/>
      <c r="C708" s="40"/>
    </row>
    <row r="709" spans="2:3">
      <c r="B709" s="40"/>
      <c r="C709" s="40"/>
    </row>
    <row r="710" spans="2:3">
      <c r="B710" s="40"/>
      <c r="C710" s="40"/>
    </row>
    <row r="711" spans="2:3">
      <c r="B711" s="40"/>
      <c r="C711" s="40"/>
    </row>
    <row r="712" spans="2:3">
      <c r="B712" s="40"/>
      <c r="C712" s="40"/>
    </row>
    <row r="713" spans="2:3">
      <c r="B713" s="40"/>
      <c r="C713" s="40"/>
    </row>
    <row r="714" spans="2:3">
      <c r="B714" s="40"/>
      <c r="C714" s="40"/>
    </row>
    <row r="715" spans="2:3">
      <c r="B715" s="40"/>
      <c r="C715" s="40"/>
    </row>
    <row r="716" spans="2:3">
      <c r="B716" s="40"/>
      <c r="C716" s="40"/>
    </row>
    <row r="717" spans="2:3">
      <c r="B717" s="40"/>
      <c r="C717" s="40"/>
    </row>
    <row r="718" spans="2:3">
      <c r="B718" s="40"/>
      <c r="C718" s="40"/>
    </row>
    <row r="719" spans="2:3">
      <c r="B719" s="40"/>
      <c r="C719" s="40"/>
    </row>
    <row r="720" spans="2:3">
      <c r="B720" s="40"/>
      <c r="C720" s="40"/>
    </row>
    <row r="721" spans="2:3">
      <c r="B721" s="40"/>
      <c r="C721" s="40"/>
    </row>
    <row r="722" spans="2:3">
      <c r="B722" s="40"/>
      <c r="C722" s="40"/>
    </row>
    <row r="723" spans="2:3">
      <c r="B723" s="40"/>
      <c r="C723" s="40"/>
    </row>
    <row r="724" spans="2:3">
      <c r="B724" s="40"/>
      <c r="C724" s="40"/>
    </row>
    <row r="725" spans="2:3">
      <c r="B725" s="40"/>
      <c r="C725" s="40"/>
    </row>
    <row r="726" spans="2:3">
      <c r="B726" s="40"/>
      <c r="C726" s="40"/>
    </row>
    <row r="727" spans="2:3">
      <c r="B727" s="40"/>
      <c r="C727" s="40"/>
    </row>
    <row r="728" spans="2:3">
      <c r="B728" s="40"/>
      <c r="C728" s="40"/>
    </row>
    <row r="729" spans="2:3">
      <c r="B729" s="40"/>
      <c r="C729" s="40"/>
    </row>
    <row r="730" spans="2:3">
      <c r="B730" s="40"/>
      <c r="C730" s="40"/>
    </row>
    <row r="731" spans="2:3">
      <c r="B731" s="40"/>
      <c r="C731" s="40"/>
    </row>
    <row r="732" spans="2:3">
      <c r="B732" s="40"/>
      <c r="C732" s="40"/>
    </row>
    <row r="733" spans="2:3">
      <c r="B733" s="40"/>
      <c r="C733" s="40"/>
    </row>
    <row r="734" spans="2:3">
      <c r="B734" s="40"/>
      <c r="C734" s="40"/>
    </row>
    <row r="735" spans="2:3">
      <c r="B735" s="40"/>
      <c r="C735" s="40"/>
    </row>
    <row r="736" spans="2:3">
      <c r="B736" s="40"/>
      <c r="C736" s="40"/>
    </row>
    <row r="737" spans="2:3">
      <c r="B737" s="40"/>
      <c r="C737" s="40"/>
    </row>
    <row r="738" spans="2:3">
      <c r="B738" s="40"/>
      <c r="C738" s="40"/>
    </row>
    <row r="739" spans="2:3">
      <c r="B739" s="40"/>
      <c r="C739" s="40"/>
    </row>
    <row r="740" spans="2:3">
      <c r="B740" s="40"/>
      <c r="C740" s="40"/>
    </row>
    <row r="741" spans="2:3">
      <c r="B741" s="40"/>
      <c r="C741" s="40"/>
    </row>
    <row r="742" spans="2:3">
      <c r="B742" s="40"/>
      <c r="C742" s="40"/>
    </row>
    <row r="743" spans="2:3">
      <c r="B743" s="40"/>
      <c r="C743" s="40"/>
    </row>
    <row r="744" spans="2:3">
      <c r="B744" s="40"/>
      <c r="C744" s="40"/>
    </row>
    <row r="745" spans="2:3">
      <c r="B745" s="40"/>
      <c r="C745" s="40"/>
    </row>
    <row r="746" spans="2:3">
      <c r="B746" s="40"/>
      <c r="C746" s="40"/>
    </row>
    <row r="747" spans="2:3">
      <c r="B747" s="40"/>
      <c r="C747" s="40"/>
    </row>
    <row r="748" spans="2:3">
      <c r="B748" s="40"/>
      <c r="C748" s="40"/>
    </row>
    <row r="749" spans="2:3">
      <c r="B749" s="40"/>
      <c r="C749" s="40"/>
    </row>
    <row r="750" spans="2:3">
      <c r="B750" s="40"/>
      <c r="C750" s="40"/>
    </row>
    <row r="751" spans="2:3">
      <c r="B751" s="40"/>
      <c r="C751" s="40"/>
    </row>
    <row r="752" spans="2:3">
      <c r="B752" s="40"/>
      <c r="C752" s="40"/>
    </row>
    <row r="753" spans="2:3">
      <c r="B753" s="40"/>
      <c r="C753" s="40"/>
    </row>
    <row r="754" spans="2:3">
      <c r="B754" s="40"/>
      <c r="C754" s="40"/>
    </row>
    <row r="755" spans="2:3">
      <c r="B755" s="40"/>
      <c r="C755" s="40"/>
    </row>
    <row r="756" spans="2:3">
      <c r="B756" s="40"/>
      <c r="C756" s="40"/>
    </row>
    <row r="757" spans="2:3">
      <c r="B757" s="40"/>
      <c r="C757" s="40"/>
    </row>
    <row r="758" spans="2:3">
      <c r="B758" s="40"/>
      <c r="C758" s="40"/>
    </row>
    <row r="759" spans="2:3">
      <c r="B759" s="40"/>
      <c r="C759" s="40"/>
    </row>
    <row r="760" spans="2:3">
      <c r="B760" s="40"/>
      <c r="C760" s="40"/>
    </row>
    <row r="761" spans="2:3">
      <c r="B761" s="40"/>
      <c r="C761" s="40"/>
    </row>
    <row r="762" spans="2:3">
      <c r="B762" s="40"/>
      <c r="C762" s="40"/>
    </row>
    <row r="763" spans="2:3">
      <c r="B763" s="40"/>
      <c r="C763" s="40"/>
    </row>
    <row r="764" spans="2:3">
      <c r="B764" s="40"/>
      <c r="C764" s="40"/>
    </row>
    <row r="765" spans="2:3">
      <c r="B765" s="40"/>
      <c r="C765" s="40"/>
    </row>
    <row r="766" spans="2:3">
      <c r="B766" s="40"/>
      <c r="C766" s="40"/>
    </row>
    <row r="767" spans="2:3">
      <c r="B767" s="40"/>
      <c r="C767" s="40"/>
    </row>
    <row r="768" spans="2:3">
      <c r="B768" s="40"/>
      <c r="C768" s="40"/>
    </row>
    <row r="769" spans="2:3">
      <c r="B769" s="40"/>
      <c r="C769" s="40"/>
    </row>
    <row r="770" spans="2:3">
      <c r="B770" s="40"/>
      <c r="C770" s="40"/>
    </row>
    <row r="771" spans="2:3">
      <c r="B771" s="40"/>
      <c r="C771" s="40"/>
    </row>
    <row r="772" spans="2:3">
      <c r="B772" s="40"/>
      <c r="C772" s="40"/>
    </row>
    <row r="773" spans="2:3">
      <c r="B773" s="40"/>
      <c r="C773" s="40"/>
    </row>
    <row r="774" spans="2:3">
      <c r="B774" s="40"/>
      <c r="C774" s="40"/>
    </row>
    <row r="775" spans="2:3">
      <c r="B775" s="40"/>
      <c r="C775" s="40"/>
    </row>
    <row r="776" spans="2:3">
      <c r="B776" s="40"/>
      <c r="C776" s="40"/>
    </row>
    <row r="777" spans="2:3">
      <c r="B777" s="40"/>
      <c r="C777" s="40"/>
    </row>
    <row r="778" spans="2:3">
      <c r="B778" s="40"/>
      <c r="C778" s="40"/>
    </row>
    <row r="779" spans="2:3">
      <c r="B779" s="40"/>
      <c r="C779" s="40"/>
    </row>
    <row r="780" spans="2:3">
      <c r="B780" s="40"/>
      <c r="C780" s="40"/>
    </row>
    <row r="781" spans="2:3">
      <c r="B781" s="40"/>
      <c r="C781" s="40"/>
    </row>
    <row r="782" spans="2:3">
      <c r="B782" s="40"/>
      <c r="C782" s="40"/>
    </row>
    <row r="783" spans="2:3">
      <c r="B783" s="40"/>
      <c r="C783" s="40"/>
    </row>
    <row r="784" spans="2:3">
      <c r="B784" s="40"/>
      <c r="C784" s="40"/>
    </row>
    <row r="785" spans="2:3">
      <c r="B785" s="40"/>
      <c r="C785" s="40"/>
    </row>
    <row r="786" spans="2:3">
      <c r="B786" s="40"/>
      <c r="C786" s="40"/>
    </row>
    <row r="787" spans="2:3">
      <c r="B787" s="40"/>
      <c r="C787" s="40"/>
    </row>
    <row r="788" spans="2:3">
      <c r="B788" s="40"/>
      <c r="C788" s="40"/>
    </row>
    <row r="789" spans="2:3">
      <c r="B789" s="40"/>
      <c r="C789" s="40"/>
    </row>
    <row r="790" spans="2:3">
      <c r="B790" s="40"/>
      <c r="C790" s="40"/>
    </row>
    <row r="791" spans="2:3">
      <c r="B791" s="40"/>
      <c r="C791" s="40"/>
    </row>
    <row r="792" spans="2:3">
      <c r="B792" s="40"/>
      <c r="C792" s="40"/>
    </row>
    <row r="793" spans="2:3">
      <c r="B793" s="40"/>
      <c r="C793" s="40"/>
    </row>
    <row r="794" spans="2:3">
      <c r="B794" s="40"/>
      <c r="C794" s="40"/>
    </row>
    <row r="795" spans="2:3">
      <c r="B795" s="40"/>
      <c r="C795" s="40"/>
    </row>
    <row r="796" spans="2:3">
      <c r="B796" s="40"/>
      <c r="C796" s="40"/>
    </row>
    <row r="797" spans="2:3">
      <c r="B797" s="40"/>
      <c r="C797" s="40"/>
    </row>
    <row r="798" spans="2:3">
      <c r="B798" s="40"/>
      <c r="C798" s="40"/>
    </row>
    <row r="799" spans="2:3">
      <c r="B799" s="40"/>
      <c r="C799" s="40"/>
    </row>
    <row r="800" spans="2:3">
      <c r="B800" s="40"/>
      <c r="C800" s="40"/>
    </row>
    <row r="801" spans="2:3">
      <c r="B801" s="40"/>
      <c r="C801" s="40"/>
    </row>
    <row r="802" spans="2:3">
      <c r="B802" s="40"/>
      <c r="C802" s="40"/>
    </row>
    <row r="803" spans="2:3">
      <c r="B803" s="40"/>
      <c r="C803" s="40"/>
    </row>
    <row r="804" spans="2:3">
      <c r="B804" s="40"/>
      <c r="C804" s="40"/>
    </row>
    <row r="805" spans="2:3">
      <c r="B805" s="40"/>
      <c r="C805" s="40"/>
    </row>
    <row r="806" spans="2:3">
      <c r="B806" s="40"/>
      <c r="C806" s="40"/>
    </row>
    <row r="807" spans="2:3">
      <c r="B807" s="40"/>
      <c r="C807" s="40"/>
    </row>
    <row r="808" spans="2:3">
      <c r="B808" s="40"/>
      <c r="C808" s="40"/>
    </row>
    <row r="809" spans="2:3">
      <c r="B809" s="40"/>
      <c r="C809" s="40"/>
    </row>
    <row r="810" spans="2:3">
      <c r="B810" s="40"/>
      <c r="C810" s="40"/>
    </row>
    <row r="811" spans="2:3">
      <c r="B811" s="40"/>
      <c r="C811" s="40"/>
    </row>
    <row r="812" spans="2:3">
      <c r="B812" s="40"/>
      <c r="C812" s="40"/>
    </row>
    <row r="813" spans="2:3">
      <c r="B813" s="40"/>
      <c r="C813" s="40"/>
    </row>
    <row r="814" spans="2:3">
      <c r="B814" s="40"/>
      <c r="C814" s="40"/>
    </row>
    <row r="815" spans="2:3">
      <c r="B815" s="40"/>
      <c r="C815" s="40"/>
    </row>
    <row r="816" spans="2:3">
      <c r="B816" s="40"/>
      <c r="C816" s="40"/>
    </row>
    <row r="817" spans="2:3">
      <c r="B817" s="40"/>
      <c r="C817" s="40"/>
    </row>
    <row r="818" spans="2:3">
      <c r="B818" s="40"/>
      <c r="C818" s="40"/>
    </row>
    <row r="819" spans="2:3">
      <c r="B819" s="40"/>
      <c r="C819" s="40"/>
    </row>
    <row r="820" spans="2:3">
      <c r="B820" s="40"/>
      <c r="C820" s="40"/>
    </row>
    <row r="821" spans="2:3">
      <c r="B821" s="40"/>
      <c r="C821" s="40"/>
    </row>
    <row r="822" spans="2:3">
      <c r="B822" s="40"/>
      <c r="C822" s="40"/>
    </row>
    <row r="823" spans="2:3">
      <c r="B823" s="40"/>
      <c r="C823" s="40"/>
    </row>
    <row r="824" spans="2:3">
      <c r="B824" s="40"/>
      <c r="C824" s="40"/>
    </row>
    <row r="825" spans="2:3">
      <c r="B825" s="40"/>
      <c r="C825" s="40"/>
    </row>
    <row r="826" spans="2:3">
      <c r="B826" s="40"/>
      <c r="C826" s="40"/>
    </row>
    <row r="827" spans="2:3">
      <c r="B827" s="40"/>
      <c r="C827" s="40"/>
    </row>
    <row r="828" spans="2:3">
      <c r="B828" s="40"/>
      <c r="C828" s="40"/>
    </row>
    <row r="829" spans="2:3">
      <c r="B829" s="40"/>
      <c r="C829" s="40"/>
    </row>
    <row r="830" spans="2:3">
      <c r="B830" s="40"/>
      <c r="C830" s="40"/>
    </row>
    <row r="831" spans="2:3">
      <c r="B831" s="40"/>
      <c r="C831" s="40"/>
    </row>
    <row r="832" spans="2:3">
      <c r="B832" s="40"/>
      <c r="C832" s="40"/>
    </row>
    <row r="833" spans="2:3">
      <c r="B833" s="40"/>
      <c r="C833" s="40"/>
    </row>
    <row r="834" spans="2:3">
      <c r="B834" s="40"/>
      <c r="C834" s="40"/>
    </row>
    <row r="835" spans="2:3">
      <c r="B835" s="40"/>
      <c r="C835" s="40"/>
    </row>
    <row r="836" spans="2:3">
      <c r="B836" s="40"/>
      <c r="C836" s="40"/>
    </row>
    <row r="837" spans="2:3">
      <c r="B837" s="40"/>
      <c r="C837" s="40"/>
    </row>
    <row r="838" spans="2:3">
      <c r="B838" s="40"/>
      <c r="C838" s="40"/>
    </row>
    <row r="839" spans="2:3">
      <c r="B839" s="40"/>
      <c r="C839" s="40"/>
    </row>
    <row r="840" spans="2:3">
      <c r="B840" s="40"/>
      <c r="C840" s="40"/>
    </row>
    <row r="841" spans="2:3">
      <c r="B841" s="40"/>
      <c r="C841" s="40"/>
    </row>
    <row r="842" spans="2:3">
      <c r="B842" s="40"/>
      <c r="C842" s="40"/>
    </row>
    <row r="843" spans="2:3">
      <c r="B843" s="40"/>
      <c r="C843" s="40"/>
    </row>
    <row r="844" spans="2:3">
      <c r="B844" s="40"/>
      <c r="C844" s="40"/>
    </row>
    <row r="845" spans="2:3">
      <c r="B845" s="40"/>
      <c r="C845" s="40"/>
    </row>
    <row r="846" spans="2:3">
      <c r="B846" s="40"/>
      <c r="C846" s="40"/>
    </row>
    <row r="847" spans="2:3">
      <c r="B847" s="40"/>
      <c r="C847" s="40"/>
    </row>
    <row r="848" spans="2:3">
      <c r="B848" s="40"/>
      <c r="C848" s="40"/>
    </row>
    <row r="849" spans="2:3">
      <c r="B849" s="40"/>
      <c r="C849" s="40"/>
    </row>
    <row r="850" spans="2:3">
      <c r="B850" s="40"/>
      <c r="C850" s="40"/>
    </row>
    <row r="851" spans="2:3">
      <c r="B851" s="40"/>
      <c r="C851" s="40"/>
    </row>
    <row r="852" spans="2:3">
      <c r="B852" s="40"/>
      <c r="C852" s="40"/>
    </row>
    <row r="853" spans="2:3">
      <c r="B853" s="40"/>
      <c r="C853" s="40"/>
    </row>
    <row r="854" spans="2:3">
      <c r="B854" s="40"/>
      <c r="C854" s="40"/>
    </row>
    <row r="855" spans="2:3">
      <c r="B855" s="40"/>
      <c r="C855" s="40"/>
    </row>
    <row r="856" spans="2:3">
      <c r="B856" s="40"/>
      <c r="C856" s="40"/>
    </row>
    <row r="857" spans="2:3">
      <c r="B857" s="40"/>
      <c r="C857" s="40"/>
    </row>
    <row r="858" spans="2:3">
      <c r="B858" s="40"/>
      <c r="C858" s="40"/>
    </row>
    <row r="859" spans="2:3">
      <c r="B859" s="40"/>
      <c r="C859" s="40"/>
    </row>
    <row r="860" spans="2:3">
      <c r="B860" s="40"/>
      <c r="C860" s="40"/>
    </row>
    <row r="861" spans="2:3">
      <c r="B861" s="40"/>
      <c r="C861" s="40"/>
    </row>
    <row r="862" spans="2:3">
      <c r="B862" s="40"/>
      <c r="C862" s="40"/>
    </row>
    <row r="863" spans="2:3">
      <c r="B863" s="40"/>
      <c r="C863" s="40"/>
    </row>
    <row r="864" spans="2:3">
      <c r="B864" s="40"/>
      <c r="C864" s="40"/>
    </row>
    <row r="865" spans="2:3">
      <c r="B865" s="40"/>
      <c r="C865" s="40"/>
    </row>
    <row r="866" spans="2:3">
      <c r="B866" s="40"/>
      <c r="C866" s="40"/>
    </row>
    <row r="867" spans="2:3">
      <c r="B867" s="40"/>
      <c r="C867" s="40"/>
    </row>
    <row r="868" spans="2:3">
      <c r="B868" s="40"/>
      <c r="C868" s="40"/>
    </row>
    <row r="869" spans="2:3">
      <c r="B869" s="40"/>
      <c r="C869" s="40"/>
    </row>
    <row r="870" spans="2:3">
      <c r="B870" s="40"/>
      <c r="C870" s="40"/>
    </row>
    <row r="871" spans="2:3">
      <c r="B871" s="40"/>
      <c r="C871" s="40"/>
    </row>
    <row r="872" spans="2:3">
      <c r="B872" s="40"/>
      <c r="C872" s="40"/>
    </row>
    <row r="873" spans="2:3">
      <c r="B873" s="40"/>
      <c r="C873" s="40"/>
    </row>
    <row r="874" spans="2:3">
      <c r="B874" s="40"/>
      <c r="C874" s="40"/>
    </row>
    <row r="875" spans="2:3">
      <c r="B875" s="40"/>
      <c r="C875" s="40"/>
    </row>
    <row r="876" spans="2:3">
      <c r="B876" s="40"/>
      <c r="C876" s="40"/>
    </row>
    <row r="877" spans="2:3">
      <c r="B877" s="40"/>
      <c r="C877" s="40"/>
    </row>
    <row r="878" spans="2:3">
      <c r="B878" s="40"/>
      <c r="C878" s="40"/>
    </row>
    <row r="879" spans="2:3">
      <c r="B879" s="40"/>
      <c r="C879" s="40"/>
    </row>
    <row r="880" spans="2:3">
      <c r="B880" s="40"/>
      <c r="C880" s="40"/>
    </row>
    <row r="881" spans="2:3">
      <c r="B881" s="40"/>
      <c r="C881" s="40"/>
    </row>
    <row r="882" spans="2:3">
      <c r="B882" s="40"/>
      <c r="C882" s="40"/>
    </row>
    <row r="883" spans="2:3">
      <c r="B883" s="40"/>
      <c r="C883" s="40"/>
    </row>
    <row r="884" spans="2:3">
      <c r="B884" s="40"/>
      <c r="C884" s="40"/>
    </row>
    <row r="885" spans="2:3">
      <c r="B885" s="40"/>
      <c r="C885" s="40"/>
    </row>
    <row r="886" spans="2:3">
      <c r="B886" s="40"/>
      <c r="C886" s="40"/>
    </row>
    <row r="887" spans="2:3">
      <c r="B887" s="40"/>
      <c r="C887" s="40"/>
    </row>
    <row r="888" spans="2:3">
      <c r="B888" s="40"/>
      <c r="C888" s="40"/>
    </row>
    <row r="889" spans="2:3">
      <c r="B889" s="40"/>
      <c r="C889" s="40"/>
    </row>
    <row r="890" spans="2:3">
      <c r="B890" s="40"/>
      <c r="C890" s="40"/>
    </row>
    <row r="891" spans="2:3">
      <c r="B891" s="40"/>
      <c r="C891" s="40"/>
    </row>
    <row r="892" spans="2:3">
      <c r="B892" s="40"/>
      <c r="C892" s="40"/>
    </row>
    <row r="893" spans="2:3">
      <c r="B893" s="40"/>
      <c r="C893" s="40"/>
    </row>
    <row r="894" spans="2:3">
      <c r="B894" s="40"/>
      <c r="C894" s="40"/>
    </row>
    <row r="895" spans="2:3">
      <c r="B895" s="40"/>
      <c r="C895" s="40"/>
    </row>
    <row r="896" spans="2:3">
      <c r="B896" s="40"/>
      <c r="C896" s="40"/>
    </row>
    <row r="897" spans="2:3">
      <c r="B897" s="40"/>
      <c r="C897" s="40"/>
    </row>
    <row r="898" spans="2:3">
      <c r="B898" s="40"/>
      <c r="C898" s="40"/>
    </row>
    <row r="899" spans="2:3">
      <c r="B899" s="40"/>
      <c r="C899" s="40"/>
    </row>
    <row r="900" spans="2:3">
      <c r="B900" s="40"/>
      <c r="C900" s="40"/>
    </row>
    <row r="901" spans="2:3">
      <c r="B901" s="40"/>
      <c r="C901" s="40"/>
    </row>
    <row r="902" spans="2:3">
      <c r="B902" s="40"/>
      <c r="C902" s="40"/>
    </row>
    <row r="903" spans="2:3">
      <c r="B903" s="40"/>
      <c r="C903" s="40"/>
    </row>
    <row r="904" spans="2:3">
      <c r="B904" s="40"/>
      <c r="C904" s="40"/>
    </row>
    <row r="905" spans="2:3">
      <c r="B905" s="40"/>
      <c r="C905" s="40"/>
    </row>
    <row r="906" spans="2:3">
      <c r="B906" s="40"/>
      <c r="C906" s="40"/>
    </row>
    <row r="907" spans="2:3">
      <c r="B907" s="40"/>
      <c r="C907" s="40"/>
    </row>
    <row r="908" spans="2:3">
      <c r="B908" s="40"/>
      <c r="C908" s="40"/>
    </row>
    <row r="909" spans="2:3">
      <c r="B909" s="40"/>
      <c r="C909" s="40"/>
    </row>
    <row r="910" spans="2:3">
      <c r="B910" s="40"/>
      <c r="C910" s="40"/>
    </row>
    <row r="911" spans="2:3">
      <c r="B911" s="40"/>
      <c r="C911" s="40"/>
    </row>
    <row r="912" spans="2:3">
      <c r="B912" s="40"/>
      <c r="C912" s="40"/>
    </row>
    <row r="913" spans="2:3">
      <c r="B913" s="40"/>
      <c r="C913" s="40"/>
    </row>
    <row r="914" spans="2:3">
      <c r="B914" s="40"/>
      <c r="C914" s="40"/>
    </row>
    <row r="915" spans="2:3">
      <c r="B915" s="40"/>
      <c r="C915" s="40"/>
    </row>
    <row r="916" spans="2:3">
      <c r="B916" s="40"/>
      <c r="C916" s="40"/>
    </row>
    <row r="917" spans="2:3">
      <c r="B917" s="40"/>
      <c r="C917" s="40"/>
    </row>
    <row r="918" spans="2:3">
      <c r="B918" s="40"/>
      <c r="C918" s="40"/>
    </row>
    <row r="919" spans="2:3">
      <c r="B919" s="40"/>
      <c r="C919" s="40"/>
    </row>
    <row r="920" spans="2:3">
      <c r="B920" s="40"/>
      <c r="C920" s="40"/>
    </row>
    <row r="921" spans="2:3">
      <c r="B921" s="40"/>
      <c r="C921" s="40"/>
    </row>
    <row r="922" spans="2:3">
      <c r="B922" s="40"/>
      <c r="C922" s="40"/>
    </row>
    <row r="923" spans="2:3">
      <c r="B923" s="40"/>
      <c r="C923" s="40"/>
    </row>
    <row r="924" spans="2:3">
      <c r="B924" s="40"/>
      <c r="C924" s="40"/>
    </row>
    <row r="925" spans="2:3">
      <c r="B925" s="40"/>
      <c r="C925" s="40"/>
    </row>
    <row r="926" spans="2:3">
      <c r="B926" s="40"/>
      <c r="C926" s="40"/>
    </row>
    <row r="927" spans="2:3">
      <c r="B927" s="40"/>
      <c r="C927" s="40"/>
    </row>
    <row r="928" spans="2:3">
      <c r="B928" s="40"/>
      <c r="C928" s="40"/>
    </row>
    <row r="929" spans="2:3">
      <c r="B929" s="40"/>
      <c r="C929" s="40"/>
    </row>
    <row r="930" spans="2:3">
      <c r="B930" s="40"/>
      <c r="C930" s="40"/>
    </row>
    <row r="931" spans="2:3">
      <c r="B931" s="40"/>
      <c r="C931" s="40"/>
    </row>
    <row r="932" spans="2:3">
      <c r="B932" s="40"/>
      <c r="C932" s="40"/>
    </row>
    <row r="933" spans="2:3">
      <c r="B933" s="40"/>
      <c r="C933" s="40"/>
    </row>
    <row r="934" spans="2:3">
      <c r="B934" s="40"/>
      <c r="C934" s="40"/>
    </row>
    <row r="935" spans="2:3">
      <c r="B935" s="40"/>
      <c r="C935" s="40"/>
    </row>
    <row r="936" spans="2:3">
      <c r="B936" s="40"/>
      <c r="C936" s="40"/>
    </row>
    <row r="937" spans="2:3">
      <c r="B937" s="40"/>
      <c r="C937" s="40"/>
    </row>
    <row r="938" spans="2:3">
      <c r="B938" s="40"/>
      <c r="C938" s="40"/>
    </row>
    <row r="939" spans="2:3">
      <c r="B939" s="40"/>
      <c r="C939" s="40"/>
    </row>
    <row r="940" spans="2:3">
      <c r="B940" s="40"/>
      <c r="C940" s="40"/>
    </row>
    <row r="941" spans="2:3">
      <c r="B941" s="40"/>
      <c r="C941" s="40"/>
    </row>
    <row r="942" spans="2:3">
      <c r="B942" s="40"/>
      <c r="C942" s="40"/>
    </row>
    <row r="943" spans="2:3">
      <c r="B943" s="40"/>
      <c r="C943" s="40"/>
    </row>
    <row r="944" spans="2:3">
      <c r="B944" s="40"/>
      <c r="C944" s="40"/>
    </row>
    <row r="945" spans="2:3">
      <c r="B945" s="40"/>
      <c r="C945" s="40"/>
    </row>
    <row r="946" spans="2:3">
      <c r="B946" s="40"/>
      <c r="C946" s="40"/>
    </row>
    <row r="947" spans="2:3">
      <c r="B947" s="40"/>
      <c r="C947" s="40"/>
    </row>
    <row r="948" spans="2:3">
      <c r="B948" s="40"/>
      <c r="C948" s="40"/>
    </row>
    <row r="949" spans="2:3">
      <c r="B949" s="40"/>
      <c r="C949" s="40"/>
    </row>
    <row r="950" spans="2:3">
      <c r="B950" s="40"/>
      <c r="C950" s="40"/>
    </row>
    <row r="951" spans="2:3">
      <c r="B951" s="40"/>
      <c r="C951" s="40"/>
    </row>
    <row r="952" spans="2:3">
      <c r="B952" s="40"/>
      <c r="C952" s="40"/>
    </row>
    <row r="953" spans="2:3">
      <c r="B953" s="40"/>
      <c r="C953" s="40"/>
    </row>
    <row r="954" spans="2:3">
      <c r="B954" s="40"/>
      <c r="C954" s="40"/>
    </row>
    <row r="955" spans="2:3">
      <c r="B955" s="40"/>
      <c r="C955" s="40"/>
    </row>
    <row r="956" spans="2:3">
      <c r="B956" s="40"/>
      <c r="C956" s="40"/>
    </row>
    <row r="957" spans="2:3">
      <c r="B957" s="40"/>
      <c r="C957" s="40"/>
    </row>
    <row r="958" spans="2:3">
      <c r="B958" s="40"/>
      <c r="C958" s="40"/>
    </row>
    <row r="959" spans="2:3">
      <c r="B959" s="40"/>
      <c r="C959" s="40"/>
    </row>
    <row r="960" spans="2:3">
      <c r="B960" s="40"/>
      <c r="C960" s="40"/>
    </row>
    <row r="961" spans="2:3">
      <c r="B961" s="40"/>
      <c r="C961" s="40"/>
    </row>
    <row r="962" spans="2:3">
      <c r="B962" s="40"/>
      <c r="C962" s="40"/>
    </row>
    <row r="963" spans="2:3">
      <c r="B963" s="40"/>
      <c r="C963" s="40"/>
    </row>
    <row r="964" spans="2:3">
      <c r="B964" s="40"/>
      <c r="C964" s="40"/>
    </row>
    <row r="965" spans="2:3">
      <c r="B965" s="40"/>
      <c r="C965" s="40"/>
    </row>
    <row r="966" spans="2:3">
      <c r="B966" s="40"/>
      <c r="C966" s="40"/>
    </row>
    <row r="967" spans="2:3">
      <c r="B967" s="40"/>
      <c r="C967" s="40"/>
    </row>
    <row r="968" spans="2:3">
      <c r="B968" s="40"/>
      <c r="C968" s="40"/>
    </row>
    <row r="969" spans="2:3">
      <c r="B969" s="40"/>
      <c r="C969" s="40"/>
    </row>
    <row r="970" spans="2:3">
      <c r="B970" s="40"/>
      <c r="C970" s="40"/>
    </row>
    <row r="971" spans="2:3">
      <c r="B971" s="40"/>
      <c r="C971" s="40"/>
    </row>
    <row r="972" spans="2:3">
      <c r="B972" s="40"/>
      <c r="C972" s="40"/>
    </row>
    <row r="973" spans="2:3">
      <c r="B973" s="40"/>
      <c r="C973" s="40"/>
    </row>
    <row r="974" spans="2:3">
      <c r="B974" s="40"/>
      <c r="C974" s="40"/>
    </row>
    <row r="975" spans="2:3">
      <c r="B975" s="40"/>
      <c r="C975" s="40"/>
    </row>
    <row r="976" spans="2:3">
      <c r="B976" s="40"/>
      <c r="C976" s="40"/>
    </row>
    <row r="977" spans="2:3">
      <c r="B977" s="40"/>
      <c r="C977" s="40"/>
    </row>
    <row r="978" spans="2:3">
      <c r="B978" s="40"/>
      <c r="C978" s="40"/>
    </row>
    <row r="979" spans="2:3">
      <c r="B979" s="40"/>
      <c r="C979" s="40"/>
    </row>
    <row r="980" spans="2:3">
      <c r="B980" s="40"/>
      <c r="C980" s="40"/>
    </row>
    <row r="981" spans="2:3">
      <c r="B981" s="40"/>
      <c r="C981" s="40"/>
    </row>
    <row r="982" spans="2:3">
      <c r="B982" s="40"/>
      <c r="C982" s="40"/>
    </row>
    <row r="983" spans="2:3">
      <c r="B983" s="40"/>
      <c r="C983" s="40"/>
    </row>
    <row r="984" spans="2:3">
      <c r="B984" s="40"/>
      <c r="C984" s="40"/>
    </row>
    <row r="985" spans="2:3">
      <c r="B985" s="40"/>
      <c r="C985" s="40"/>
    </row>
    <row r="986" spans="2:3">
      <c r="B986" s="40"/>
      <c r="C986" s="40"/>
    </row>
    <row r="987" spans="2:3">
      <c r="B987" s="40"/>
      <c r="C987" s="40"/>
    </row>
  </sheetData>
  <mergeCells count="6">
    <mergeCell ref="A16:F16"/>
    <mergeCell ref="A1:F1"/>
    <mergeCell ref="A3:F3"/>
    <mergeCell ref="A5:F5"/>
    <mergeCell ref="A11:F11"/>
    <mergeCell ref="A13:F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GPT Test</vt:lpstr>
      <vt:lpstr>Codebook (revised)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2026-08-15T02:06:18Z</dcterms:modified>
</cp:coreProperties>
</file>
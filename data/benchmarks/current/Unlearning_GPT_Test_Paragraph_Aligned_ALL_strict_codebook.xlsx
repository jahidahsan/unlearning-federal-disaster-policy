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tables/table1.xml" ContentType="application/vnd.openxmlformats-officedocument.spreadsheetml.table+xml"/>
  <Override PartName="/xl/worksheets/sheet2.xml" ContentType="application/vnd.openxmlformats-officedocument.spreadsheetml.worksheet+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051524f2da604ce6" /></Relationships>
</file>

<file path=xl/workbook.xml><?xml version="1.0" encoding="utf-8"?>
<x:workbook xmlns:x="http://schemas.openxmlformats.org/spreadsheetml/2006/main">
  <x:sheets>
    <x:sheet xmlns:r="http://schemas.openxmlformats.org/officeDocument/2006/relationships" name="GPT Test" sheetId="1" r:id="R17a34245e2ee42f4"/>
    <x:sheet xmlns:r="http://schemas.openxmlformats.org/officeDocument/2006/relationships" name="Codebook (revised)" sheetId="2" r:id="R41c909ad63eb454c"/>
    <x:sheet xmlns:r="http://schemas.openxmlformats.org/officeDocument/2006/relationships" name="GPT Test ALL" sheetId="3" r:id="R0d5108845f6543e8"/>
    <x:sheet xmlns:r="http://schemas.openxmlformats.org/officeDocument/2006/relationships" name="Extraction Audit" sheetId="4" r:id="R4bc0b5cff90241c3"/>
  </x:sheets>
</x:workbook>
</file>

<file path=xl/sharedStrings.xml><?xml version="1.0" encoding="utf-8"?>
<x:sst xmlns:x="http://schemas.openxmlformats.org/spreadsheetml/2006/main"/>
</file>

<file path=xl/styles.xml><?xml version="1.0" encoding="utf-8"?>
<x:styleSheet xmlns:x="http://schemas.openxmlformats.org/spreadsheetml/2006/main">
  <x:fonts count="5">
    <x:font>
      <x:sz val="11"/>
      <x:name val="Carlito"/>
    </x:font>
    <x:font>
      <x:b/>
      <x:sz val="14"/>
      <x:color rgb="FFFFFFFF"/>
      <x:name val="Carlito"/>
    </x:font>
    <x:font>
      <x:b/>
      <x:sz val="11"/>
      <x:color rgb="FFFFFFFF"/>
      <x:name val="Carlito"/>
    </x:font>
    <x:font>
      <x:sz val="11"/>
      <x:color rgb="FF7F6000"/>
      <x:name val="Carlito"/>
    </x:font>
    <x:font>
      <x:b/>
      <x:sz val="11"/>
      <x:color rgb="FF17365D"/>
      <x:name val="Carlito"/>
    </x:font>
  </x:fonts>
  <x:fills count="7">
    <x:fill>
      <x:patternFill patternType="none"/>
    </x:fill>
    <x:fill>
      <x:patternFill patternType="gray125"/>
    </x:fill>
    <x:fill>
      <x:patternFill patternType="solid">
        <x:fgColor rgb="FF17365D"/>
      </x:patternFill>
    </x:fill>
    <x:fill>
      <x:patternFill patternType="solid">
        <x:fgColor rgb="FF5B9BD5"/>
      </x:patternFill>
    </x:fill>
    <x:fill>
      <x:patternFill patternType="solid">
        <x:fgColor rgb="FFFFF2CC"/>
      </x:patternFill>
    </x:fill>
    <x:fill>
      <x:patternFill patternType="solid">
        <x:fgColor rgb="FF1F4E78"/>
      </x:patternFill>
    </x:fill>
    <x:fill>
      <x:patternFill patternType="solid">
        <x:fgColor rgb="FFD9EAF7"/>
      </x:patternFill>
    </x:fill>
  </x:fills>
  <x:borders count="2">
    <x:border/>
    <x:border/>
  </x:borders>
  <x:cellStyleXfs count="1">
    <x:xf numFmtId="0" fontId="0" fillId="0" borderId="0"/>
  </x:cellStyleXfs>
  <x:cellXfs count="67">
    <x:xf numFmtId="0" fontId="0" fillId="0" borderId="0" xfId="0"/>
    <x:xf numFmtId="0" fontId="0" fillId="0" borderId="1" xfId="0" applyNumberFormat="1" applyFont="1" applyFill="1" applyBorder="1"/>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horizontal="left"/>
    </x:xf>
    <x:xf numFmtId="0" fontId="1" fillId="2" borderId="0" xfId="0" applyNumberFormat="1" applyFont="1" applyFill="1" applyBorder="1" applyAlignment="1">
      <x:alignment horizontal="left" vertical="center"/>
    </x:xf>
    <x:xf numFmtId="0" fontId="0" fillId="2" borderId="1" xfId="0" applyNumberFormat="1" applyFont="1" applyFill="1" applyBorder="1"/>
    <x:xf numFmtId="0" fontId="1" fillId="2" borderId="1" xfId="0" applyNumberFormat="1" applyFont="1" applyFill="1" applyBorder="1"/>
    <x:xf numFmtId="0" fontId="1" fillId="2" borderId="1" xfId="0" applyNumberFormat="1" applyFont="1" applyFill="1" applyBorder="1" applyAlignment="1">
      <x:alignment horizontal="left"/>
    </x:xf>
    <x:xf numFmtId="0" fontId="1" fillId="2" borderId="1" xfId="0" applyNumberFormat="1" applyFont="1" applyFill="1" applyBorder="1" applyAlignment="1">
      <x:alignment horizontal="lef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2" fillId="3" borderId="0" xfId="0" applyNumberFormat="1" applyFont="1" applyFill="1" applyBorder="1" applyAlignment="1">
      <x:alignment horizontal="center" wrapText="1"/>
    </x:xf>
    <x:xf numFmtId="0" fontId="2" fillId="3" borderId="0" xfId="0" applyNumberFormat="1" applyFont="1" applyFill="1" applyBorder="1" applyAlignment="1">
      <x:alignment horizontal="center" vertical="center" wrapText="1"/>
    </x:xf>
    <x:xf numFmtId="0" fontId="0" fillId="3" borderId="1" xfId="0" applyNumberFormat="1" applyFont="1" applyFill="1" applyBorder="1"/>
    <x:xf numFmtId="0" fontId="2" fillId="3" borderId="1" xfId="0" applyNumberFormat="1" applyFont="1" applyFill="1" applyBorder="1"/>
    <x:xf numFmtId="0" fontId="2" fillId="3" borderId="1" xfId="0" applyNumberFormat="1" applyFont="1" applyFill="1" applyBorder="1" applyAlignment="1">
      <x:alignment wrapText="1"/>
    </x:xf>
    <x:xf numFmtId="0" fontId="2" fillId="3" borderId="1" xfId="0" applyNumberFormat="1" applyFont="1" applyFill="1" applyBorder="1" applyAlignment="1">
      <x:alignment horizontal="center" wrapText="1"/>
    </x:xf>
    <x:xf numFmtId="0" fontId="2" fillId="3" borderId="1" xfId="0" applyNumberFormat="1" applyFont="1" applyFill="1" applyBorder="1" applyAlignment="1">
      <x:alignment horizontal="center" vertical="center"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vertical="top" wrapText="1"/>
    </x:xf>
    <x:xf numFmtId="0" fontId="0" fillId="4" borderId="1" xfId="0" applyNumberFormat="1" applyFont="1" applyFill="1" applyBorder="1"/>
    <x:xf numFmtId="0" fontId="3" fillId="4" borderId="1" xfId="0" applyNumberFormat="1" applyFont="1" applyFill="1" applyBorder="1"/>
    <x:xf numFmtId="0" fontId="3" fillId="4" borderId="1" xfId="0" applyNumberFormat="1" applyFont="1" applyFill="1" applyBorder="1" applyAlignment="1">
      <x:alignment wrapText="1"/>
    </x:xf>
    <x:xf numFmtId="0" fontId="3" fillId="4" borderId="1" xfId="0" applyNumberFormat="1" applyFont="1" applyFill="1" applyBorder="1" applyAlignment="1">
      <x:alignment vertical="top" wrapText="1"/>
    </x:xf>
    <x:xf numFmtId="0" fontId="0" fillId="0" borderId="0" xfId="0" applyNumberFormat="1" applyFont="1" applyFill="1" applyBorder="1" applyAlignment="1">
      <x:alignment vertical="top"/>
    </x:xf>
    <x:xf numFmtId="0" fontId="0" fillId="0" borderId="1" xfId="0" applyNumberFormat="1" applyFont="1" applyFill="1" applyBorder="1" applyAlignment="1">
      <x:alignment vertical="top"/>
    </x:xf>
    <x:xf numFmtId="0" fontId="0" fillId="0" borderId="0" xfId="0" applyNumberFormat="1" applyFont="1" applyFill="1" applyBorder="1" applyAlignment="1">
      <x:alignment vertical="top" wrapText="1"/>
    </x:xf>
    <x:xf numFmtId="0" fontId="0" fillId="0" borderId="1" xfId="0" applyNumberFormat="1" applyFont="1" applyFill="1" applyBorder="1" applyAlignment="1">
      <x:alignment vertical="top" wrapText="1"/>
    </x:xf>
    <x:xf numFmtId="0" fontId="0" fillId="5" borderId="0" xfId="0" applyNumberFormat="1" applyFont="1" applyFill="1" applyBorder="1" applyAlignment="1">
      <x:alignment vertical="top" wrapText="1"/>
    </x:xf>
    <x:xf numFmtId="0" fontId="2" fillId="5" borderId="0" xfId="0" applyNumberFormat="1" applyFont="1" applyFill="1" applyBorder="1" applyAlignment="1">
      <x:alignment vertical="top" wrapText="1"/>
    </x:xf>
    <x:xf numFmtId="0" fontId="2" fillId="5" borderId="0" xfId="0" applyNumberFormat="1" applyFont="1" applyFill="1" applyBorder="1" applyAlignment="1">
      <x:alignment horizontal="center" vertical="top" wrapText="1"/>
    </x:xf>
    <x:xf numFmtId="0" fontId="2" fillId="5" borderId="0" xfId="0" applyNumberFormat="1" applyFont="1" applyFill="1" applyBorder="1" applyAlignment="1">
      <x:alignment horizontal="center" vertical="center" wrapText="1"/>
    </x:xf>
    <x:xf numFmtId="0" fontId="0" fillId="5" borderId="1" xfId="0" applyNumberFormat="1" applyFont="1" applyFill="1" applyBorder="1" applyAlignment="1">
      <x:alignment vertical="top" wrapText="1"/>
    </x:xf>
    <x:xf numFmtId="0" fontId="2" fillId="5" borderId="1" xfId="0" applyNumberFormat="1" applyFont="1" applyFill="1" applyBorder="1" applyAlignment="1">
      <x:alignment vertical="top" wrapText="1"/>
    </x:xf>
    <x:xf numFmtId="0" fontId="2" fillId="5" borderId="1" xfId="0" applyNumberFormat="1" applyFont="1" applyFill="1" applyBorder="1" applyAlignment="1">
      <x:alignment horizontal="center" vertical="top" wrapText="1"/>
    </x:xf>
    <x:xf numFmtId="0" fontId="2" fillId="5" borderId="1" xfId="0" applyNumberFormat="1" applyFont="1" applyFill="1" applyBorder="1" applyAlignment="1">
      <x:alignment horizontal="center" vertical="center" wrapText="1"/>
    </x:xf>
    <x:xf numFmtId="0" fontId="0" fillId="0" borderId="0" xfId="0" applyNumberFormat="1" applyFont="1" applyFill="1" applyBorder="1" applyAlignment="1">
      <x:alignment horizontal="center" vertical="top" wrapText="1"/>
    </x:xf>
    <x:xf numFmtId="0" fontId="0" fillId="0" borderId="1" xfId="0" applyNumberFormat="1" applyFont="1" applyFill="1" applyBorder="1" applyAlignment="1">
      <x:alignment horizontal="center" vertical="top" wrapText="1"/>
    </x:xf>
    <x:xf numFmtId="0" fontId="1" fillId="2" borderId="0" xfId="0" applyNumberFormat="1" applyFont="1" applyFill="1" applyBorder="1" applyAlignment="1">
      <x:alignment horizontal="left" vertical="center" wrapText="1"/>
    </x:xf>
    <x:xf numFmtId="0" fontId="1" fillId="2" borderId="1" xfId="0" applyNumberFormat="1" applyFont="1" applyFill="1" applyBorder="1" applyAlignment="1">
      <x:alignment horizontal="left" vertical="center" wrapText="1"/>
    </x:xf>
    <x:xf numFmtId="0" fontId="1" fillId="2" borderId="0" xfId="0" applyNumberFormat="1" applyFont="1" applyFill="1" applyBorder="1" applyAlignment="1">
      <x:alignment horizontal="left" vertical="top" wrapText="1"/>
    </x:xf>
    <x:xf numFmtId="0" fontId="1" fillId="2" borderId="1" xfId="0" applyNumberFormat="1" applyFont="1" applyFill="1" applyBorder="1" applyAlignment="1">
      <x:alignment horizontal="left" vertical="top" wrapText="1"/>
    </x:xf>
    <x:xf numFmtId="0" fontId="0" fillId="5" borderId="0" xfId="0" applyNumberFormat="1" applyFont="1" applyFill="1" applyBorder="1"/>
    <x:xf numFmtId="0" fontId="2" fillId="5" borderId="0" xfId="0" applyNumberFormat="1" applyFont="1" applyFill="1" applyBorder="1"/>
    <x:xf numFmtId="0" fontId="2" fillId="5" borderId="0" xfId="0" applyNumberFormat="1" applyFont="1" applyFill="1" applyBorder="1" applyAlignment="1">
      <x:alignment wrapText="1"/>
    </x:xf>
    <x:xf numFmtId="0" fontId="2" fillId="5" borderId="0" xfId="0" applyNumberFormat="1" applyFont="1" applyFill="1" applyBorder="1" applyAlignment="1">
      <x:alignment horizontal="center" wrapText="1"/>
    </x:xf>
    <x:xf numFmtId="0" fontId="0" fillId="5" borderId="1" xfId="0" applyNumberFormat="1" applyFont="1" applyFill="1" applyBorder="1"/>
    <x:xf numFmtId="0" fontId="2" fillId="5" borderId="1" xfId="0" applyNumberFormat="1" applyFont="1" applyFill="1" applyBorder="1"/>
    <x:xf numFmtId="0" fontId="2" fillId="5" borderId="1" xfId="0" applyNumberFormat="1" applyFont="1" applyFill="1" applyBorder="1" applyAlignment="1">
      <x:alignment wrapText="1"/>
    </x:xf>
    <x:xf numFmtId="0" fontId="2" fillId="5" borderId="1" xfId="0" applyNumberFormat="1" applyFont="1" applyFill="1" applyBorder="1" applyAlignment="1">
      <x:alignment horizontal="center" wrapText="1"/>
    </x:xf>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horizontal="left"/>
    </x:xf>
    <x:xf numFmtId="0" fontId="4" fillId="6" borderId="0" xfId="0" applyNumberFormat="1" applyFont="1" applyFill="1" applyBorder="1" applyAlignment="1">
      <x:alignment horizontal="left" vertical="center"/>
    </x:xf>
    <x:xf numFmtId="0" fontId="0" fillId="6" borderId="1" xfId="0" applyNumberFormat="1" applyFont="1" applyFill="1" applyBorder="1"/>
    <x:xf numFmtId="0" fontId="4" fillId="6" borderId="1" xfId="0" applyNumberFormat="1" applyFont="1" applyFill="1" applyBorder="1"/>
    <x:xf numFmtId="0" fontId="4" fillId="6" borderId="1" xfId="0" applyNumberFormat="1" applyFont="1" applyFill="1" applyBorder="1" applyAlignment="1">
      <x:alignment horizontal="left"/>
    </x:xf>
    <x:xf numFmtId="0" fontId="4" fillId="6" borderId="1" xfId="0" applyNumberFormat="1" applyFont="1" applyFill="1" applyBorder="1" applyAlignment="1">
      <x:alignment horizontal="left" vertical="center"/>
    </x:xf>
    <x:xf numFmtId="0" fontId="0" fillId="0" borderId="0" xfId="0" applyNumberFormat="1" applyFont="1" applyFill="1" applyBorder="1" applyAlignment="1">
      <x:alignment wrapText="1"/>
    </x:xf>
    <x:xf numFmtId="0" fontId="4" fillId="6" borderId="0" xfId="0" applyNumberFormat="1" applyFont="1" applyFill="1" applyBorder="1" applyAlignment="1">
      <x:alignment horizontal="left" vertical="center" wrapText="1"/>
    </x:xf>
    <x:xf numFmtId="0" fontId="0" fillId="0" borderId="1" xfId="0" applyNumberFormat="1" applyFont="1" applyFill="1" applyBorder="1" applyAlignment="1">
      <x:alignment wrapText="1"/>
    </x:xf>
    <x:xf numFmtId="0" fontId="4" fillId="6" borderId="1" xfId="0" applyNumberFormat="1" applyFont="1" applyFill="1" applyBorder="1" applyAlignment="1">
      <x:alignment horizontal="left" vertical="center" wrapText="1"/>
    </x:xf>
    <x:xf numFmtId="0" fontId="4" fillId="6" borderId="0" xfId="0" applyNumberFormat="1" applyFont="1" applyFill="1" applyBorder="1" applyAlignment="1">
      <x:alignment horizontal="left" vertical="top" wrapText="1"/>
    </x:xf>
  </x:cellXfs>
  <x:cellStyles count="1">
    <x:cellStyle name="Normal" xfId="0"/>
  </x:cellStyles>
  <x:dxfs count="12">
    <x:dxf>
      <x:font>
        <x:b/>
        <x:color rgb="FF006100"/>
      </x:font>
      <x:fill>
        <x:patternFill patternType="solid">
          <x:bgColor rgb="FFE2F0D9"/>
        </x:patternFill>
      </x:fill>
    </x:dxf>
    <x:dxf>
      <x:font>
        <x:color rgb="FF595959"/>
      </x:font>
      <x:fill>
        <x:patternFill patternType="solid">
          <x:bgColor rgb="FFF2F2F2"/>
        </x:patternFill>
      </x:fill>
    </x:dxf>
    <x:dxf>
      <x:font>
        <x:b/>
        <x:color rgb="FF9C0006"/>
      </x:font>
      <x:fill>
        <x:patternFill patternType="solid">
          <x:bgColor rgb="FFFCE4D6"/>
        </x:patternFill>
      </x:fill>
    </x:dxf>
    <x:dxf>
      <x:font>
        <x:b/>
        <x:color rgb="FF006100"/>
      </x:font>
      <x:fill>
        <x:patternFill patternType="solid">
          <x:bgColor rgb="FFE2F0D9"/>
        </x:patternFill>
      </x:fill>
    </x:dxf>
    <x:dxf>
      <x:font>
        <x:color rgb="FF595959"/>
      </x:font>
      <x:fill>
        <x:patternFill patternType="solid">
          <x:bgColor rgb="FFF2F2F2"/>
        </x:patternFill>
      </x:fill>
    </x:dxf>
    <x:dxf>
      <x:font>
        <x:b/>
        <x:color rgb="FF9C0006"/>
      </x:font>
      <x:fill>
        <x:patternFill patternType="solid">
          <x:bgColor rgb="FFFCE4D6"/>
        </x:patternFill>
      </x:fill>
    </x:dxf>
    <x:dxf>
      <x:font>
        <x:color rgb="FF7F6000"/>
      </x:font>
      <x:fill>
        <x:patternFill patternType="solid">
          <x:bgColor rgb="FFFFF2CC"/>
        </x:patternFill>
      </x:fill>
    </x:dxf>
    <x:dxf>
      <x:font>
        <x:b/>
        <x:color rgb="FF006100"/>
      </x:font>
      <x:fill>
        <x:patternFill patternType="solid">
          <x:bgColor rgb="FFE2F0D9"/>
        </x:patternFill>
      </x:fill>
    </x:dxf>
    <x:dxf>
      <x:font>
        <x:color rgb="FF595959"/>
      </x:font>
      <x:fill>
        <x:patternFill patternType="solid">
          <x:bgColor rgb="FFF2F2F2"/>
        </x:patternFill>
      </x:fill>
    </x:dxf>
    <x:dxf>
      <x:font>
        <x:b/>
        <x:color rgb="FF9C0006"/>
      </x:font>
      <x:fill>
        <x:patternFill patternType="solid">
          <x:bgColor rgb="FFFCE4D6"/>
        </x:patternFill>
      </x:fill>
    </x:dxf>
    <x:dxf>
      <x:font>
        <x:b/>
        <x:color rgb="FF9C0006"/>
      </x:font>
      <x:fill>
        <x:patternFill patternType="solid">
          <x:bgColor rgb="FFF4CCCC"/>
        </x:patternFill>
      </x:fill>
    </x:dxf>
    <x:dxf>
      <x:font>
        <x:b/>
        <x:color rgb="FF7F6000"/>
      </x:font>
      <x:fill>
        <x:patternFill patternType="solid">
          <x:bgColor rgb="FFFFF2C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e783e07eac404957" /><Relationship Type="http://schemas.openxmlformats.org/officeDocument/2006/relationships/theme" Target="/xl/theme/theme1.xml" Id="R6dcd06c015bb4984" /><Relationship Type="http://schemas.openxmlformats.org/officeDocument/2006/relationships/sharedStrings" Target="/xl/sharedStrings.xml" Id="R1f17b9f4d67e4a5b" /><Relationship Type="http://schemas.openxmlformats.org/officeDocument/2006/relationships/worksheet" Target="/xl/worksheets/sheet1.xml" Id="R17a34245e2ee42f4" /><Relationship Type="http://schemas.openxmlformats.org/officeDocument/2006/relationships/worksheet" Target="/xl/worksheets/sheet2.xml" Id="R41c909ad63eb454c" /><Relationship Type="http://schemas.openxmlformats.org/officeDocument/2006/relationships/worksheet" Target="/xl/worksheets/sheet3.xml" Id="R0d5108845f6543e8" /><Relationship Type="http://schemas.openxmlformats.org/officeDocument/2006/relationships/worksheet" Target="/xl/worksheets/sheet4.xml" Id="R4bc0b5cff90241c3" /></Relationships>
</file>

<file path=xl/tables/table1.xml><?xml version="1.0" encoding="utf-8"?>
<x:table xmlns:x="http://schemas.openxmlformats.org/spreadsheetml/2006/main" id="1" name="GPTTestTable" displayName="GPTTestTable" ref="A1:AA85" headerRowCount="1" totalsRowCount="0" totalsRowShown="0">
  <x:tableColumns count="27">
    <x:tableColumn id="1" name="Passage_ID"/>
    <x:tableColumn id="2" name="Original_Number"/>
    <x:tableColumn id="3" name="Reference"/>
    <x:tableColumn id="4" name="Text_Content"/>
    <x:tableColumn id="5" name="Document"/>
    <x:tableColumn id="6" name="Source_File"/>
    <x:tableColumn id="7" name="old_gold_unlearning"/>
    <x:tableColumn id="8" name="old_gold_binary"/>
    <x:tableColumn id="9" name="new_gold_unlearning"/>
    <x:tableColumn id="10" name="new_gold_binary"/>
    <x:tableColumn id="11" name="anmol_unlearning"/>
    <x:tableColumn id="12" name="prerana_unlearning"/>
    <x:tableColumn id="13" name="kyle_unlearning"/>
    <x:tableColumn id="14" name="Original_Labeler"/>
    <x:tableColumn id="15" name="Selected_Codes"/>
    <x:tableColumn id="16" name="Adjudication_Rationale"/>
    <x:tableColumn id="17" name="Latest_Label_Source"/>
    <x:tableColumn id="18" name="Rationale_Source"/>
    <x:tableColumn id="19" name="Review_Flag"/>
    <x:tableColumn id="20" name="Review_Issue"/>
    <x:tableColumn id="21" name="Gold_Change"/>
    <x:tableColumn id="22" name="Duplicate_Type"/>
    <x:tableColumn id="23" name="Dedup_Action"/>
    <x:tableColumn id="24" name="Text_Cleaning_Notes"/>
    <x:tableColumn id="25" name="Label_History"/>
    <x:tableColumn id="26" name="Source_Records"/>
    <x:tableColumn id="27" name="Leakage_Check"/>
  </x:tableColumns>
  <x:tableStyleInfo name="TableStyleMedium2" showFirstColumn="0" showLastColumn="0" showRowStripes="1" showColumnStripes="0"/>
</x:table>
</file>

<file path=xl/tables/table2.xml><?xml version="1.0" encoding="utf-8"?>
<x:table xmlns:x="http://schemas.openxmlformats.org/spreadsheetml/2006/main" id="2" name="GPTTestAllTable" displayName="GPTTestAllTable" ref="A1:P678" headerRowCount="1" totalsRowCount="0" totalsRowShown="0">
  <x:tableColumns count="16">
    <x:tableColumn id="1" name="Passage_ID"/>
    <x:tableColumn id="2" name="Reference"/>
    <x:tableColumn id="3" name="Text_Content"/>
    <x:tableColumn id="4" name="Document"/>
    <x:tableColumn id="5" name="Source_File"/>
    <x:tableColumn id="6" name="Gold_Unlearning"/>
    <x:tableColumn id="7" name="Gold_Binary"/>
    <x:tableColumn id="8" name="Human_Label_Status"/>
    <x:tableColumn id="9" name="Human_Labelers"/>
    <x:tableColumn id="10" name="Matched_GPT_Test_IDs"/>
    <x:tableColumn id="11" name="Label_Basis"/>
    <x:tableColumn id="12" name="Adjudication_Rationale"/>
    <x:tableColumn id="13" name="Paragraph_Type"/>
    <x:tableColumn id="14" name="Extraction_Review_Flag"/>
    <x:tableColumn id="15" name="Extraction_Review_Issue"/>
    <x:tableColumn id="16" name="Source_Raw_IDs"/>
  </x:tableColumns>
  <x:tableStyleInfo name="TableStyleMedium2" showFirstColumn="0" showLastColumn="0" showRowStripes="1" showColumnStripes="0"/>
</x:table>
</file>

<file path=xl/tables/table3.xml><?xml version="1.0" encoding="utf-8"?>
<x:table xmlns:x="http://schemas.openxmlformats.org/spreadsheetml/2006/main" id="3" name="ExtractionAuditTable" displayName="ExtractionAuditTable" ref="A13:R97" headerRowCount="1" totalsRowCount="0" totalsRowShown="0">
  <x:tableColumns count="18">
    <x:tableColumn id="1" name="Original_Passage_ID"/>
    <x:tableColumn id="2" name="Final_Passage_ID"/>
    <x:tableColumn id="3" name="Document"/>
    <x:tableColumn id="4" name="Source_File"/>
    <x:tableColumn id="5" name="Reference"/>
    <x:tableColumn id="6" name="Action"/>
    <x:tableColumn id="7" name="Source_Match_Status"/>
    <x:tableColumn id="8" name="Match_Confidence"/>
    <x:tableColumn id="9" name="Original_Gold"/>
    <x:tableColumn id="10" name="Final_Gold"/>
    <x:tableColumn id="11" name="Original_Text"/>
    <x:tableColumn id="12" name="Final_Text"/>
    <x:tableColumn id="13" name="Original_Rationale"/>
    <x:tableColumn id="14" name="Final_Rationale"/>
    <x:tableColumn id="15" name="Source_Unit_ID"/>
    <x:tableColumn id="16" name="Source_Raw_IDs"/>
    <x:tableColumn id="17" name="Manual_Review_Flag"/>
    <x:tableColumn id="18" name="Manual_Review_Reason"/>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1.xml.rels>&#65279;<?xml version="1.0" encoding="utf-8"?><Relationships xmlns="http://schemas.openxmlformats.org/package/2006/relationships"><Relationship Type="http://schemas.openxmlformats.org/officeDocument/2006/relationships/table" Target="/xl/tables/table1.xml" Id="R525f1a65b8b84469" /></Relationships>
</file>

<file path=xl/worksheets/_rels/sheet3.xml.rels>&#65279;<?xml version="1.0" encoding="utf-8"?><Relationships xmlns="http://schemas.openxmlformats.org/package/2006/relationships"><Relationship Type="http://schemas.openxmlformats.org/officeDocument/2006/relationships/table" Target="/xl/tables/table2.xml" Id="R0a47fee0014d4fad" /></Relationships>
</file>

<file path=xl/worksheets/_rels/sheet4.xml.rels>&#65279;<?xml version="1.0" encoding="utf-8"?><Relationships xmlns="http://schemas.openxmlformats.org/package/2006/relationships"><Relationship Type="http://schemas.openxmlformats.org/officeDocument/2006/relationships/table" Target="/xl/tables/table3.xml" Id="Rdc8b8a3ae3254932" /></Relationships>
</file>

<file path=xl/worksheets/sheet1.xml><?xml version="1.0" encoding="utf-8"?>
<x:worksheet xmlns:x="http://schemas.openxmlformats.org/spreadsheetml/2006/main">
  <x:sheetFormatPr defaultRowHeight="15"/>
  <x:cols>
    <x:col min="1" max="1" width="13" hidden="0" customWidth="1"/>
    <x:col min="2" max="2" width="15" hidden="0" customWidth="1"/>
    <x:col min="3" max="3" width="11" hidden="0" customWidth="1"/>
    <x:col min="4" max="4" width="58" hidden="0" customWidth="1"/>
    <x:col min="5" max="5" width="22" hidden="0" customWidth="1"/>
    <x:col min="6" max="6" width="39" hidden="0" customWidth="1"/>
    <x:col min="7" max="7" width="15" hidden="0" customWidth="1"/>
    <x:col min="8" max="8" width="13" hidden="0" customWidth="1"/>
    <x:col min="9" max="9" width="16" hidden="0" customWidth="1"/>
    <x:col min="10" max="10" width="13" hidden="0" customWidth="1"/>
    <x:col min="11" max="11" width="15" hidden="0" customWidth="1"/>
    <x:col min="12" max="12" width="16" hidden="0" customWidth="1"/>
    <x:col min="13" max="13" width="14" hidden="0" customWidth="1"/>
    <x:col min="14" max="14" width="19" hidden="0" customWidth="1"/>
    <x:col min="15" max="15" width="30" hidden="0" customWidth="1"/>
    <x:col min="16" max="16" width="58" hidden="0" customWidth="1"/>
    <x:col min="17" max="17" width="33" hidden="0" customWidth="1"/>
    <x:col min="18" max="18" width="33" hidden="0" customWidth="1"/>
    <x:col min="19" max="19" width="13" hidden="0" customWidth="1"/>
    <x:col min="20" max="20" width="48" hidden="0" customWidth="1"/>
    <x:col min="21" max="21" width="18" hidden="0" customWidth="1"/>
    <x:col min="22" max="22" width="22" hidden="0" customWidth="1"/>
    <x:col min="23" max="23" width="26" hidden="0" customWidth="1"/>
    <x:col min="24" max="24" width="48" hidden="0" customWidth="1"/>
    <x:col min="25" max="25" width="58" hidden="0" customWidth="1"/>
    <x:col min="26" max="26" width="54" hidden="0" customWidth="1"/>
    <x:col min="27" max="27" width="38" hidden="0" customWidth="1"/>
    <x:col min="29" max="29" width="34" hidden="0" customWidth="1"/>
    <x:col min="30" max="30" width="14" hidden="0" customWidth="1"/>
    <x:col min="32" max="32" width="24" hidden="0" customWidth="1"/>
    <x:col min="33" max="33" width="11" hidden="0" customWidth="1"/>
    <x:col min="34" max="34" width="10" hidden="0" customWidth="1"/>
    <x:col min="35" max="35" width="10" hidden="0" customWidth="1"/>
    <x:col min="36" max="36" width="11" hidden="0" customWidth="1"/>
  </x:cols>
  <x:sheetData>
    <x:row r="1" ht="34" customHeight="1">
      <x:c r="A1" s="35" t="str">
        <x:v>Passage_ID</x:v>
      </x:c>
      <x:c r="B1" s="35" t="str">
        <x:v>Original_Number</x:v>
      </x:c>
      <x:c r="C1" s="35" t="str">
        <x:v>Reference</x:v>
      </x:c>
      <x:c r="D1" s="35" t="str">
        <x:v>Text_Content</x:v>
      </x:c>
      <x:c r="E1" s="35" t="str">
        <x:v>Document</x:v>
      </x:c>
      <x:c r="F1" s="35" t="str">
        <x:v>Source_File</x:v>
      </x:c>
      <x:c r="G1" s="35" t="str">
        <x:v>old_gold_unlearning</x:v>
      </x:c>
      <x:c r="H1" s="35" t="str">
        <x:v>old_gold_binary</x:v>
      </x:c>
      <x:c r="I1" s="35" t="str">
        <x:v>new_gold_unlearning</x:v>
      </x:c>
      <x:c r="J1" s="35" t="str">
        <x:v>new_gold_binary</x:v>
      </x:c>
      <x:c r="K1" s="35" t="str">
        <x:v>anmol_unlearning</x:v>
      </x:c>
      <x:c r="L1" s="35" t="str">
        <x:v>prerana_unlearning</x:v>
      </x:c>
      <x:c r="M1" s="35" t="str">
        <x:v>kyle_unlearning</x:v>
      </x:c>
      <x:c r="N1" s="35" t="str">
        <x:v>Original_Labeler</x:v>
      </x:c>
      <x:c r="O1" s="35" t="str">
        <x:v>Selected_Codes</x:v>
      </x:c>
      <x:c r="P1" s="35" t="str">
        <x:v>Adjudication_Rationale</x:v>
      </x:c>
      <x:c r="Q1" s="35" t="str">
        <x:v>Latest_Label_Source</x:v>
      </x:c>
      <x:c r="R1" s="35" t="str">
        <x:v>Rationale_Source</x:v>
      </x:c>
      <x:c r="S1" s="35" t="str">
        <x:v>Review_Flag</x:v>
      </x:c>
      <x:c r="T1" s="35" t="str">
        <x:v>Review_Issue</x:v>
      </x:c>
      <x:c r="U1" s="35" t="str">
        <x:v>Gold_Change</x:v>
      </x:c>
      <x:c r="V1" s="35" t="str">
        <x:v>Duplicate_Type</x:v>
      </x:c>
      <x:c r="W1" s="35" t="str">
        <x:v>Dedup_Action</x:v>
      </x:c>
      <x:c r="X1" s="35" t="str">
        <x:v>Text_Cleaning_Notes</x:v>
      </x:c>
      <x:c r="Y1" s="35" t="str">
        <x:v>Label_History</x:v>
      </x:c>
      <x:c r="Z1" s="35" t="str">
        <x:v>Source_Records</x:v>
      </x:c>
      <x:c r="AA1" s="35" t="str">
        <x:v>Leakage_Check</x:v>
      </x:c>
      <x:c r="AC1" s="5" t="str">
        <x:v>Revised Paragraph-Level GPT Test Summary</x:v>
      </x:c>
      <x:c r="AD1" s="5"/>
      <x:c r="AE1" s="5"/>
      <x:c r="AF1" s="5"/>
      <x:c r="AG1" s="5"/>
      <x:c r="AH1" s="5"/>
      <x:c r="AI1" s="5"/>
      <x:c r="AJ1" s="5"/>
    </x:row>
    <x:row r="2" ht="54" customHeight="1">
      <x:c r="A2" s="30" t="str">
        <x:v>ERP-001</x:v>
      </x:c>
      <x:c r="B2" s="30" t="str">
        <x:v>2:1</x:v>
      </x:c>
      <x:c r="C2" s="30" t="str">
        <x:v>p 6</x:v>
      </x:c>
      <x:c r="D2" s="30" t="str">
        <x:v>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x:v>
      </x:c>
      <x:c r="E2" s="30" t="str">
        <x:v>ERP Report</x:v>
      </x:c>
      <x:c r="F2" s="30" t="str">
        <x:v>erpreport.pdf</x:v>
      </x:c>
      <x:c r="G2" s="30" t="str">
        <x:v>Yes</x:v>
      </x:c>
      <x:c r="H2" s="40" t="n">
        <x:v>1</x:v>
      </x:c>
      <x:c r="I2" s="40" t="str">
        <x:v>Yes</x:v>
      </x:c>
      <x:c r="J2" s="40" t="n">
        <x:v>1</x:v>
      </x:c>
      <x:c r="K2" s="40" t="str">
        <x:v>Yes</x:v>
      </x:c>
      <x:c r="L2" s="40"/>
      <x:c r="M2" s="40" t="str">
        <x:v>Yes</x:v>
      </x:c>
      <x:c r="N2" s="40" t="str">
        <x:v>anmol</x:v>
      </x:c>
      <x:c r="O2" s="30" t="str">
        <x:v>Nature: Technical Nature, Pillar: Realignment (Technical), Unlearning</x:v>
      </x:c>
      <x:c r="P2" s="30" t="str">
        <x:v>It identifies an engineering problem and implicitly calls for armouring and a change in construction practice.</x:v>
      </x:c>
      <x:c r="Q2" s="30" t="str">
        <x:v>AnmolRationale_August12!row 26 (Latest Anmol August 12 re-evaluation)</x:v>
      </x:c>
      <x:c r="R2" s="30" t="str">
        <x:v>AnmolRationale_August12!row 26</x:v>
      </x:c>
      <x:c r="S2" s="40" t="str">
        <x:v>No</x:v>
      </x:c>
      <x:c r="T2" s="30"/>
      <x:c r="U2" s="30"/>
      <x:c r="V2" s="30" t="str">
        <x:v>Exact annotation duplicate</x:v>
      </x:c>
      <x:c r="W2" s="30" t="str">
        <x:v>Consolidated exact duplicate annotations from multiple sheets into one passage row.</x:v>
      </x:c>
      <x:c r="X2" s="30" t="str">
        <x:v>Aligned to full PyMuPDF paragraph/list item. PyMuPDF source unit: ERP-A008; raw blocks/lines: 6:8:0;6:9:0;6:10:0;6:11:0;6:12:0</x:v>
      </x:c>
      <x:c r="Y2" s="30" t="str">
        <x:v>AnmolRationale_August12!r26 (G044; anmol): Yes [SELECTED] | ICAResults_25April2026!r55 (G044; kyle): Yes | RationaleSheet_April20_v1!r30 (G044; kyle): Yes</x:v>
      </x:c>
      <x:c r="Z2" s="30" t="str">
        <x:v>AnmolRationale_August12!r26[G044]; ICAResults_25April2026!r55[G044]; RationaleSheet_April20_v1!r30[G044] PyMuPDF source unit ERP-A008 (6:8:0;6:9:0;6:10:0;6:11:0;6:12:0)</x:v>
      </x:c>
      <x:c r="AA2" s="30" t="str">
        <x:v>Clear — no codebook example passage retained</x:v>
      </x:c>
    </x:row>
    <x:row r="3" ht="54" customHeight="1">
      <x:c r="A3" s="30" t="str">
        <x:v>ERP-002</x:v>
      </x:c>
      <x:c r="B3" s="30" t="str">
        <x:v>2:2</x:v>
      </x:c>
      <x:c r="C3" s="30" t="str">
        <x:v>p 6</x:v>
      </x:c>
      <x:c r="D3" s="30" t="str">
        <x:v>•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x:v>
      </x:c>
      <x:c r="E3" s="30" t="str">
        <x:v>ERP Report</x:v>
      </x:c>
      <x:c r="F3" s="30" t="str">
        <x:v>erpreport.pdf</x:v>
      </x:c>
      <x:c r="G3" s="30" t="str">
        <x:v>Yes</x:v>
      </x:c>
      <x:c r="H3" s="40" t="n">
        <x:v>1</x:v>
      </x:c>
      <x:c r="I3" s="40" t="str">
        <x:v>Yes</x:v>
      </x:c>
      <x:c r="J3" s="40" t="n">
        <x:v>1</x:v>
      </x:c>
      <x:c r="K3" s="40" t="str">
        <x:v>Yes</x:v>
      </x:c>
      <x:c r="L3" s="40"/>
      <x:c r="M3" s="40" t="str">
        <x:v>Yes</x:v>
      </x:c>
      <x:c r="N3" s="40" t="str">
        <x:v>anmol</x:v>
      </x:c>
      <x:c r="O3" s="30" t="str">
        <x:v>Depth: High depth, Nature: Technical Nature, Pillar: Realignment (Technical), Unlearning</x:v>
      </x:c>
      <x:c r="P3" s="30" t="str">
        <x:v>It identifies an engineering problem and calls for an inter-connected system.</x:v>
      </x:c>
      <x:c r="Q3" s="30" t="str">
        <x:v>AnmolRationale_August12!row 27 (Latest Anmol August 12 re-evaluation)</x:v>
      </x:c>
      <x:c r="R3" s="30" t="str">
        <x:v>AnmolRationale_August12!row 27</x:v>
      </x:c>
      <x:c r="S3" s="40" t="str">
        <x:v>No</x:v>
      </x:c>
      <x:c r="T3" s="30"/>
      <x:c r="U3" s="30"/>
      <x:c r="V3" s="30" t="str">
        <x:v>Exact annotation duplicate</x:v>
      </x:c>
      <x:c r="W3" s="30" t="str">
        <x:v>Consolidated exact duplicate annotations from multiple sheets into one passage row.</x:v>
      </x:c>
      <x:c r="X3" s="30" t="str">
        <x:v>Aligned to full PyMuPDF paragraph/list item. PyMuPDF source unit: ERP-A011; raw blocks/lines: 6:22:0;6:23:0;6:24:0;6:25:0;6:26:0;6:27:0</x:v>
      </x:c>
      <x:c r="Y3" s="30" t="str">
        <x:v>AnmolRationale_August12!r27 (G045; anmol): Yes [SELECTED] | ICAResults_25April2026!r56 (G045; kyle): Yes | RationaleSheet_April20_v1!r31 (G045; kyle): Yes</x:v>
      </x:c>
      <x:c r="Z3" s="30" t="str">
        <x:v>AnmolRationale_August12!r27[G045]; ICAResults_25April2026!r56[G045]; RationaleSheet_April20_v1!r31[G045] PyMuPDF source unit ERP-A011 (6:22:0;6:23:0;6:24:0;6:25:0;6:26:0;6:27:0)</x:v>
      </x:c>
      <x:c r="AA3" s="30" t="str">
        <x:v>Clear — no codebook example passage retained</x:v>
      </x:c>
      <x:c r="AC3" s="14" t="str">
        <x:v>Metric</x:v>
      </x:c>
      <x:c r="AD3" s="14" t="str">
        <x:v>Value</x:v>
      </x:c>
      <x:c r="AF3" s="14" t="str">
        <x:v>Document</x:v>
      </x:c>
      <x:c r="AG3" s="14" t="str">
        <x:v>Rows</x:v>
      </x:c>
      <x:c r="AH3" s="14" t="str">
        <x:v>Yes</x:v>
      </x:c>
      <x:c r="AI3" s="14" t="str">
        <x:v>No</x:v>
      </x:c>
      <x:c r="AJ3" s="14" t="str">
        <x:v>Review</x:v>
      </x:c>
    </x:row>
    <x:row r="4" ht="54" customHeight="1">
      <x:c r="A4" s="30" t="str">
        <x:v>ERP-003</x:v>
      </x:c>
      <x:c r="B4" s="30" t="str">
        <x:v>2:3</x:v>
      </x:c>
      <x:c r="C4" s="30" t="str">
        <x:v>p 7</x:v>
      </x:c>
      <x:c r="D4" s="30" t="str">
        <x:v>•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x:v>
      </x:c>
      <x:c r="E4" s="30" t="str">
        <x:v>ERP Report</x:v>
      </x:c>
      <x:c r="F4" s="30" t="str">
        <x:v>erpreport.pdf</x:v>
      </x:c>
      <x:c r="G4" s="30" t="str">
        <x:v>Yes</x:v>
      </x:c>
      <x:c r="H4" s="40" t="n">
        <x:v>1</x:v>
      </x:c>
      <x:c r="I4" s="40" t="str">
        <x:v>Yes</x:v>
      </x:c>
      <x:c r="J4" s="40" t="n">
        <x:v>1</x:v>
      </x:c>
      <x:c r="K4" s="40" t="str">
        <x:v>Yes</x:v>
      </x:c>
      <x:c r="L4" s="40"/>
      <x:c r="M4" s="40" t="str">
        <x:v>Yes</x:v>
      </x:c>
      <x:c r="N4" s="40" t="str">
        <x:v>anmol</x:v>
      </x:c>
      <x:c r="O4" s="30" t="str">
        <x:v>Depth: Moderate depth, Nature: Normative Nature, Pillar: Discarding (Normative), Unlearning</x:v>
      </x:c>
      <x:c r="P4" s="30" t="str">
        <x:v>it identifies inter-agency coordination as a problem and implicitly calls for change.</x:v>
      </x:c>
      <x:c r="Q4" s="30" t="str">
        <x:v>AnmolRationale_August12!row 28 (Latest Anmol August 12 re-evaluation)</x:v>
      </x:c>
      <x:c r="R4" s="30" t="str">
        <x:v>AnmolRationale_August12!row 28</x:v>
      </x:c>
      <x:c r="S4" s="40" t="str">
        <x:v>No</x:v>
      </x:c>
      <x:c r="T4" s="30"/>
      <x:c r="U4" s="30"/>
      <x:c r="V4" s="30" t="str">
        <x:v>Exact annotation duplicate</x:v>
      </x:c>
      <x:c r="W4" s="30" t="str">
        <x:v>Consolidated exact duplicate annotations from multiple sheets into one passage row.</x:v>
      </x:c>
      <x:c r="X4" s="30" t="str">
        <x:v>Aligned to full PyMuPDF paragraph/list item. PyMuPDF source unit: ERP-A014; raw blocks/lines: 7:1:0;7:2:0;7:3:0;7:4:0;7:5:0;7:6:0</x:v>
      </x:c>
      <x:c r="Y4" s="30" t="str">
        <x:v>AnmolRationale_August12!r28 (G048; anmol): Yes [SELECTED] | ICAResults_25April2026!r57 (G048; kyle): Yes | RationaleSheet_April20_v1!r32 (G048; kyle): Yes</x:v>
      </x:c>
      <x:c r="Z4" s="30" t="str">
        <x:v>AnmolRationale_August12!r28[G048]; ICAResults_25April2026!r57[G048]; RationaleSheet_April20_v1!r32[G048] PyMuPDF source unit ERP-A014 (7:1:0;7:2:0;7:3:0;7:4:0;7:5:0;7:6:0)</x:v>
      </x:c>
      <x:c r="AA4" s="30" t="str">
        <x:v>Clear — no codebook example passage retained</x:v>
      </x:c>
      <x:c r="AC4" t="str">
        <x:v>Revised passages</x:v>
      </x:c>
      <x:c r="AD4" t="n">
        <x:f>COUNTA(A2:A85)</x:f>
        <x:v>84</x:v>
      </x:c>
      <x:c r="AF4" t="str">
        <x:v>ERP Report</x:v>
      </x:c>
      <x:c r="AG4" t="n">
        <x:f>COUNTIF($E$2:$E$85,AF4)</x:f>
        <x:v>39</x:v>
      </x:c>
      <x:c r="AH4" t="n">
        <x:f>COUNTIFS($E$2:$E$85,AF4,$I$2:$I$85,"Yes")</x:f>
        <x:v>22</x:v>
      </x:c>
      <x:c r="AI4" t="n">
        <x:f>COUNTIFS($E$2:$E$85,AF4,$I$2:$I$85,"No")</x:f>
        <x:v>17</x:v>
      </x:c>
      <x:c r="AJ4" t="n">
        <x:f>COUNTIFS($E$2:$E$85,AF4,$S$2:$S$85,"Yes")</x:f>
        <x:v>18</x:v>
      </x:c>
    </x:row>
    <x:row r="5" ht="54" customHeight="1">
      <x:c r="A5" s="30" t="str">
        <x:v>ERP-004</x:v>
      </x:c>
      <x:c r="B5" s="30" t="str">
        <x:v>2:4</x:v>
      </x:c>
      <x:c r="C5" s="30" t="str">
        <x:v>p 7</x:v>
      </x:c>
      <x:c r="D5" s="30" t="str">
        <x:v>• The hurricane protection system was funded on a project-by-project basis over many years. As a result, the system was constructed in a piecemeal fashion. In addition, there were pressures for tradeoffs and low-cost solutions that compromised quality, safety, and reliability.</x:v>
      </x:c>
      <x:c r="E5" s="30" t="str">
        <x:v>ERP Report</x:v>
      </x:c>
      <x:c r="F5" s="30" t="str">
        <x:v>erpreport.pdf</x:v>
      </x:c>
      <x:c r="G5" s="30" t="str">
        <x:v>Yes</x:v>
      </x:c>
      <x:c r="H5" s="40" t="n">
        <x:v>1</x:v>
      </x:c>
      <x:c r="I5" s="40" t="str">
        <x:v>Yes</x:v>
      </x:c>
      <x:c r="J5" s="40" t="n">
        <x:v>1</x:v>
      </x:c>
      <x:c r="K5" s="40" t="str">
        <x:v>Yes</x:v>
      </x:c>
      <x:c r="L5" s="40"/>
      <x:c r="M5" s="40" t="str">
        <x:v>Yes</x:v>
      </x:c>
      <x:c r="N5" s="40" t="str">
        <x:v>anmol</x:v>
      </x:c>
      <x:c r="O5" s="30" t="str">
        <x:v>Depth: Moderate depth, Pillar: Reconsidering (Epistemic), Unlearning</x:v>
      </x:c>
      <x:c r="P5" s="30" t="str">
        <x:v>It identifies clear problems in project development and cost-cutting and implicitly calls for a fundamental change in the approach.</x:v>
      </x:c>
      <x:c r="Q5" s="30" t="str">
        <x:v>AnmolRationale_August12!row 29 (Latest Anmol August 12 re-evaluation)</x:v>
      </x:c>
      <x:c r="R5" s="30" t="str">
        <x:v>AnmolRationale_August12!row 29</x:v>
      </x:c>
      <x:c r="S5" s="40" t="str">
        <x:v>No</x:v>
      </x:c>
      <x:c r="T5" s="30"/>
      <x:c r="U5" s="30"/>
      <x:c r="V5" s="30" t="str">
        <x:v>Near/exact text variant</x:v>
      </x:c>
      <x:c r="W5" s="30" t="str">
        <x:v>Consolidated equivalent text groups G038, G052; retained cleaner representative G038. Also consolidated repeated annotations across source sheets.</x:v>
      </x:c>
      <x:c r="X5" s="30" t="str">
        <x:v>Aligned to full PyMuPDF paragraph/list item. PyMuPDF source unit: ERP-A015; raw blocks/lines: 7:7:0;7:8:0;7:9:0;7:10:0;7:11:0</x:v>
      </x:c>
      <x:c r="Y5" s="30" t="str">
        <x:v>AnmolRationale_August12!r29 (G038; anmol): Yes [SELECTED] | ICAResults_25April2026!r58 (G052; kyle): Yes | RationaleSheet_April20_v1!r33 (G052; kyle): Yes</x:v>
      </x:c>
      <x:c r="Z5" s="30" t="str">
        <x:v>AnmolRationale_August12!r29[G038]; ICAResults_25April2026!r58[G052]; RationaleSheet_April20_v1!r33[G052] PyMuPDF source unit ERP-A015 (7:7:0;7:8:0;7:9:0;7:10:0;7:11:0)</x:v>
      </x:c>
      <x:c r="AA5" s="30" t="str">
        <x:v>Clear — no codebook example passage retained</x:v>
      </x:c>
      <x:c r="AC5" t="str">
        <x:v>Gold Yes</x:v>
      </x:c>
      <x:c r="AD5" t="n">
        <x:f>COUNTIF(I2:I85,"Yes")</x:f>
        <x:v>42</x:v>
      </x:c>
      <x:c r="AF5" t="str">
        <x:v>GAO</x:v>
      </x:c>
      <x:c r="AG5" t="n">
        <x:f>COUNTIF($E$2:$E$85,AF5)</x:f>
        <x:v>3</x:v>
      </x:c>
      <x:c r="AH5" t="n">
        <x:f>COUNTIFS($E$2:$E$85,AF5,$I$2:$I$85,"Yes")</x:f>
        <x:v>3</x:v>
      </x:c>
      <x:c r="AI5" t="n">
        <x:f>COUNTIFS($E$2:$E$85,AF5,$I$2:$I$85,"No")</x:f>
        <x:v>0</x:v>
      </x:c>
      <x:c r="AJ5" t="n">
        <x:f>COUNTIFS($E$2:$E$85,AF5,$S$2:$S$85,"Yes")</x:f>
        <x:v>3</x:v>
      </x:c>
    </x:row>
    <x:row r="6" ht="54" customHeight="1">
      <x:c r="A6" s="30" t="str">
        <x:v>ERP-005</x:v>
      </x:c>
      <x:c r="B6" s="30" t="str">
        <x:v>2:5</x:v>
      </x:c>
      <x:c r="C6" s="30" t="str">
        <x:v>p 7</x:v>
      </x:c>
      <x:c r="D6" s="30" t="str">
        <x:v>• The design of the New Orleans hurricane protection system was not subject to the rigorous external review by senior experts that is often conducted for similar life-safety structures and systems.</x:v>
      </x:c>
      <x:c r="E6" s="30" t="str">
        <x:v>ERP Report</x:v>
      </x:c>
      <x:c r="F6" s="30" t="str">
        <x:v>erpreport.pdf</x:v>
      </x:c>
      <x:c r="G6" s="30" t="str">
        <x:v>Yes</x:v>
      </x:c>
      <x:c r="H6" s="40" t="n">
        <x:v>1</x:v>
      </x:c>
      <x:c r="I6" s="40" t="str">
        <x:v>Yes</x:v>
      </x:c>
      <x:c r="J6" s="40" t="n">
        <x:v>1</x:v>
      </x:c>
      <x:c r="K6" s="40" t="str">
        <x:v>Yes</x:v>
      </x:c>
      <x:c r="L6" s="40"/>
      <x:c r="M6" s="40" t="str">
        <x:v>Yes</x:v>
      </x:c>
      <x:c r="N6" s="40" t="str">
        <x:v>anmol</x:v>
      </x:c>
      <x:c r="O6" s="30" t="str">
        <x:v>Depth: High depth, Nature: Normative Nature, Pillar: Reconsidering (Epistemic), Unlearning</x:v>
      </x:c>
      <x:c r="P6" s="30" t="str">
        <x:v>It identifies review mechanism as problemtaic and implicitly calls for external review system</x:v>
      </x:c>
      <x:c r="Q6" s="30" t="str">
        <x:v>AnmolRationale_August12!row 30 (Latest Anmol August 12 re-evaluation)</x:v>
      </x:c>
      <x:c r="R6" s="30" t="str">
        <x:v>AnmolRationale_August12!row 30</x:v>
      </x:c>
      <x:c r="S6" s="40" t="str">
        <x:v>No</x:v>
      </x:c>
      <x:c r="T6" s="30"/>
      <x:c r="U6" s="30"/>
      <x:c r="V6" s="30" t="str">
        <x:v>Exact annotation duplicate</x:v>
      </x:c>
      <x:c r="W6" s="30" t="str">
        <x:v>Consolidated exact duplicate annotations from multiple sheets into one passage row.</x:v>
      </x:c>
      <x:c r="X6" s="30" t="str">
        <x:v>Aligned to full PyMuPDF paragraph/list item. PyMuPDF source unit: ERP-A016; raw blocks/lines: 7:13:0;7:14:0;7:15:0</x:v>
      </x:c>
      <x:c r="Y6" s="30" t="str">
        <x:v>AnmolRationale_August12!r30 (G049; anmol): Yes [SELECTED] | ICAResults_25April2026!r59 (G049; kyle): Yes | RationaleSheet_April20_v1!r34 (G049; kyle): Yes</x:v>
      </x:c>
      <x:c r="Z6" s="30" t="str">
        <x:v>AnmolRationale_August12!r30[G049]; ICAResults_25April2026!r59[G049]; RationaleSheet_April20_v1!r34[G049] PyMuPDF source unit ERP-A016 (7:13:0;7:14:0;7:15:0)</x:v>
      </x:c>
      <x:c r="AA6" s="30" t="str">
        <x:v>Clear — no codebook example passage retained</x:v>
      </x:c>
      <x:c r="AC6" t="str">
        <x:v>Gold No</x:v>
      </x:c>
      <x:c r="AD6" t="n">
        <x:f>COUNTIF(I2:I85,"No")</x:f>
        <x:v>42</x:v>
      </x:c>
      <x:c r="AF6" t="str">
        <x:v>EPA</x:v>
      </x:c>
      <x:c r="AG6" t="n">
        <x:f>COUNTIF($E$2:$E$85,AF6)</x:f>
        <x:v>22</x:v>
      </x:c>
      <x:c r="AH6" t="n">
        <x:f>COUNTIFS($E$2:$E$85,AF6,$I$2:$I$85,"Yes")</x:f>
        <x:v>3</x:v>
      </x:c>
      <x:c r="AI6" t="n">
        <x:f>COUNTIFS($E$2:$E$85,AF6,$I$2:$I$85,"No")</x:f>
        <x:v>19</x:v>
      </x:c>
      <x:c r="AJ6" t="n">
        <x:f>COUNTIFS($E$2:$E$85,AF6,$S$2:$S$85,"Yes")</x:f>
        <x:v>9</x:v>
      </x:c>
    </x:row>
    <x:row r="7" ht="54" customHeight="1">
      <x:c r="A7" s="30" t="str">
        <x:v>ERP-006</x:v>
      </x:c>
      <x:c r="B7" s="30" t="str">
        <x:v>2:7</x:v>
      </x:c>
      <x:c r="C7" s="30" t="str">
        <x:v>p 7</x:v>
      </x:c>
      <x:c r="D7" s="30" t="str">
        <x:v>• Quantify and periodically update the assessment of risk. This approach should be extended to all areas in the United States that are vulnerable to major losses from hurricanes and flooding.</x:v>
      </x:c>
      <x:c r="E7" s="30" t="str">
        <x:v>ERP Report</x:v>
      </x:c>
      <x:c r="F7" s="30" t="str">
        <x:v>erpreport.pdf</x:v>
      </x:c>
      <x:c r="G7" s="30" t="str">
        <x:v>No</x:v>
      </x:c>
      <x:c r="H7" s="40" t="n">
        <x:v>0</x:v>
      </x:c>
      <x:c r="I7" s="40" t="str">
        <x:v>No</x:v>
      </x:c>
      <x:c r="J7" s="40" t="n">
        <x:v>0</x:v>
      </x:c>
      <x:c r="K7" s="40" t="str">
        <x:v>No</x:v>
      </x:c>
      <x:c r="L7" s="40"/>
      <x:c r="M7" s="40" t="str">
        <x:v>Yes</x:v>
      </x:c>
      <x:c r="N7" s="40" t="str">
        <x:v>anmol</x:v>
      </x:c>
      <x:c r="O7" s="30"/>
      <x:c r="P7" s="30" t="str">
        <x:v>not unlearning. Its not about fundamental rethingk or abandongin,b ut more of updating and extending.</x:v>
      </x:c>
      <x:c r="Q7" s="30" t="str">
        <x:v>AnmolRationale_August12!row 32 (Latest Anmol August 12 re-evaluation)</x:v>
      </x:c>
      <x:c r="R7" s="30" t="str">
        <x:v>AnmolRationale_August12!row 32</x:v>
      </x:c>
      <x:c r="S7" s="40" t="str">
        <x:v>No</x:v>
      </x:c>
      <x:c r="T7" s="30"/>
      <x:c r="U7" s="30"/>
      <x:c r="V7" s="30" t="str">
        <x:v>Exact annotation duplicate</x:v>
      </x:c>
      <x:c r="W7" s="30" t="str">
        <x:v>Consolidated exact duplicate annotations from multiple sheets into one passage row.</x:v>
      </x:c>
      <x:c r="X7" s="30" t="str">
        <x:v>Aligned to full PyMuPDF paragraph/list item. PyMuPDF source unit: ERP-A020; raw blocks/lines: 7:34:0;7:35:0;7:36:0</x:v>
      </x:c>
      <x:c r="Y7" s="30" t="str">
        <x:v>AnmolRationale_August12!r32 (G051; anmol): No [SELECTED] | ICAResults_25April2026!r61 (G051; kyle): Yes | RationaleSheet_April20_v1!r36 (G051; kyle): Yes</x:v>
      </x:c>
      <x:c r="Z7" s="30" t="str">
        <x:v>AnmolRationale_August12!r32[G051]; ICAResults_25April2026!r61[G051]; RationaleSheet_April20_v1!r36[G051] PyMuPDF source unit ERP-A020 (7:34:0;7:35:0;7:36:0)</x:v>
      </x:c>
      <x:c r="AA7" s="30" t="str">
        <x:v>Clear — no codebook example passage retained</x:v>
      </x:c>
      <x:c r="AC7" t="str">
        <x:v>Rows from split parent spans</x:v>
      </x:c>
      <x:c r="AD7" t="n">
        <x:f>COUNTIF('Extraction Audit'!G14:G97,"Parent span split to source paragraph")+COUNTIF('Extraction Audit'!G14:G97,"Parent span split to source list unit")+COUNTIF('Extraction Audit'!G14:G97,"Parent span split to source quotation unit")</x:f>
        <x:v>25</x:v>
      </x:c>
      <x:c r="AF7" t="str">
        <x:v>Hurricane Katrina</x:v>
      </x:c>
      <x:c r="AG7" t="n">
        <x:f>COUNTIF($E$2:$E$85,AF7)</x:f>
        <x:v>11</x:v>
      </x:c>
      <x:c r="AH7" t="n">
        <x:f>COUNTIFS($E$2:$E$85,AF7,$I$2:$I$85,"Yes")</x:f>
        <x:v>5</x:v>
      </x:c>
      <x:c r="AI7" t="n">
        <x:f>COUNTIFS($E$2:$E$85,AF7,$I$2:$I$85,"No")</x:f>
        <x:v>6</x:v>
      </x:c>
      <x:c r="AJ7" t="n">
        <x:f>COUNTIFS($E$2:$E$85,AF7,$S$2:$S$85,"Yes")</x:f>
        <x:v>2</x:v>
      </x:c>
    </x:row>
    <x:row r="8" ht="54" customHeight="1">
      <x:c r="A8" s="30" t="str">
        <x:v>ERP-007</x:v>
      </x:c>
      <x:c r="B8" s="30" t="str">
        <x:v>2:8</x:v>
      </x:c>
      <x:c r="C8" s="30" t="str">
        <x:v>pp 7-8</x:v>
      </x:c>
      <x:c r="D8" s="30" t="str">
        <x:v>• Determine the level of acceptable risk in the community through quality interactive public risk communication programs in New Orleans and other areas threatened by hurricanes and flooding. Once determined, manage the risks accordingly.</x:v>
      </x:c>
      <x:c r="E8" s="30" t="str">
        <x:v>ERP Report</x:v>
      </x:c>
      <x:c r="F8" s="30" t="str">
        <x:v>erpreport.pdf</x:v>
      </x:c>
      <x:c r="G8" s="30" t="str">
        <x:v>No</x:v>
      </x:c>
      <x:c r="H8" s="40" t="n">
        <x:v>0</x:v>
      </x:c>
      <x:c r="I8" s="40" t="str">
        <x:v>No</x:v>
      </x:c>
      <x:c r="J8" s="40" t="n">
        <x:v>0</x:v>
      </x:c>
      <x:c r="K8" s="40" t="str">
        <x:v>No</x:v>
      </x:c>
      <x:c r="L8" s="40"/>
      <x:c r="M8" s="40" t="str">
        <x:v>Yes</x:v>
      </x:c>
      <x:c r="N8" s="40" t="str">
        <x:v>anmol</x:v>
      </x:c>
      <x:c r="O8" s="30"/>
      <x:c r="P8" s="30" t="str">
        <x:v>Not unlearnign. This is a generic statement and doesnt identify what was broken and needs to be rethought.</x:v>
      </x:c>
      <x:c r="Q8" s="30" t="str">
        <x:v>AnmolRationale_August12!row 33 (Latest Anmol August 12 re-evaluation)</x:v>
      </x:c>
      <x:c r="R8" s="30" t="str">
        <x:v>AnmolRationale_August12!row 33</x:v>
      </x:c>
      <x:c r="S8" s="40" t="str">
        <x:v>No</x:v>
      </x:c>
      <x:c r="T8" s="30"/>
      <x:c r="U8" s="30"/>
      <x:c r="V8" s="30" t="str">
        <x:v>Near/exact text variant</x:v>
      </x:c>
      <x:c r="W8" s="30" t="str">
        <x:v>Consolidated equivalent text groups G039, G042; retained cleaner representative G039. Also consolidated repeated annotations across source sheets.</x:v>
      </x:c>
      <x:c r="X8" s="30" t="str">
        <x:v>Aligned to full PyMuPDF paragraph/list item. PyMuPDF source unit: ERP-A021; raw blocks/lines: 7:37:0;7:38:0;8:1:0;8:2:0</x:v>
      </x:c>
      <x:c r="Y8" s="30" t="str">
        <x:v>AnmolRationale_August12!r33 (G039; anmol): No [SELECTED] | ICAResults_25April2026!r62 (G042; kyle): Yes | RationaleSheet_April20_v1!r37 (G042; kyle): Yes</x:v>
      </x:c>
      <x:c r="Z8" s="30" t="str">
        <x:v>AnmolRationale_August12!r33[G039]; ICAResults_25April2026!r62[G042]; RationaleSheet_April20_v1!r37[G042] PyMuPDF source unit ERP-A021 (7:37:0;7:38:0;8:1:0;8:2:0)</x:v>
      </x:c>
      <x:c r="AA8" s="30" t="str">
        <x:v>Clear — no codebook example passage retained</x:v>
      </x:c>
      <x:c r="AC8" t="str">
        <x:v>Source verified with supplied PDFs</x:v>
      </x:c>
      <x:c r="AD8" t="n">
        <x:f>AD4-AD9</x:f>
        <x:v>79</x:v>
      </x:c>
      <x:c r="AF8" t="str">
        <x:v>PAR</x:v>
      </x:c>
      <x:c r="AG8" t="n">
        <x:f>COUNTIF($E$2:$E$85,AF8)</x:f>
        <x:v>9</x:v>
      </x:c>
      <x:c r="AH8" t="n">
        <x:f>COUNTIFS($E$2:$E$85,AF8,$I$2:$I$85,"Yes")</x:f>
        <x:v>9</x:v>
      </x:c>
      <x:c r="AI8" t="n">
        <x:f>COUNTIFS($E$2:$E$85,AF8,$I$2:$I$85,"No")</x:f>
        <x:v>0</x:v>
      </x:c>
      <x:c r="AJ8" t="n">
        <x:f>COUNTIFS($E$2:$E$85,AF8,$S$2:$S$85,"Yes")</x:f>
        <x:v>2</x:v>
      </x:c>
    </x:row>
    <x:row r="9" ht="54" customHeight="1">
      <x:c r="A9" s="30" t="str">
        <x:v>ERP-008</x:v>
      </x:c>
      <x:c r="B9" s="30" t="str">
        <x:v>2:9</x:v>
      </x:c>
      <x:c r="C9" s="30" t="str">
        <x:v>p 8</x:v>
      </x:c>
      <x:c r="D9" s="30" t="str">
        <x:v>• Correct the system’s deficiencies by establishing mechanisms to incorporate changing information, making the levees survivable if overtopped, strengthening the I-walls and levees, and upgrading the pumping stations.</x:v>
      </x:c>
      <x:c r="E9" s="30" t="str">
        <x:v>ERP Report</x:v>
      </x:c>
      <x:c r="F9" s="30" t="str">
        <x:v>erpreport.pdf</x:v>
      </x:c>
      <x:c r="G9" s="30" t="str">
        <x:v>No</x:v>
      </x:c>
      <x:c r="H9" s="40" t="n">
        <x:v>0</x:v>
      </x:c>
      <x:c r="I9" s="40" t="str">
        <x:v>No</x:v>
      </x:c>
      <x:c r="J9" s="40" t="n">
        <x:v>0</x:v>
      </x:c>
      <x:c r="K9" s="40" t="str">
        <x:v>No</x:v>
      </x:c>
      <x:c r="L9" s="40"/>
      <x:c r="M9" s="40" t="str">
        <x:v>Yes</x:v>
      </x:c>
      <x:c r="N9" s="40" t="str">
        <x:v>anmol</x:v>
      </x:c>
      <x:c r="O9" s="30"/>
      <x:c r="P9" s="30" t="str">
        <x:v>This is not unlearning. It speaks to upgrades and coorective measures, not fundamental rethink.</x:v>
      </x:c>
      <x:c r="Q9" s="30" t="str">
        <x:v>AnmolRationale_August12!row 34 (Latest Anmol August 12 re-evaluation)</x:v>
      </x:c>
      <x:c r="R9" s="30" t="str">
        <x:v>AnmolRationale_August12!row 34</x:v>
      </x:c>
      <x:c r="S9" s="40" t="str">
        <x:v>No</x:v>
      </x:c>
      <x:c r="T9" s="30"/>
      <x:c r="U9" s="30"/>
      <x:c r="V9" s="30" t="str">
        <x:v>Exact annotation duplicate</x:v>
      </x:c>
      <x:c r="W9" s="30" t="str">
        <x:v>Consolidated exact duplicate annotations from multiple sheets into one passage row.</x:v>
      </x:c>
      <x:c r="X9" s="30" t="str">
        <x:v>Aligned to full PyMuPDF paragraph/list item. PyMuPDF source unit: ERP-A022; raw blocks/lines: 8:3:0;8:4:0;8:5:0;8:6:0</x:v>
      </x:c>
      <x:c r="Y9" s="30" t="str">
        <x:v>AnmolRationale_August12!r34 (G059; anmol): No [SELECTED] | ICAResults_25April2026!r63 (G059; kyle): Yes | RationaleSheet_April20_v1!r38 (G059; kyle): Yes</x:v>
      </x:c>
      <x:c r="Z9" s="30" t="str">
        <x:v>AnmolRationale_August12!r34[G059]; ICAResults_25April2026!r63[G059]; RationaleSheet_April20_v1!r38[G059] PyMuPDF source unit ERP-A022 (8:3:0;8:4:0;8:5:0;8:6:0)</x:v>
      </x:c>
      <x:c r="AA9" s="30" t="str">
        <x:v>Clear — no codebook example passage retained</x:v>
      </x:c>
      <x:c r="AC9" t="str">
        <x:v>Source PDF not supplied</x:v>
      </x:c>
      <x:c r="AD9" t="n">
        <x:f>COUNTIF('Extraction Audit'!H14:H97,"Unverified")</x:f>
        <x:v>5</x:v>
      </x:c>
    </x:row>
    <x:row r="10" ht="54" customHeight="1">
      <x:c r="A10" s="30" t="str">
        <x:v>ERP-009</x:v>
      </x:c>
      <x:c r="B10" s="30" t="str">
        <x:v>2:10</x:v>
      </x:c>
      <x:c r="C10" s="30" t="str">
        <x:v>p 8</x:v>
      </x:c>
      <x:c r="D10" s="30" t="str">
        <x:v>• Assign to a single entity or individual (a licensed engineer) the responsibility of managing critical hurricane and flood protection systems such as the one in New Orleans.</x:v>
      </x:c>
      <x:c r="E10" s="30" t="str">
        <x:v>ERP Report</x:v>
      </x:c>
      <x:c r="F10" s="30" t="str">
        <x:v>erpreport.pdf</x:v>
      </x:c>
      <x:c r="G10" s="30" t="str">
        <x:v>Yes</x:v>
      </x:c>
      <x:c r="H10" s="40" t="n">
        <x:v>1</x:v>
      </x:c>
      <x:c r="I10" s="40" t="str">
        <x:v>Yes</x:v>
      </x:c>
      <x:c r="J10" s="40" t="n">
        <x:v>1</x:v>
      </x:c>
      <x:c r="K10" s="40" t="str">
        <x:v>Yes</x:v>
      </x:c>
      <x:c r="L10" s="40"/>
      <x:c r="M10" s="40" t="str">
        <x:v>Yes</x:v>
      </x:c>
      <x:c r="N10" s="40" t="str">
        <x:v>anmol</x:v>
      </x:c>
      <x:c r="O10" s="30" t="str">
        <x:v>Depth: Moderate depth, Nature: Normative Nature, Pillar: Realignment (Technical), Unlearning</x:v>
      </x:c>
      <x:c r="P10" s="30" t="str">
        <x:v>This is unlearning. It doesnt identify a clear problem, but calls for fundamental rethink by assigning a single entity responsible managing criticl huyrricane.</x:v>
      </x:c>
      <x:c r="Q10" s="30" t="str">
        <x:v>AnmolRationale_August12!row 35 (Latest Anmol August 12 re-evaluation)</x:v>
      </x:c>
      <x:c r="R10" s="30" t="str">
        <x:v>AnmolRationale_August12!row 35</x:v>
      </x:c>
      <x:c r="S10" s="40" t="str">
        <x:v>No</x:v>
      </x:c>
      <x:c r="T10" s="30"/>
      <x:c r="U10" s="30"/>
      <x:c r="V10" s="30" t="str">
        <x:v>Exact annotation duplicate</x:v>
      </x:c>
      <x:c r="W10" s="30" t="str">
        <x:v>Consolidated exact duplicate annotations from multiple sheets into one passage row.</x:v>
      </x:c>
      <x:c r="X10" s="30" t="str">
        <x:v>Aligned to full PyMuPDF paragraph/list item. PyMuPDF source unit: ERP-A023; raw blocks/lines: 8:7:0;8:8:0;8:9:0</x:v>
      </x:c>
      <x:c r="Y10" s="30" t="str">
        <x:v>AnmolRationale_August12!r35 (G060; anmol): Yes [SELECTED] | ICAResults_25April2026!r64 (G060; kyle): Yes | RationaleSheet_April20_v1!r39 (G060; kyle): Yes</x:v>
      </x:c>
      <x:c r="Z10" s="30" t="str">
        <x:v>AnmolRationale_August12!r35[G060]; ICAResults_25April2026!r64[G060]; RationaleSheet_April20_v1!r39[G060] PyMuPDF source unit ERP-A023 (8:7:0;8:8:0;8:9:0)</x:v>
      </x:c>
      <x:c r="AA10" s="30" t="str">
        <x:v>Clear — no codebook example passage retained</x:v>
      </x:c>
      <x:c r="AC10" t="str">
        <x:v>Active review flags</x:v>
      </x:c>
      <x:c r="AD10" t="n">
        <x:f>COUNTIF(S2:S85,"Yes")</x:f>
        <x:v>34</x:v>
      </x:c>
      <x:c r="AF10" s="23" t="str">
        <x:v>Split child rows retain the parent-span history, but individual coder columns are left blank because the human label was assigned to the original multi-paragraph span rather than to each child paragraph.</x:v>
      </x:c>
      <x:c r="AG10" s="23"/>
      <x:c r="AH10" s="23"/>
      <x:c r="AI10" s="23"/>
      <x:c r="AJ10" s="23"/>
    </x:row>
    <x:row r="11" ht="54" customHeight="1">
      <x:c r="A11" s="30" t="str">
        <x:v>ERP-010</x:v>
      </x:c>
      <x:c r="B11" s="30" t="str">
        <x:v>2:11</x:v>
      </x:c>
      <x:c r="C11" s="30" t="str">
        <x:v>p 8</x:v>
      </x:c>
      <x:c r="D11" s="30" t="str">
        <x:v>•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x:v>
      </x:c>
      <x:c r="E11" s="30" t="str">
        <x:v>ERP Report</x:v>
      </x:c>
      <x:c r="F11" s="30" t="str">
        <x:v>erpreport.pdf</x:v>
      </x:c>
      <x:c r="G11" s="30" t="str">
        <x:v>No</x:v>
      </x:c>
      <x:c r="H11" s="40" t="n">
        <x:v>0</x:v>
      </x:c>
      <x:c r="I11" s="40" t="str">
        <x:v>No</x:v>
      </x:c>
      <x:c r="J11" s="40" t="n">
        <x:v>0</x:v>
      </x:c>
      <x:c r="K11" s="40" t="str">
        <x:v>No</x:v>
      </x:c>
      <x:c r="L11" s="40"/>
      <x:c r="M11" s="40" t="str">
        <x:v>Yes</x:v>
      </x:c>
      <x:c r="N11" s="40" t="str">
        <x:v>anmol</x:v>
      </x:c>
      <x:c r="O11" s="30"/>
      <x:c r="P11" s="30" t="str">
        <x:v>This is not unlearnign. It doesnt exolicitly identify a clear problem and asks for more additive changes related to upgrading.</x:v>
      </x:c>
      <x:c r="Q11" s="30" t="str">
        <x:v>AnmolRationale_August12!row 36 (Latest Anmol August 12 re-evaluation)</x:v>
      </x:c>
      <x:c r="R11" s="30" t="str">
        <x:v>AnmolRationale_August12!row 36</x:v>
      </x:c>
      <x:c r="S11" s="40" t="str">
        <x:v>No</x:v>
      </x:c>
      <x:c r="T11" s="30"/>
      <x:c r="U11" s="30"/>
      <x:c r="V11" s="30" t="str">
        <x:v>Exact annotation duplicate</x:v>
      </x:c>
      <x:c r="W11" s="30" t="str">
        <x:v>Consolidated exact duplicate annotations from multiple sheets into one passage row.</x:v>
      </x:c>
      <x:c r="X11" s="30" t="str">
        <x:v>Aligned to full PyMuPDF paragraph/list item. PyMuPDF source unit: ERP-A024; raw blocks/lines: 8:10:0;8:11:0;8:12:0;8:13:0;8:14:0</x:v>
      </x:c>
      <x:c r="Y11" s="30" t="str">
        <x:v>AnmolRationale_August12!r36 (G061; anmol): No [SELECTED] | ICAResults_25April2026!r65 (G061; kyle): Yes | RationaleSheet_April20_v1!r40 (G061; kyle): Yes</x:v>
      </x:c>
      <x:c r="Z11" s="30" t="str">
        <x:v>AnmolRationale_August12!r36[G061]; ICAResults_25April2026!r65[G061]; RationaleSheet_April20_v1!r40[G061] PyMuPDF source unit ERP-A024 (8:10:0;8:11:0;8:12:0;8:13:0;8:14:0)</x:v>
      </x:c>
      <x:c r="AA11" s="30" t="str">
        <x:v>Clear — no codebook example passage retained</x:v>
      </x:c>
      <x:c r="AC11" t="str">
        <x:v>Extraction/manual-review flags</x:v>
      </x:c>
      <x:c r="AD11" t="n">
        <x:f>COUNTIF('Extraction Audit'!Q14:Q97,"Yes")</x:f>
        <x:v>32</x:v>
      </x:c>
      <x:c r="AF11" s="23"/>
      <x:c r="AG11" s="23"/>
      <x:c r="AH11" s="23"/>
      <x:c r="AI11" s="23"/>
      <x:c r="AJ11" s="23"/>
    </x:row>
    <x:row r="12" ht="54" customHeight="1">
      <x:c r="A12" s="30" t="str">
        <x:v>ERP-011</x:v>
      </x:c>
      <x:c r="B12" s="30" t="str">
        <x:v>2:12</x:v>
      </x:c>
      <x:c r="C12" s="30" t="str">
        <x:v>p 8</x:v>
      </x:c>
      <x:c r="D12" s="30" t="str">
        <x:v>• Engage independent experts in high-level reviews of all critical life-safety structures, including hurricane and flood-protection systems.</x:v>
      </x:c>
      <x:c r="E12" s="30" t="str">
        <x:v>ERP Report</x:v>
      </x:c>
      <x:c r="F12" s="30" t="str">
        <x:v>erpreport.pdf</x:v>
      </x:c>
      <x:c r="G12" s="30" t="str">
        <x:v>Yes</x:v>
      </x:c>
      <x:c r="H12" s="40" t="n">
        <x:v>1</x:v>
      </x:c>
      <x:c r="I12" s="40" t="str">
        <x:v>Yes</x:v>
      </x:c>
      <x:c r="J12" s="40" t="n">
        <x:v>1</x:v>
      </x:c>
      <x:c r="K12" s="40" t="str">
        <x:v>Yes</x:v>
      </x:c>
      <x:c r="L12" s="40"/>
      <x:c r="M12" s="40" t="str">
        <x:v>Yes</x:v>
      </x:c>
      <x:c r="N12" s="40" t="str">
        <x:v>anmol</x:v>
      </x:c>
      <x:c r="O12" s="30" t="str">
        <x:v>Depth: High depth, Nature: Normative Nature, Pillar: Reconsidering (Epistemic), Unlearning</x:v>
      </x:c>
      <x:c r="P12" s="30" t="str">
        <x:v>This is unlearning. It doesn't identify the clear problem explicitly, but I can surmise that independent experts weren't part of the review, and it calls for a new approach where they are engaged.</x:v>
      </x:c>
      <x:c r="Q12" s="30" t="str">
        <x:v>AnmolRationale_August12!row 37 (Latest Anmol August 12 re-evaluation)</x:v>
      </x:c>
      <x:c r="R12" s="30" t="str">
        <x:v>AnmolRationale_August12!row 37</x:v>
      </x:c>
      <x:c r="S12" s="40" t="str">
        <x:v>No</x:v>
      </x:c>
      <x:c r="T12" s="30"/>
      <x:c r="U12" s="30"/>
      <x:c r="V12" s="30" t="str">
        <x:v>Exact annotation duplicate</x:v>
      </x:c>
      <x:c r="W12" s="30" t="str">
        <x:v>Consolidated exact duplicate annotations from multiple sheets into one passage row.</x:v>
      </x:c>
      <x:c r="X12" s="30" t="str">
        <x:v>Aligned to full PyMuPDF paragraph/list item. PyMuPDF source unit: ERP-A026; raw blocks/lines: 8:17:0;8:18:0</x:v>
      </x:c>
      <x:c r="Y12" s="30" t="str">
        <x:v>AnmolRationale_August12!r37 (G062; anmol): Yes [SELECTED] | ICAResults_25April2026!r66 (G062; kyle): Yes | RationaleSheet_April20_v1!r41 (G062; kyle): Yes</x:v>
      </x:c>
      <x:c r="Z12" s="30" t="str">
        <x:v>AnmolRationale_August12!r37[G062]; ICAResults_25April2026!r66[G062]; RationaleSheet_April20_v1!r41[G062] PyMuPDF source unit ERP-A026 (8:17:0;8:18:0)</x:v>
      </x:c>
      <x:c r="AA12" s="30" t="str">
        <x:v>Clear — no codebook example passage retained</x:v>
      </x:c>
      <x:c r="AF12" s="23"/>
      <x:c r="AG12" s="23"/>
      <x:c r="AH12" s="23"/>
      <x:c r="AI12" s="23"/>
      <x:c r="AJ12" s="23"/>
    </x:row>
    <x:row r="13" ht="54" customHeight="1">
      <x:c r="A13" s="30" t="str">
        <x:v>ERP-012</x:v>
      </x:c>
      <x:c r="B13" s="30" t="str">
        <x:v>2:19</x:v>
      </x:c>
      <x:c r="C13" s="30" t="str">
        <x:v>p 56</x:v>
      </x:c>
      <x:c r="D13" s="30" t="str">
        <x:v>Figure 7.2 illustrates how the soil data were mis-interpreted. During a soil investigation, samples are obtained from drill holes and tested in a laboratory to determine soil properties. From a plot of the soil strength data, conservative values should be selected for design.</x:v>
      </x:c>
      <x:c r="E13" s="30" t="str">
        <x:v>ERP Report</x:v>
      </x:c>
      <x:c r="F13" s="30" t="str">
        <x:v>erpreport.pdf</x:v>
      </x:c>
      <x:c r="G13" s="30" t="str">
        <x:v>Yes</x:v>
      </x:c>
      <x:c r="H13" s="40" t="n">
        <x:v>1</x:v>
      </x:c>
      <x:c r="I13" s="40" t="str">
        <x:v>Yes</x:v>
      </x:c>
      <x:c r="J13" s="40" t="n">
        <x:v>1</x:v>
      </x:c>
      <x:c r="K13" s="40" t="str">
        <x:v>Yes</x:v>
      </x:c>
      <x:c r="L13" s="40"/>
      <x:c r="M13" s="40" t="str">
        <x:v>Yes</x:v>
      </x:c>
      <x:c r="N13" s="40" t="str">
        <x:v>anmol</x:v>
      </x:c>
      <x:c r="O13" s="30" t="str">
        <x:v>Depth: Moderate depth, Nature: Technical Nature, Pillar: Realignment (Technical), Stakeholder: USACE, Unlearning</x:v>
      </x:c>
      <x:c r="P13" s="30" t="str">
        <x:v>This identifies a engineering flaw in soil strength estimation and calls for adopting more conservative estimates.</x:v>
      </x:c>
      <x:c r="Q13" s="30" t="str">
        <x:v>AnmolRationale_August12!row 44 (Latest Anmol August 12 re-evaluation)</x:v>
      </x:c>
      <x:c r="R13" s="30" t="str">
        <x:v>AnmolRationale_August12!row 44</x:v>
      </x:c>
      <x:c r="S13" s="40" t="str">
        <x:v>No</x:v>
      </x:c>
      <x:c r="T13" s="30"/>
      <x:c r="U13" s="30"/>
      <x:c r="V13" s="30" t="str">
        <x:v>Exact annotation duplicate</x:v>
      </x:c>
      <x:c r="W13" s="30" t="str">
        <x:v>Consolidated exact duplicate annotations from multiple sheets into one passage row.</x:v>
      </x:c>
      <x:c r="X13" s="30" t="str">
        <x:v>Aligned to full PyMuPDF paragraph/list item. PyMuPDF source unit: ERP-A181; raw blocks/lines: 56:17:0;56:18:0;56:19:0;56:20:0</x:v>
      </x:c>
      <x:c r="Y13" s="30" t="str">
        <x:v>AnmolRationale_August12!r44 (G043; anmol): Yes [SELECTED] | ICAResults_25April2026!r73 (G043; kyle): Yes | RationaleSheet_April20_v1!r48 (G043; kyle): Yes</x:v>
      </x:c>
      <x:c r="Z13" s="30" t="str">
        <x:v>AnmolRationale_August12!r44[G043]; ICAResults_25April2026!r73[G043]; RationaleSheet_April20_v1!r48[G043] PyMuPDF source unit ERP-A181 (56:17:0;56:18:0;56:19:0;56:20:0)</x:v>
      </x:c>
      <x:c r="AA13" s="30" t="str">
        <x:v>Clear — no codebook example passage retained</x:v>
      </x:c>
    </x:row>
    <x:row r="14" ht="54" customHeight="1">
      <x:c r="A14" s="30" t="str">
        <x:v>ERP-013</x:v>
      </x:c>
      <x:c r="B14" s="30" t="str">
        <x:v>2:20-P1</x:v>
      </x:c>
      <x:c r="C14" s="30" t="str">
        <x:v>p 67</x:v>
      </x:c>
      <x:c r="D14" s="30" t="str">
        <x:v>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x:v>
      </x:c>
      <x:c r="E14" s="30" t="str">
        <x:v>ERP Report</x:v>
      </x:c>
      <x:c r="F14" s="30" t="str">
        <x:v>erpreport.pdf</x:v>
      </x:c>
      <x:c r="G14" s="30"/>
      <x:c r="H14" s="40"/>
      <x:c r="I14" s="40" t="str">
        <x:v>Yes</x:v>
      </x:c>
      <x:c r="J14" s="40" t="n">
        <x:v>1</x:v>
      </x:c>
      <x:c r="K14" s="40"/>
      <x:c r="L14" s="40"/>
      <x:c r="M14" s="40"/>
      <x:c r="N14" s="40"/>
      <x:c r="O14" s="30" t="str">
        <x:v>Depth: Moderate depth, Nature: Technical Nature, Pillar: Realignment (Technical), Stakeholder: Miscelleanous, Stakeholder: USACE, Unlearning</x:v>
      </x:c>
      <x:c r="P14" s="30" t="str">
        <x:v>The paragraph rejects the narrow conception of pump stations as routine drainage infrastructure and contrasts it with an integrated hurricane-protection role.</x:v>
      </x:c>
      <x:c r="Q14" s="30" t="str">
        <x:v>Paragraph-level source reconciliation and split adjudication (2026-08-14)</x:v>
      </x:c>
      <x:c r="R14" s="30" t="str">
        <x:v>Paragraph-level source reconciliation and split adjudication (2026-08-14)</x:v>
      </x:c>
      <x:c r="S14" s="40" t="str">
        <x:v>Yes</x:v>
      </x:c>
      <x:c r="T14" s="30" t="str">
        <x:v>Paragraph-level Yes was derived from the human-labeled two-paragraph parent span and its rationale; confirm during team adjudication.</x:v>
      </x:c>
      <x:c r="U14" s="30" t="str">
        <x:v>Parent span Yes → child Yes</x:v>
      </x:c>
      <x:c r="V14" s="30" t="str">
        <x:v>Split from multi-paragraph source span</x:v>
      </x:c>
      <x:c r="W14" s="30" t="str">
        <x:v>Replaced the human-labeled parent span with source-aligned paragraph/list-unit child rows.</x:v>
      </x:c>
      <x:c r="X14" s="30" t="str">
        <x:v>Split the two-paragraph parent span; retained the design-and-role paragraph as a positive child. PyMuPDF source unit: ERP-A212; raw blocks/lines: 67:5:0;67:6:0;67:7:0;67:8:0;67:9:0;67:10:0</x:v>
      </x:c>
      <x:c r="Y14" s="30" t="str">
        <x:v>AnmolRationale_August12!r45 (G046; anmol): Yes [SELECTED] | ICAResults_25April2026!r74 (G046; kyle): Yes | RationaleSheet_April20_v1!r49 (G046; kyle): Yes 2026-08-14 paragraph split: original parent ERP-013 (Yes) was divided into child 1/2 and adjudicated Yes; original coder decisions apply to the parent span, not independently to this child.</x:v>
      </x:c>
      <x:c r="Z14" s="30" t="str">
        <x:v>AnmolRationale_August12!r45[G046]; ICAResults_25April2026!r74[G046]; RationaleSheet_April20_v1!r49[G046] PyMuPDF source unit ERP-A212 (67:5:0;67:6:0;67:7:0;67:8:0;67:9:0;67:10:0)</x:v>
      </x:c>
      <x:c r="AA14" s="30" t="str">
        <x:v>Clear — no codebook example passage retained</x:v>
      </x:c>
    </x:row>
    <x:row r="15" ht="54" customHeight="1">
      <x:c r="A15" s="30" t="str">
        <x:v>ERP-014</x:v>
      </x:c>
      <x:c r="B15" s="30" t="str">
        <x:v>2:20-P2</x:v>
      </x:c>
      <x:c r="C15" s="30" t="str">
        <x:v>p 67</x:v>
      </x:c>
      <x:c r="D15" s="30" t="str">
        <x:v>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x:v>
      </x:c>
      <x:c r="E15" s="30" t="str">
        <x:v>ERP Report</x:v>
      </x:c>
      <x:c r="F15" s="30" t="str">
        <x:v>erpreport.pdf</x:v>
      </x:c>
      <x:c r="G15" s="30"/>
      <x:c r="H15" s="40"/>
      <x:c r="I15" s="40" t="str">
        <x:v>No</x:v>
      </x:c>
      <x:c r="J15" s="40" t="n">
        <x:v>0</x:v>
      </x:c>
      <x:c r="K15" s="40"/>
      <x:c r="L15" s="40"/>
      <x:c r="M15" s="40"/>
      <x:c r="N15" s="40"/>
      <x:c r="O15" s="30"/>
      <x:c r="P15" s="30" t="str">
        <x:v>The paragraph documents that the operating pump stations had little effect because of their location, but it does not itself call for redesigning, relocating, or replacing the arrangement.</x:v>
      </x:c>
      <x:c r="Q15" s="30" t="str">
        <x:v>Paragraph-level source reconciliation and split adjudication (2026-08-14)</x:v>
      </x:c>
      <x:c r="R15" s="30" t="str">
        <x:v>Paragraph-level source reconciliation and split adjudication (2026-08-14)</x:v>
      </x:c>
      <x:c r="S15" s="40" t="str">
        <x:v>Yes</x:v>
      </x:c>
      <x:c r="T15" s="30" t="str">
        <x:v>Paragraph-level No was derived from the human-labeled two-paragraph parent span and its rationale; confirm during team adjudication.</x:v>
      </x:c>
      <x:c r="U15" s="30" t="str">
        <x:v>Parent span Yes → child No</x:v>
      </x:c>
      <x:c r="V15" s="30" t="str">
        <x:v>Split from multi-paragraph source span</x:v>
      </x:c>
      <x:c r="W15" s="30" t="str">
        <x:v>Replaced the human-labeled parent span with source-aligned paragraph/list-unit child rows.</x:v>
      </x:c>
      <x:c r="X15" s="30" t="str">
        <x:v>Split the two-paragraph parent span; retained the performance-and-location paragraph as a negative child. PyMuPDF source unit: ERP-A213; raw blocks/lines: 67:11:0;67:12:0;67:13:0;67:14:0;67:15:0;67:16:0</x:v>
      </x:c>
      <x:c r="Y15" s="30" t="str">
        <x:v>AnmolRationale_August12!r45 (G046; anmol): Yes [SELECTED] | ICAResults_25April2026!r74 (G046; kyle): Yes | RationaleSheet_April20_v1!r49 (G046; kyle): Yes 2026-08-14 paragraph split: original parent ERP-013 (Yes) was divided into child 2/2 and adjudicated No; original coder decisions apply to the parent span, not independently to this child.</x:v>
      </x:c>
      <x:c r="Z15" s="30" t="str">
        <x:v>AnmolRationale_August12!r45[G046]; ICAResults_25April2026!r74[G046]; RationaleSheet_April20_v1!r49[G046] PyMuPDF source unit ERP-A213 (67:11:0;67:12:0;67:13:0;67:14:0;67:15:0;67:16:0)</x:v>
      </x:c>
      <x:c r="AA15" s="30" t="str">
        <x:v>Clear — no codebook example passage retained</x:v>
      </x:c>
    </x:row>
    <x:row r="16" ht="54" customHeight="1">
      <x:c r="A16" s="30" t="str">
        <x:v>ERP-015</x:v>
      </x:c>
      <x:c r="B16" s="30" t="str">
        <x:v>2:21</x:v>
      </x:c>
      <x:c r="C16" s="30" t="str">
        <x:v>p 68</x:v>
      </x:c>
      <x:c r="D16" s="30" t="str">
        <x:v>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x:v>
      </x:c>
      <x:c r="E16" s="30" t="str">
        <x:v>ERP Report</x:v>
      </x:c>
      <x:c r="F16" s="30" t="str">
        <x:v>erpreport.pdf</x:v>
      </x:c>
      <x:c r="G16" s="30" t="str">
        <x:v>Yes</x:v>
      </x:c>
      <x:c r="H16" s="40" t="n">
        <x:v>1</x:v>
      </x:c>
      <x:c r="I16" s="40" t="str">
        <x:v>Yes</x:v>
      </x:c>
      <x:c r="J16" s="40" t="n">
        <x:v>1</x:v>
      </x:c>
      <x:c r="K16" s="40" t="str">
        <x:v>Yes</x:v>
      </x:c>
      <x:c r="L16" s="40"/>
      <x:c r="M16" s="40" t="str">
        <x:v>Yes</x:v>
      </x:c>
      <x:c r="N16" s="40" t="str">
        <x:v>anmol</x:v>
      </x:c>
      <x:c r="O16" s="30" t="str">
        <x:v>Depth: Moderate depth, Nature: Technical Nature, Pillar: Realignment (Technical), Stakeholder: Miscelleanous, Unlearning</x:v>
      </x:c>
      <x:c r="P16" s="30" t="str">
        <x:v>This idenfiies a clear flaw in the design of pump stations wherein there is no reverse flow mechanism and calls for redesign.</x:v>
      </x:c>
      <x:c r="Q16" s="30" t="str">
        <x:v>AnmolRationale_August12!row 46 (Latest Anmol August 12 re-evaluation)</x:v>
      </x:c>
      <x:c r="R16" s="30" t="str">
        <x:v>AnmolRationale_August12!row 46</x:v>
      </x:c>
      <x:c r="S16" s="40" t="str">
        <x:v>No</x:v>
      </x:c>
      <x:c r="T16" s="30"/>
      <x:c r="U16" s="30"/>
      <x:c r="V16" s="30" t="str">
        <x:v>Exact annotation duplicate</x:v>
      </x:c>
      <x:c r="W16" s="30" t="str">
        <x:v>Consolidated exact duplicate annotations from multiple sheets into one passage row.</x:v>
      </x:c>
      <x:c r="X16" s="30" t="str">
        <x:v>Aligned to full PyMuPDF paragraph/list item. PyMuPDF source unit: ERP-A216; raw blocks/lines: 68:8:0;68:9:0;68:10:0;68:11:0;68:12:0;68:13:0</x:v>
      </x:c>
      <x:c r="Y16" s="30" t="str">
        <x:v>AnmolRationale_August12!r46 (G047; anmol): Yes [SELECTED] | ICAResults_25April2026!r75 (G047; kyle): Yes | RationaleSheet_April20_v1!r50 (G047; kyle): Yes</x:v>
      </x:c>
      <x:c r="Z16" s="30" t="str">
        <x:v>AnmolRationale_August12!r46[G047]; ICAResults_25April2026!r75[G047]; RationaleSheet_April20_v1!r50[G047] PyMuPDF source unit ERP-A216 (68:8:0;68:9:0;68:10:0;68:11:0;68:12:0;68:13:0)</x:v>
      </x:c>
      <x:c r="AA16" s="30" t="str">
        <x:v>Clear — no codebook example passage retained</x:v>
      </x:c>
    </x:row>
    <x:row r="17" ht="54" customHeight="1">
      <x:c r="A17" s="30" t="str">
        <x:v>ERP-016</x:v>
      </x:c>
      <x:c r="B17" s="30" t="str">
        <x:v>2:22</x:v>
      </x:c>
      <x:c r="C17" s="30" t="str">
        <x:v>p 70</x:v>
      </x:c>
      <x:c r="D17" s="30" t="str">
        <x:v>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x:v>
      </x:c>
      <x:c r="E17" s="30" t="str">
        <x:v>ERP Report</x:v>
      </x:c>
      <x:c r="F17" s="30" t="str">
        <x:v>erpreport.pdf</x:v>
      </x:c>
      <x:c r="G17" s="30" t="str">
        <x:v>Yes</x:v>
      </x:c>
      <x:c r="H17" s="40" t="n">
        <x:v>1</x:v>
      </x:c>
      <x:c r="I17" s="40" t="str">
        <x:v>Yes</x:v>
      </x:c>
      <x:c r="J17" s="40" t="n">
        <x:v>1</x:v>
      </x:c>
      <x:c r="K17" s="40" t="str">
        <x:v>Yes</x:v>
      </x:c>
      <x:c r="L17" s="40"/>
      <x:c r="M17" s="40" t="str">
        <x:v>Yes</x:v>
      </x:c>
      <x:c r="N17" s="40" t="str">
        <x:v>anmol</x:v>
      </x:c>
      <x:c r="O17" s="30" t="str">
        <x:v>Depth: High depth, Pillar: Merging (Integrative), Pillar: Realignment (Technical), Stakeholder: Miscelleanous, Unlearning</x:v>
      </x:c>
      <x:c r="P17" s="30" t="str">
        <x:v>This identifies a clear flaw in reisk estimation related to loss of life and asks for a rethink in estimates.</x:v>
      </x:c>
      <x:c r="Q17" s="30" t="str">
        <x:v>AnmolRationale_August12!row 47 (Latest Anmol August 12 re-evaluation)</x:v>
      </x:c>
      <x:c r="R17" s="30" t="str">
        <x:v>AnmolRationale_August12!row 47</x:v>
      </x:c>
      <x:c r="S17" s="40" t="str">
        <x:v>No</x:v>
      </x:c>
      <x:c r="T17" s="30"/>
      <x:c r="U17" s="30"/>
      <x:c r="V17" s="30" t="str">
        <x:v>Exact annotation duplicate</x:v>
      </x:c>
      <x:c r="W17" s="30" t="str">
        <x:v>Consolidated exact duplicate annotations from multiple sheets into one passage row.</x:v>
      </x:c>
      <x:c r="X17" s="30" t="str">
        <x:v>Aligned to full PyMuPDF paragraph/list item. PyMuPDF source unit: ERP-A224; raw blocks/lines: 70:25:0;70:26:0;70:27:0;70:28:0;70:29:0;70:30:0</x:v>
      </x:c>
      <x:c r="Y17" s="30" t="str">
        <x:v>AnmolRationale_August12!r47 (G053; anmol): Yes [SELECTED] | ICAResults_25April2026!r76 (G053; kyle): Yes | RationaleSheet_April20_v1!r51 (G053; kyle): Yes</x:v>
      </x:c>
      <x:c r="Z17" s="30" t="str">
        <x:v>AnmolRationale_August12!r47[G053]; ICAResults_25April2026!r76[G053]; RationaleSheet_April20_v1!r51[G053] PyMuPDF source unit ERP-A224 (70:25:0;70:26:0;70:27:0;70:28:0;70:29:0;70:30:0)</x:v>
      </x:c>
      <x:c r="AA17" s="30" t="str">
        <x:v>Clear — no codebook example passage retained</x:v>
      </x:c>
    </x:row>
    <x:row r="18" ht="54" customHeight="1">
      <x:c r="A18" s="30" t="str">
        <x:v>ERP-017</x:v>
      </x:c>
      <x:c r="B18" s="30" t="str">
        <x:v>2:23</x:v>
      </x:c>
      <x:c r="C18" s="30" t="str">
        <x:v>p 71</x:v>
      </x:c>
      <x:c r="D18" s="30" t="str">
        <x:v>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x:v>
      </x:c>
      <x:c r="E18" s="30" t="str">
        <x:v>ERP Report</x:v>
      </x:c>
      <x:c r="F18" s="30" t="str">
        <x:v>erpreport.pdf</x:v>
      </x:c>
      <x:c r="G18" s="30" t="str">
        <x:v>No</x:v>
      </x:c>
      <x:c r="H18" s="40" t="n">
        <x:v>0</x:v>
      </x:c>
      <x:c r="I18" s="40" t="str">
        <x:v>No</x:v>
      </x:c>
      <x:c r="J18" s="40" t="n">
        <x:v>0</x:v>
      </x:c>
      <x:c r="K18" s="40" t="str">
        <x:v>No</x:v>
      </x:c>
      <x:c r="L18" s="40"/>
      <x:c r="M18" s="40" t="str">
        <x:v>Yes</x:v>
      </x:c>
      <x:c r="N18" s="40" t="str">
        <x:v>anmol</x:v>
      </x:c>
      <x:c r="O18" s="30"/>
      <x:c r="P18" s="30" t="str">
        <x:v>Not unlearning. There is no clear policy failure and fundamental change being suggested.</x:v>
      </x:c>
      <x:c r="Q18" s="30" t="str">
        <x:v>AnmolRationale_August12!row 48 (Latest Anmol August 12 re-evaluation)</x:v>
      </x:c>
      <x:c r="R18" s="30" t="str">
        <x:v>AnmolRationale_August12!row 48</x:v>
      </x:c>
      <x:c r="S18" s="40" t="str">
        <x:v>No</x:v>
      </x:c>
      <x:c r="T18" s="30"/>
      <x:c r="U18" s="30"/>
      <x:c r="V18" s="30" t="str">
        <x:v>Exact annotation duplicate</x:v>
      </x:c>
      <x:c r="W18" s="30" t="str">
        <x:v>Consolidated exact duplicate annotations from multiple sheets into one passage row.</x:v>
      </x:c>
      <x:c r="X18" s="30" t="str">
        <x:v>Aligned to full PyMuPDF paragraph/list item. PyMuPDF source unit: ERP-A225; raw blocks/lines: 71:1:0;71:2:0;71:3:0;71:4:0;71:5:0;71:6:0;71:7:0;71:8:0;71:9:0;71:10:0</x:v>
      </x:c>
      <x:c r="Y18" s="30" t="str">
        <x:v>AnmolRationale_August12!r48 (G054; anmol): No [SELECTED] | ICAResults_25April2026!r77 (G054; kyle): Yes | RationaleSheet_April20_v1!r52 (G054; kyle): Yes</x:v>
      </x:c>
      <x:c r="Z18" s="30" t="str">
        <x:v>AnmolRationale_August12!r48[G054]; ICAResults_25April2026!r77[G054]; RationaleSheet_April20_v1!r52[G054] PyMuPDF source unit ERP-A225 (71:1:0;71:2:0;71:3:0;71:4:0;71:5:0;71:6:0;71:7:0;71:8:0;71:9:0;71:10:0)</x:v>
      </x:c>
      <x:c r="AA18" s="30" t="str">
        <x:v>Clear — no codebook example passage retained</x:v>
      </x:c>
    </x:row>
    <x:row r="19" ht="54" customHeight="1">
      <x:c r="A19" s="30" t="str">
        <x:v>ERP-018</x:v>
      </x:c>
      <x:c r="B19" s="30" t="str">
        <x:v>2:24-P1</x:v>
      </x:c>
      <x:c r="C19" s="30" t="str">
        <x:v>p 73</x:v>
      </x:c>
      <x:c r="D19" s="30" t="str">
        <x:v>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x:v>
      </x:c>
      <x:c r="E19" s="30" t="str">
        <x:v>ERP Report</x:v>
      </x:c>
      <x:c r="F19" s="30" t="str">
        <x:v>erpreport.pdf</x:v>
      </x:c>
      <x:c r="G19" s="30"/>
      <x:c r="H19" s="40"/>
      <x:c r="I19" s="40" t="str">
        <x:v>No</x:v>
      </x:c>
      <x:c r="J19" s="40" t="n">
        <x:v>0</x:v>
      </x:c>
      <x:c r="K19" s="40"/>
      <x:c r="L19" s="40"/>
      <x:c r="M19" s="40"/>
      <x:c r="N19" s="40"/>
      <x:c r="O19" s="30"/>
      <x:c r="P19" s="30" t="str">
        <x:v>The paragraph defines and contrasts the SPH and PMH standards but does not independently reject an existing engineering approach or propose a revised one.</x:v>
      </x:c>
      <x:c r="Q19" s="30" t="str">
        <x:v>Paragraph-level source reconciliation and split adjudication (2026-08-14)</x:v>
      </x:c>
      <x:c r="R19" s="30" t="str">
        <x:v>Paragraph-level source reconciliation and split adjudication (2026-08-14)</x:v>
      </x:c>
      <x:c r="S19" s="40" t="str">
        <x:v>Yes</x:v>
      </x:c>
      <x:c r="T19" s="30" t="str">
        <x:v>Paragraph-level No was derived from a human-labeled multi-unit parent span; confirm during team adjudication.</x:v>
      </x:c>
      <x:c r="U19" s="30" t="str">
        <x:v>Parent span Yes → child No</x:v>
      </x:c>
      <x:c r="V19" s="30" t="str">
        <x:v>Split from multi-paragraph source span</x:v>
      </x:c>
      <x:c r="W19" s="30" t="str">
        <x:v>Replaced the human-labeled parent span with source-aligned paragraph/list-unit child rows.</x:v>
      </x:c>
      <x:c r="X19" s="30" t="str">
        <x:v>Split the definition from the following USACE-failures list. PyMuPDF source unit: ERP-A231; raw blocks/lines: 73:6:0;73:7:0;73:8:0;73:9:0;73:10:0;73:11:0;73:12:0;73:13:0</x:v>
      </x:c>
      <x:c r="Y19" s="30" t="str">
        <x:v>AnmolRationale_August12!r49 (G040; anmol): Yes [SELECTED] | ICAResults_25April2026!r78 (G041; kyle): Yes | RationaleSheet_April20_v1!r53 (G041; kyle): Yes 2026-08-14 paragraph split: original parent ERP-017 (Yes) was divided into child 1/2 and adjudicated No; original coder decisions apply to the parent span, not independently to this child.</x:v>
      </x:c>
      <x:c r="Z19" s="30" t="str">
        <x:v>AnmolRationale_August12!r49[G040]; ICAResults_25April2026!r78[G041]; RationaleSheet_April20_v1!r53[G041] PyMuPDF source unit ERP-A231 (73:6:0;73:7:0;73:8:0;73:9:0;73:10:0;73:11:0;73:12:0;73:13:0)</x:v>
      </x:c>
      <x:c r="AA19" s="30" t="str">
        <x:v>Clear — no codebook example passage retained</x:v>
      </x:c>
    </x:row>
    <x:row r="20" ht="54" customHeight="1">
      <x:c r="A20" s="30" t="str">
        <x:v>ERP-019</x:v>
      </x:c>
      <x:c r="B20" s="30" t="str">
        <x:v>2:24-P2</x:v>
      </x:c>
      <x:c r="C20" s="30" t="str">
        <x:v>pp 73-74</x:v>
      </x:c>
      <x:c r="D20" s="30" t="str">
        <x:v>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v>
      </x:c>
      <x:c r="E20" s="30" t="str">
        <x:v>ERP Report</x:v>
      </x:c>
      <x:c r="F20" s="30" t="str">
        <x:v>erpreport.pdf</x:v>
      </x:c>
      <x:c r="G20" s="30"/>
      <x:c r="H20" s="40"/>
      <x:c r="I20" s="40" t="str">
        <x:v>Yes</x:v>
      </x:c>
      <x:c r="J20" s="40" t="n">
        <x:v>1</x:v>
      </x:c>
      <x:c r="K20" s="40"/>
      <x:c r="L20" s="40"/>
      <x:c r="M20" s="40"/>
      <x:c r="N20" s="40"/>
      <x:c r="O20" s="30" t="str">
        <x:v>Depth: High depth, Nature: Technical Nature, Pillar: Realignment (Technical), Stakeholder: USACE, Unlearning</x:v>
      </x:c>
      <x:c r="P20" s="30" t="str">
        <x:v>The list criticizes USACE’s reliance on low-end and outdated SPH parameters and implicitly calls for evaluating the system against more severe PMH conditions, updating design parameters, and upgrading existing components.</x:v>
      </x:c>
      <x:c r="Q20" s="30" t="str">
        <x:v>Paragraph-level source reconciliation and split adjudication (2026-08-14)</x:v>
      </x:c>
      <x:c r="R20" s="30" t="str">
        <x:v>Paragraph-level source reconciliation and split adjudication (2026-08-14)</x:v>
      </x:c>
      <x:c r="S20" s="40" t="str">
        <x:v>Yes</x:v>
      </x:c>
      <x:c r="T20" s="30" t="str">
        <x:v>The departure is implicit in a list of actions USACE failed to take; paragraph-level Yes should be confirmed during team adjudication.</x:v>
      </x:c>
      <x:c r="U20" s="30" t="str">
        <x:v>Parent span Yes → child Yes</x:v>
      </x:c>
      <x:c r="V20" s="30" t="str">
        <x:v>Split from multi-paragraph source span</x:v>
      </x:c>
      <x:c r="W20" s="30" t="str">
        <x:v>Replaced the human-labeled parent span with source-aligned paragraph/list-unit child rows.</x:v>
      </x:c>
      <x:c r="X20" s="30" t="str">
        <x:v>Grouped the grammatical lead-in and its four bullets as one list unit after splitting the parent span. PyMuPDF source unit: ERP-A232; raw blocks/lines: 73:14:0;73:15:0;73:16:0;73:17:0;73:18:0;73:19:0;73:20:0;74:1:0;74:2:0;74:3:0;74:4:0;74:5:0;74:6:0</x:v>
      </x:c>
      <x:c r="Y20" s="30" t="str">
        <x:v>AnmolRationale_August12!r49 (G040; anmol): Yes [SELECTED] | ICAResults_25April2026!r78 (G041; kyle): Yes | RationaleSheet_April20_v1!r53 (G041; kyle): Yes 2026-08-14 paragraph split: original parent ERP-017 (Yes) was divided into child 2/2 and adjudicated Yes; original coder decisions apply to the parent span, not independently to this child.</x:v>
      </x:c>
      <x:c r="Z20" s="30" t="str">
        <x:v>AnmolRationale_August12!r49[G040]; ICAResults_25April2026!r78[G041]; RationaleSheet_April20_v1!r53[G041] PyMuPDF source unit ERP-A232 (73:14:0;73:15:0;73:16:0;73:17:0;73:18:0;73:19:0;73:20:0;74:1:0;74:2:0;74:3:0;74:4:0;74:5:0;74:6:0)</x:v>
      </x:c>
      <x:c r="AA20" s="30" t="str">
        <x:v>Clear — no codebook example passage retained</x:v>
      </x:c>
    </x:row>
    <x:row r="21" ht="54" customHeight="1">
      <x:c r="A21" s="30" t="str">
        <x:v>ERP-020</x:v>
      </x:c>
      <x:c r="B21" s="30" t="str">
        <x:v>2:25</x:v>
      </x:c>
      <x:c r="C21" s="30" t="str">
        <x:v>p 74</x:v>
      </x:c>
      <x:c r="D21" s="30" t="str">
        <x:v>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x:v>
      </x:c>
      <x:c r="E21" s="30" t="str">
        <x:v>ERP Report</x:v>
      </x:c>
      <x:c r="F21" s="30" t="str">
        <x:v>erpreport.pdf</x:v>
      </x:c>
      <x:c r="G21" s="30" t="str">
        <x:v>Yes</x:v>
      </x:c>
      <x:c r="H21" s="40" t="n">
        <x:v>1</x:v>
      </x:c>
      <x:c r="I21" s="40" t="str">
        <x:v>Yes</x:v>
      </x:c>
      <x:c r="J21" s="40" t="n">
        <x:v>1</x:v>
      </x:c>
      <x:c r="K21" s="40" t="str">
        <x:v>Yes</x:v>
      </x:c>
      <x:c r="L21" s="40"/>
      <x:c r="M21" s="40" t="str">
        <x:v>Yes</x:v>
      </x:c>
      <x:c r="N21" s="40" t="str">
        <x:v>anmol</x:v>
      </x:c>
      <x:c r="O21" s="30" t="str">
        <x:v>Depth: High depth, Nature: Technical Nature, Pillar: Realignment (Technical), Stakeholder: USACE, Unlearning</x:v>
      </x:c>
      <x:c r="P21" s="30" t="str">
        <x:v>It identifies selection of non-conservation estimates and asks for its replacement.</x:v>
      </x:c>
      <x:c r="Q21" s="30" t="str">
        <x:v>AnmolRationale_August12!row 50 (Latest Anmol August 12 re-evaluation)</x:v>
      </x:c>
      <x:c r="R21" s="30" t="str">
        <x:v>AnmolRationale_August12!row 50</x:v>
      </x:c>
      <x:c r="S21" s="40" t="str">
        <x:v>No</x:v>
      </x:c>
      <x:c r="T21" s="30"/>
      <x:c r="U21" s="30"/>
      <x:c r="V21" s="30" t="str">
        <x:v>Exact annotation duplicate</x:v>
      </x:c>
      <x:c r="W21" s="30" t="str">
        <x:v>Consolidated exact duplicate annotations from multiple sheets into one passage row.</x:v>
      </x:c>
      <x:c r="X21" s="30" t="str">
        <x:v>Expanded the cropped sentence to the complete source paragraph. PyMuPDF source unit: ERP-A234; raw blocks/lines: 74:16:0;74:17:0;74:18:0;74:19:0;74:20:0;74:21:0;74:22:0;74:23:0;74:24:0;74:25:0;74:26:0</x:v>
      </x:c>
      <x:c r="Y21" s="30" t="str">
        <x:v>AnmolRationale_August12!r50 (G055; anmol): Yes [SELECTED] | ICAResults_25April2026!r79 (G055; kyle): Yes | RationaleSheet_April20_v1!r54 (G055; kyle): Yes</x:v>
      </x:c>
      <x:c r="Z21" s="30" t="str">
        <x:v>AnmolRationale_August12!r50[G055]; ICAResults_25April2026!r79[G055]; RationaleSheet_April20_v1!r54[G055] PyMuPDF source unit ERP-A234 (74:16:0;74:17:0;74:18:0;74:19:0;74:20:0;74:21:0;74:22:0;74:23:0;74:24:0;74:25:0;74:26:0)</x:v>
      </x:c>
      <x:c r="AA21" s="30" t="str">
        <x:v>Clear — no codebook example passage retained</x:v>
      </x:c>
    </x:row>
    <x:row r="22" ht="54" customHeight="1">
      <x:c r="A22" s="30" t="str">
        <x:v>ERP-021</x:v>
      </x:c>
      <x:c r="B22" s="30" t="str">
        <x:v>2:26</x:v>
      </x:c>
      <x:c r="C22" s="30" t="str">
        <x:v>p 76</x:v>
      </x:c>
      <x:c r="D22" s="30" t="str">
        <x:v>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x:v>
      </x:c>
      <x:c r="E22" s="30" t="str">
        <x:v>ERP Report</x:v>
      </x:c>
      <x:c r="F22" s="30" t="str">
        <x:v>erpreport.pdf</x:v>
      </x:c>
      <x:c r="G22" s="30" t="str">
        <x:v>Yes</x:v>
      </x:c>
      <x:c r="H22" s="40" t="n">
        <x:v>1</x:v>
      </x:c>
      <x:c r="I22" s="40" t="str">
        <x:v>Yes</x:v>
      </x:c>
      <x:c r="J22" s="40" t="n">
        <x:v>1</x:v>
      </x:c>
      <x:c r="K22" s="40" t="str">
        <x:v>Yes</x:v>
      </x:c>
      <x:c r="L22" s="40"/>
      <x:c r="M22" s="40" t="str">
        <x:v>Yes</x:v>
      </x:c>
      <x:c r="N22" s="40" t="str">
        <x:v>anmol</x:v>
      </x:c>
      <x:c r="O22" s="30" t="str">
        <x:v>Depth: High depth, Nature: Normative Nature, Pillar: Merging (Integrative), Stakeholder: Miscelleanous, Unlearning</x:v>
      </x:c>
      <x:c r="P22" s="30" t="str">
        <x:v>It identifies agency mandates, roles adn responsbilities as a clear area requiring rethink.</x:v>
      </x:c>
      <x:c r="Q22" s="30" t="str">
        <x:v>AnmolRationale_August12!row 51 (Latest Anmol August 12 re-evaluation)</x:v>
      </x:c>
      <x:c r="R22" s="30" t="str">
        <x:v>AnmolRationale_August12!row 51</x:v>
      </x:c>
      <x:c r="S22" s="40" t="str">
        <x:v>No</x:v>
      </x:c>
      <x:c r="T22" s="30"/>
      <x:c r="U22" s="30"/>
      <x:c r="V22" s="30" t="str">
        <x:v>Exact annotation duplicate</x:v>
      </x:c>
      <x:c r="W22" s="30" t="str">
        <x:v>Consolidated exact duplicate annotations from multiple sheets into one passage row.</x:v>
      </x:c>
      <x:c r="X22" s="30" t="str">
        <x:v>Aligned to full PyMuPDF paragraph/list item. PyMuPDF source unit: ERP-A242; raw blocks/lines: 76:19:0;76:20:0;76:21:0;76:22:0;76:23:0;76:24:0;76:25:0;76:26:0;76:27:0;76:28:0</x:v>
      </x:c>
      <x:c r="Y22" s="30" t="str">
        <x:v>AnmolRationale_August12!r51 (G056; anmol): Yes [SELECTED] | ICAResults_25April2026!r80 (G056; kyle): Yes | RationaleSheet_April20_v1!r55 (G056; kyle): Yes</x:v>
      </x:c>
      <x:c r="Z22" s="30" t="str">
        <x:v>AnmolRationale_August12!r51[G056]; ICAResults_25April2026!r80[G056]; RationaleSheet_April20_v1!r55[G056] PyMuPDF source unit ERP-A242 (76:19:0;76:20:0;76:21:0;76:22:0;76:23:0;76:24:0;76:25:0;76:26:0;76:27:0;76:28:0)</x:v>
      </x:c>
      <x:c r="AA22" s="30" t="str">
        <x:v>Clear — no codebook example passage retained</x:v>
      </x:c>
    </x:row>
    <x:row r="23" ht="54" customHeight="1">
      <x:c r="A23" s="30" t="str">
        <x:v>ERP-022</x:v>
      </x:c>
      <x:c r="B23" s="30" t="str">
        <x:v>2:27</x:v>
      </x:c>
      <x:c r="C23" s="30" t="str">
        <x:v>p 79</x:v>
      </x:c>
      <x:c r="D23" s="30" t="str">
        <x:v>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x:v>
      </x:c>
      <x:c r="E23" s="30" t="str">
        <x:v>ERP Report</x:v>
      </x:c>
      <x:c r="F23" s="30" t="str">
        <x:v>erpreport.pdf</x:v>
      </x:c>
      <x:c r="G23" s="30" t="str">
        <x:v>Yes</x:v>
      </x:c>
      <x:c r="H23" s="40" t="n">
        <x:v>1</x:v>
      </x:c>
      <x:c r="I23" s="40" t="str">
        <x:v>Yes</x:v>
      </x:c>
      <x:c r="J23" s="40" t="n">
        <x:v>1</x:v>
      </x:c>
      <x:c r="K23" s="40" t="str">
        <x:v>Yes</x:v>
      </x:c>
      <x:c r="L23" s="40"/>
      <x:c r="M23" s="40" t="str">
        <x:v>Yes</x:v>
      </x:c>
      <x:c r="N23" s="40" t="str">
        <x:v>anmol</x:v>
      </x:c>
      <x:c r="O23" s="30" t="str">
        <x:v>Nature: Normative Nature, Pillar: Discarding (Normative), Stakeholder: Miscelleanous, Unlearning</x:v>
      </x:c>
      <x:c r="P23" s="30" t="str">
        <x:v>It identifies culture, agency mandates, roles and responsibilities as a clear area requiring rethinking.</x:v>
      </x:c>
      <x:c r="Q23" s="30" t="str">
        <x:v>AnmolRationale_August12!row 52 (Latest Anmol August 12 re-evaluation)</x:v>
      </x:c>
      <x:c r="R23" s="30" t="str">
        <x:v>AnmolRationale_August12!row 52</x:v>
      </x:c>
      <x:c r="S23" s="40" t="str">
        <x:v>No</x:v>
      </x:c>
      <x:c r="T23" s="30"/>
      <x:c r="U23" s="30"/>
      <x:c r="V23" s="30" t="str">
        <x:v>Exact annotation duplicate</x:v>
      </x:c>
      <x:c r="W23" s="30" t="str">
        <x:v>Consolidated exact duplicate annotations from multiple sheets into one passage row.</x:v>
      </x:c>
      <x:c r="X23" s="30" t="str">
        <x:v>Aligned to full PyMuPDF paragraph/list item. PyMuPDF source unit: ERP-A247; raw blocks/lines: 79:3:3;79:3:4;79:3:5;79:3:6;79:3:7;79:3:8;79:3:9;79:3:10;79:3:11;79:3:12;79:4:0;79:5:0</x:v>
      </x:c>
      <x:c r="Y23" s="30" t="str">
        <x:v>AnmolRationale_August12!r52 (G057; anmol): Yes [SELECTED] | ICAResults_25April2026!r81 (G057; kyle): Yes | RationaleSheet_April20_v1!r56 (G057; kyle): Yes</x:v>
      </x:c>
      <x:c r="Z23" s="30" t="str">
        <x:v>AnmolRationale_August12!r52[G057]; ICAResults_25April2026!r81[G057]; RationaleSheet_April20_v1!r56[G057] PyMuPDF source unit ERP-A247 (79:3:3;79:3:4;79:3:5;79:3:6;79:3:7;79:3:8;79:3:9;79:3:10;79:3:11;79:3:12;79:4:0;79:5:0)</x:v>
      </x:c>
      <x:c r="AA23" s="30" t="str">
        <x:v>Clear — no codebook example passage retained</x:v>
      </x:c>
    </x:row>
    <x:row r="24" ht="54" customHeight="1">
      <x:c r="A24" s="30" t="str">
        <x:v>ERP-023</x:v>
      </x:c>
      <x:c r="B24" s="30" t="str">
        <x:v>2:28-P1</x:v>
      </x:c>
      <x:c r="C24" s="30" t="str">
        <x:v>p 79</x:v>
      </x:c>
      <x:c r="D24" s="30" t="str">
        <x:v>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x:v>
      </x:c>
      <x:c r="E24" s="30" t="str">
        <x:v>ERP Report</x:v>
      </x:c>
      <x:c r="F24" s="30" t="str">
        <x:v>erpreport.pdf</x:v>
      </x:c>
      <x:c r="G24" s="30"/>
      <x:c r="H24" s="40"/>
      <x:c r="I24" s="40" t="str">
        <x:v>No</x:v>
      </x:c>
      <x:c r="J24" s="40" t="n">
        <x:v>0</x:v>
      </x:c>
      <x:c r="K24" s="40"/>
      <x:c r="L24" s="40"/>
      <x:c r="M24" s="40"/>
      <x:c r="N24" s="40"/>
      <x:c r="O24" s="30"/>
      <x:c r="P24" s="30" t="str">
        <x:v>The paragraph diagnoses weaknesses in USACE peer-review procedures and resulting engineering errors, but it does not itself state what practice should replace them.</x:v>
      </x:c>
      <x:c r="Q24" s="30" t="str">
        <x:v>Paragraph-level source reconciliation and split adjudication (2026-08-14)</x:v>
      </x:c>
      <x:c r="R24" s="30" t="str">
        <x:v>Paragraph-level source reconciliation and split adjudication (2026-08-14)</x:v>
      </x:c>
      <x:c r="S24" s="40" t="str">
        <x:v>Yes</x:v>
      </x:c>
      <x:c r="T24" s="30" t="str">
        <x:v>Paragraph-level No was derived from the human-labeled parent span and rationale; confirm during team adjudication.</x:v>
      </x:c>
      <x:c r="U24" s="30" t="str">
        <x:v>Parent span Yes → child No</x:v>
      </x:c>
      <x:c r="V24" s="30" t="str">
        <x:v>Split from multi-paragraph source span</x:v>
      </x:c>
      <x:c r="W24" s="30" t="str">
        <x:v>Replaced the human-labeled parent span with source-aligned paragraph/list-unit child rows.</x:v>
      </x:c>
      <x:c r="X24" s="30" t="str">
        <x:v>Split the two-paragraph parent span; retained the diagnostic paragraph as No. PyMuPDF source unit: ERP-A250; raw blocks/lines: 79:9:0;79:9:1;79:9:2;79:9:3;79:9:4;79:9:5;79:9:6</x:v>
      </x:c>
      <x:c r="Y24" s="30" t="str">
        <x:v>AnmolRationale_August12!r53 (G058; anmol): Yes [SELECTED] | ICAResults_25April2026!r82 (G058; kyle): Yes | RationaleSheet_April20_v1!r57 (G058; kyle): Yes 2026-08-14 paragraph split: original parent ERP-021 (Yes) was divided into child 1/2 and adjudicated No; original coder decisions apply to the parent span, not independently to this child.</x:v>
      </x:c>
      <x:c r="Z24" s="30" t="str">
        <x:v>AnmolRationale_August12!r53[G058]; ICAResults_25April2026!r82[G058]; RationaleSheet_April20_v1!r57[G058] PyMuPDF source unit ERP-A250 (79:9:0;79:9:1;79:9:2;79:9:3;79:9:4;79:9:5;79:9:6)</x:v>
      </x:c>
      <x:c r="AA24" s="30" t="str">
        <x:v>Clear — no codebook example passage retained</x:v>
      </x:c>
    </x:row>
    <x:row r="25" ht="54" customHeight="1">
      <x:c r="A25" s="30" t="str">
        <x:v>ERP-024</x:v>
      </x:c>
      <x:c r="B25" s="30" t="str">
        <x:v>2:28-P2</x:v>
      </x:c>
      <x:c r="C25" s="30" t="str">
        <x:v>p 79</x:v>
      </x:c>
      <x:c r="D25" s="30" t="str">
        <x:v>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x:v>
      </x:c>
      <x:c r="E25" s="30" t="str">
        <x:v>ERP Report</x:v>
      </x:c>
      <x:c r="F25" s="30" t="str">
        <x:v>erpreport.pdf</x:v>
      </x:c>
      <x:c r="G25" s="30"/>
      <x:c r="H25" s="40"/>
      <x:c r="I25" s="40" t="str">
        <x:v>Yes</x:v>
      </x:c>
      <x:c r="J25" s="40" t="n">
        <x:v>1</x:v>
      </x:c>
      <x:c r="K25" s="40"/>
      <x:c r="L25" s="40"/>
      <x:c r="M25" s="40"/>
      <x:c r="N25" s="40"/>
      <x:c r="O25" s="30" t="str">
        <x:v>Depth: High depth, Nature: Normative Nature, Nature: Technical Nature, Pillar: Discarding (Normative), Stakeholder: USACE, Unlearning</x:v>
      </x:c>
      <x:c r="P25" s="30" t="str">
        <x:v>The paragraph identifies self-referential engineering decision-making and organizational habit as inadequate and presents effective external peer review as the alternative that could prevent such errors.</x:v>
      </x:c>
      <x:c r="Q25" s="30" t="str">
        <x:v>Paragraph-level source reconciliation and split adjudication (2026-08-14)</x:v>
      </x:c>
      <x:c r="R25" s="30" t="str">
        <x:v>Paragraph-level source reconciliation and split adjudication (2026-08-14)</x:v>
      </x:c>
      <x:c r="S25" s="40" t="str">
        <x:v>Yes</x:v>
      </x:c>
      <x:c r="T25" s="30" t="str">
        <x:v>The recommendation is expressed partly through a counterfactual; confirm the paragraph-level Yes during team adjudication.</x:v>
      </x:c>
      <x:c r="U25" s="30" t="str">
        <x:v>Parent span Yes → child Yes</x:v>
      </x:c>
      <x:c r="V25" s="30" t="str">
        <x:v>Split from multi-paragraph source span</x:v>
      </x:c>
      <x:c r="W25" s="30" t="str">
        <x:v>Replaced the human-labeled parent span with source-aligned paragraph/list-unit child rows.</x:v>
      </x:c>
      <x:c r="X25" s="30" t="str">
        <x:v>Split the two-paragraph parent span; retained the replacement-oriented paragraph as Yes. PyMuPDF source unit: ERP-A251; raw blocks/lines: 79:10:0;79:10:1;79:11:0;79:12:0;79:13:0;79:14:0;79:15:0;79:16:0</x:v>
      </x:c>
      <x:c r="Y25" s="30" t="str">
        <x:v>AnmolRationale_August12!r53 (G058; anmol): Yes [SELECTED] | ICAResults_25April2026!r82 (G058; kyle): Yes | RationaleSheet_April20_v1!r57 (G058; kyle): Yes 2026-08-14 paragraph split: original parent ERP-021 (Yes) was divided into child 2/2 and adjudicated Yes; original coder decisions apply to the parent span, not independently to this child.</x:v>
      </x:c>
      <x:c r="Z25" s="30" t="str">
        <x:v>AnmolRationale_August12!r53[G058]; ICAResults_25April2026!r82[G058]; RationaleSheet_April20_v1!r57[G058] PyMuPDF source unit ERP-A251 (79:10:0;79:10:1;79:11:0;79:12:0;79:13:0;79:14:0;79:15:0;79:16:0)</x:v>
      </x:c>
      <x:c r="AA25" s="30" t="str">
        <x:v>Clear — no codebook example passage retained</x:v>
      </x:c>
    </x:row>
    <x:row r="26" ht="54" customHeight="1">
      <x:c r="A26" s="30" t="str">
        <x:v>ERP-025</x:v>
      </x:c>
      <x:c r="B26" s="30" t="str">
        <x:v>2:29-P1</x:v>
      </x:c>
      <x:c r="C26" s="30" t="str">
        <x:v>p 80</x:v>
      </x:c>
      <x:c r="D26"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x:v>
      </x:c>
      <x:c r="E26" s="30" t="str">
        <x:v>ERP Report</x:v>
      </x:c>
      <x:c r="F26" s="30" t="str">
        <x:v>erpreport.pdf</x:v>
      </x:c>
      <x:c r="G26" s="30"/>
      <x:c r="H26" s="40"/>
      <x:c r="I26" s="40" t="str">
        <x:v>No</x:v>
      </x:c>
      <x:c r="J26" s="40" t="n">
        <x:v>0</x:v>
      </x:c>
      <x:c r="K26" s="40"/>
      <x:c r="L26" s="40"/>
      <x:c r="M26" s="40"/>
      <x:c r="N26" s="40"/>
      <x:c r="O26" s="30"/>
      <x:c r="P26" s="30" t="str">
        <x:v>The paragraph describes the ordinary federal and local funding process but does not identify it as inadequate or call for its replacement.</x:v>
      </x:c>
      <x:c r="Q26" s="30" t="str">
        <x:v>Paragraph-level source reconciliation and split adjudication (2026-08-14)</x:v>
      </x:c>
      <x:c r="R26" s="30" t="str">
        <x:v>Paragraph-level source reconciliation and split adjudication (2026-08-14)</x:v>
      </x:c>
      <x:c r="S26" s="40" t="str">
        <x:v>Yes</x:v>
      </x:c>
      <x:c r="T26" s="30" t="str">
        <x:v>Paragraph-level No was derived from a human-labeled multi-paragraph parent span; confirm during team adjudication.</x:v>
      </x:c>
      <x:c r="U26" s="30" t="str">
        <x:v>Parent span Yes → child No</x:v>
      </x:c>
      <x:c r="V26" s="30" t="str">
        <x:v>Split from multi-paragraph source span</x:v>
      </x:c>
      <x:c r="W26" s="30" t="str">
        <x:v>Replaced the human-labeled parent span with source-aligned paragraph/list-unit child rows.</x:v>
      </x:c>
      <x:c r="X26" s="30" t="str">
        <x:v>Split the six-paragraph funding parent span into paragraph 1 of 6. PyMuPDF source unit: ERP-A252; raw blocks/lines: 80:2:0;80:3:0;80:4:0;80:5:0;80:6:0;80:7:0</x:v>
      </x:c>
      <x:c r="Y26" s="30" t="str">
        <x:v>AnmolRationale_August12!r54 (G063; anmol): Yes [SELECTED] | ICAResults_25April2026!r83 (G063; kyle): Yes | RationaleSheet_April20_v1!r58 (G063; kyle): Yes 2026-08-14 paragraph split: original parent ERP-022 (Yes) was divided into child 1/6 and adjudicated No; original coder decisions apply to the parent span, not independently to this child.</x:v>
      </x:c>
      <x:c r="Z26" s="30" t="str">
        <x:v>AnmolRationale_August12!r54[G063]; ICAResults_25April2026!r83[G063]; RationaleSheet_April20_v1!r58[G063] PyMuPDF source unit ERP-A252 (80:2:0;80:3:0;80:4:0;80:5:0;80:6:0;80:7:0)</x:v>
      </x:c>
      <x:c r="AA26" s="30" t="str">
        <x:v>Clear — no codebook example passage retained</x:v>
      </x:c>
    </x:row>
    <x:row r="27" ht="54" customHeight="1">
      <x:c r="A27" s="30" t="str">
        <x:v>ERP-026</x:v>
      </x:c>
      <x:c r="B27" s="30" t="str">
        <x:v>2:29-P2</x:v>
      </x:c>
      <x:c r="C27" s="30" t="str">
        <x:v>p 80</x:v>
      </x:c>
      <x:c r="D27" s="30" t="str">
        <x:v>Because of the Congressional budgeting process, the stream of funding for the New Orleans hurricane protection system was irregular, at best. If a project was not sufficiently funded, the USACE was often required to delay implementation or to scale back the project.</x:v>
      </x:c>
      <x:c r="E27" s="30" t="str">
        <x:v>ERP Report</x:v>
      </x:c>
      <x:c r="F27" s="30" t="str">
        <x:v>erpreport.pdf</x:v>
      </x:c>
      <x:c r="G27" s="30"/>
      <x:c r="H27" s="40"/>
      <x:c r="I27" s="40" t="str">
        <x:v>No</x:v>
      </x:c>
      <x:c r="J27" s="40" t="n">
        <x:v>0</x:v>
      </x:c>
      <x:c r="K27" s="40"/>
      <x:c r="L27" s="40"/>
      <x:c r="M27" s="40"/>
      <x:c r="N27" s="40"/>
      <x:c r="O27" s="30"/>
      <x:c r="P27" s="30" t="str">
        <x:v>The paragraph documents irregular funding and resulting delay or project reduction, but it remains diagnostic and does not propose a fundamental replacement.</x:v>
      </x:c>
      <x:c r="Q27" s="30" t="str">
        <x:v>Paragraph-level source reconciliation and split adjudication (2026-08-14)</x:v>
      </x:c>
      <x:c r="R27" s="30" t="str">
        <x:v>Paragraph-level source reconciliation and split adjudication (2026-08-14)</x:v>
      </x:c>
      <x:c r="S27" s="40" t="str">
        <x:v>Yes</x:v>
      </x:c>
      <x:c r="T27" s="30" t="str">
        <x:v>Paragraph-level No was derived from a human-labeled multi-paragraph parent span; confirm during team adjudication.</x:v>
      </x:c>
      <x:c r="U27" s="30" t="str">
        <x:v>Parent span Yes → child No</x:v>
      </x:c>
      <x:c r="V27" s="30" t="str">
        <x:v>Split from multi-paragraph source span</x:v>
      </x:c>
      <x:c r="W27" s="30" t="str">
        <x:v>Replaced the human-labeled parent span with source-aligned paragraph/list-unit child rows.</x:v>
      </x:c>
      <x:c r="X27" s="30" t="str">
        <x:v>Split the six-paragraph funding parent span into paragraph 2 of 6. PyMuPDF source unit: ERP-A253; raw blocks/lines: 80:8:0;80:9:0;80:10:0;80:11:0</x:v>
      </x:c>
      <x:c r="Y27" s="30" t="str">
        <x:v>AnmolRationale_August12!r54 (G063; anmol): Yes [SELECTED] | ICAResults_25April2026!r83 (G063; kyle): Yes | RationaleSheet_April20_v1!r58 (G063; kyle): Yes 2026-08-14 paragraph split: original parent ERP-022 (Yes) was divided into child 2/6 and adjudicated No; original coder decisions apply to the parent span, not independently to this child.</x:v>
      </x:c>
      <x:c r="Z27" s="30" t="str">
        <x:v>AnmolRationale_August12!r54[G063]; ICAResults_25April2026!r83[G063]; RationaleSheet_April20_v1!r58[G063] PyMuPDF source unit ERP-A253 (80:8:0;80:9:0;80:10:0;80:11:0)</x:v>
      </x:c>
      <x:c r="AA27" s="30" t="str">
        <x:v>Clear — no codebook example passage retained</x:v>
      </x:c>
    </x:row>
    <x:row r="28" ht="54" customHeight="1">
      <x:c r="A28" s="30" t="str">
        <x:v>ERP-027</x:v>
      </x:c>
      <x:c r="B28" s="30" t="str">
        <x:v>2:29-P3</x:v>
      </x:c>
      <x:c r="C28" s="30" t="str">
        <x:v>p 80</x:v>
      </x:c>
      <x:c r="D28" s="30" t="str">
        <x:v>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x:v>
      </x:c>
      <x:c r="E28" s="30" t="str">
        <x:v>ERP Report</x:v>
      </x:c>
      <x:c r="F28" s="30" t="str">
        <x:v>erpreport.pdf</x:v>
      </x:c>
      <x:c r="G28" s="30"/>
      <x:c r="H28" s="40"/>
      <x:c r="I28" s="40" t="str">
        <x:v>Yes</x:v>
      </x:c>
      <x:c r="J28" s="40" t="n">
        <x:v>1</x:v>
      </x:c>
      <x:c r="K28" s="40"/>
      <x:c r="L28" s="40"/>
      <x:c r="M28" s="40"/>
      <x:c r="N28" s="40"/>
      <x:c r="O28" s="30" t="str">
        <x:v>Depth: High depth, Nature: Normative Nature, Pillar: Discarding (Normative), Stakeholder: Congress, Stakeholder: USACE, Unlearning</x:v>
      </x:c>
      <x:c r="P28" s="30" t="str">
        <x:v>The paragraph explicitly identifies the push-pull funding mechanism for critical life-safety infrastructure as essentially flawed and calls, at least implicitly, for fundamental reconsideration of that allocation structure.</x:v>
      </x:c>
      <x:c r="Q28" s="30" t="str">
        <x:v>Paragraph-level source reconciliation and split adjudication (2026-08-14)</x:v>
      </x:c>
      <x:c r="R28" s="30" t="str">
        <x:v>Paragraph-level source reconciliation and split adjudication (2026-08-14)</x:v>
      </x:c>
      <x:c r="S28" s="40" t="str">
        <x:v>Yes</x:v>
      </x:c>
      <x:c r="T28" s="30" t="str">
        <x:v>The Yes decision relies on the phrase 'essentially flawed' as an implicit call for fundamental rethinking; confirm during team adjudication.</x:v>
      </x:c>
      <x:c r="U28" s="30" t="str">
        <x:v>Parent span Yes → child Yes</x:v>
      </x:c>
      <x:c r="V28" s="30" t="str">
        <x:v>Split from multi-paragraph source span</x:v>
      </x:c>
      <x:c r="W28" s="30" t="str">
        <x:v>Replaced the human-labeled parent span with source-aligned paragraph/list-unit child rows.</x:v>
      </x:c>
      <x:c r="X28" s="30" t="str">
        <x:v>Split the six-paragraph funding parent span into paragraph 3 of 6. PyMuPDF source unit: ERP-A254; raw blocks/lines: 80:12:0;80:13:0;80:14:0;80:15:0;80:16:0;80:17:0</x:v>
      </x:c>
      <x:c r="Y28" s="30" t="str">
        <x:v>AnmolRationale_August12!r54 (G063; anmol): Yes [SELECTED] | ICAResults_25April2026!r83 (G063; kyle): Yes | RationaleSheet_April20_v1!r58 (G063; kyle): Yes 2026-08-14 paragraph split: original parent ERP-022 (Yes) was divided into child 3/6 and adjudicated Yes; original coder decisions apply to the parent span, not independently to this child.</x:v>
      </x:c>
      <x:c r="Z28" s="30" t="str">
        <x:v>AnmolRationale_August12!r54[G063]; ICAResults_25April2026!r83[G063]; RationaleSheet_April20_v1!r58[G063] PyMuPDF source unit ERP-A254 (80:12:0;80:13:0;80:14:0;80:15:0;80:16:0;80:17:0)</x:v>
      </x:c>
      <x:c r="AA28" s="30" t="str">
        <x:v>Clear — no codebook example passage retained</x:v>
      </x:c>
    </x:row>
    <x:row r="29" ht="54" customHeight="1">
      <x:c r="A29" s="30" t="str">
        <x:v>ERP-028</x:v>
      </x:c>
      <x:c r="B29" s="30" t="str">
        <x:v>2:29-P4</x:v>
      </x:c>
      <x:c r="C29" s="30" t="str">
        <x:v>p 80</x:v>
      </x:c>
      <x:c r="D29" s="30" t="str">
        <x:v>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x:v>
      </x:c>
      <x:c r="E29" s="30" t="str">
        <x:v>ERP Report</x:v>
      </x:c>
      <x:c r="F29" s="30" t="str">
        <x:v>erpreport.pdf</x:v>
      </x:c>
      <x:c r="G29" s="30"/>
      <x:c r="H29" s="40"/>
      <x:c r="I29" s="40" t="str">
        <x:v>No</x:v>
      </x:c>
      <x:c r="J29" s="40" t="n">
        <x:v>0</x:v>
      </x:c>
      <x:c r="K29" s="40"/>
      <x:c r="L29" s="40"/>
      <x:c r="M29" s="40"/>
      <x:c r="N29" s="40"/>
      <x:c r="O29" s="30"/>
      <x:c r="P29" s="30" t="str">
        <x:v>The paragraph diagnoses the project-by-project approach and reductionist thinking, but it does not itself state a replacement funding or management mechanism.</x:v>
      </x:c>
      <x:c r="Q29" s="30" t="str">
        <x:v>Paragraph-level source reconciliation and split adjudication (2026-08-14)</x:v>
      </x:c>
      <x:c r="R29" s="30" t="str">
        <x:v>Paragraph-level source reconciliation and split adjudication (2026-08-14)</x:v>
      </x:c>
      <x:c r="S29" s="40" t="str">
        <x:v>Yes</x:v>
      </x:c>
      <x:c r="T29" s="30" t="str">
        <x:v>Paragraph-level No was derived from a human-labeled multi-paragraph parent span; confirm during team adjudication.</x:v>
      </x:c>
      <x:c r="U29" s="30" t="str">
        <x:v>Parent span Yes → child No</x:v>
      </x:c>
      <x:c r="V29" s="30" t="str">
        <x:v>Split from multi-paragraph source span</x:v>
      </x:c>
      <x:c r="W29" s="30" t="str">
        <x:v>Replaced the human-labeled parent span with source-aligned paragraph/list-unit child rows.</x:v>
      </x:c>
      <x:c r="X29" s="30" t="str">
        <x:v>Split the six-paragraph funding parent span into paragraph 4 of 6. PyMuPDF source unit: ERP-A255; raw blocks/lines: 80:18:0;80:19:0;80:20:0;80:21:0;80:22:0;80:23:0;80:24:0;80:25:0;80:26:0</x:v>
      </x:c>
      <x:c r="Y29" s="30" t="str">
        <x:v>AnmolRationale_August12!r54 (G063; anmol): Yes [SELECTED] | ICAResults_25April2026!r83 (G063; kyle): Yes | RationaleSheet_April20_v1!r58 (G063; kyle): Yes 2026-08-14 paragraph split: original parent ERP-022 (Yes) was divided into child 4/6 and adjudicated No; original coder decisions apply to the parent span, not independently to this child.</x:v>
      </x:c>
      <x:c r="Z29" s="30" t="str">
        <x:v>AnmolRationale_August12!r54[G063]; ICAResults_25April2026!r83[G063]; RationaleSheet_April20_v1!r58[G063] PyMuPDF source unit ERP-A255 (80:18:0;80:19:0;80:20:0;80:21:0;80:22:0;80:23:0;80:24:0;80:25:0;80:26:0)</x:v>
      </x:c>
      <x:c r="AA29" s="30" t="str">
        <x:v>Clear — no codebook example passage retained</x:v>
      </x:c>
    </x:row>
    <x:row r="30" ht="54" customHeight="1">
      <x:c r="A30" s="30" t="str">
        <x:v>ERP-029</x:v>
      </x:c>
      <x:c r="B30" s="30" t="str">
        <x:v>2:29-P5</x:v>
      </x:c>
      <x:c r="C30" s="30" t="str">
        <x:v>p 80</x:v>
      </x:c>
      <x:c r="D30" s="30" t="str">
        <x:v>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x:v>
      </x:c>
      <x:c r="E30" s="30" t="str">
        <x:v>ERP Report</x:v>
      </x:c>
      <x:c r="F30" s="30" t="str">
        <x:v>erpreport.pdf</x:v>
      </x:c>
      <x:c r="G30" s="30"/>
      <x:c r="H30" s="40"/>
      <x:c r="I30" s="40" t="str">
        <x:v>No</x:v>
      </x:c>
      <x:c r="J30" s="40" t="n">
        <x:v>0</x:v>
      </x:c>
      <x:c r="K30" s="40"/>
      <x:c r="L30" s="40"/>
      <x:c r="M30" s="40"/>
      <x:c r="N30" s="40"/>
      <x:c r="O30" s="30"/>
      <x:c r="P30" s="30" t="str">
        <x:v>The paragraph describes a decision not to armor levees and a possible authority constraint, but it does not itself call for changing the governing practice.</x:v>
      </x:c>
      <x:c r="Q30" s="30" t="str">
        <x:v>Paragraph-level source reconciliation and split adjudication (2026-08-14)</x:v>
      </x:c>
      <x:c r="R30" s="30" t="str">
        <x:v>Paragraph-level source reconciliation and split adjudication (2026-08-14)</x:v>
      </x:c>
      <x:c r="S30" s="40" t="str">
        <x:v>Yes</x:v>
      </x:c>
      <x:c r="T30" s="30" t="str">
        <x:v>Paragraph-level No was derived from a human-labeled multi-paragraph parent span; confirm during team adjudication.</x:v>
      </x:c>
      <x:c r="U30" s="30" t="str">
        <x:v>Parent span Yes → child No</x:v>
      </x:c>
      <x:c r="V30" s="30" t="str">
        <x:v>Split from multi-paragraph source span</x:v>
      </x:c>
      <x:c r="W30" s="30" t="str">
        <x:v>Replaced the human-labeled parent span with source-aligned paragraph/list-unit child rows.</x:v>
      </x:c>
      <x:c r="X30" s="30" t="str">
        <x:v>Split the six-paragraph funding parent span into paragraph 5 of 6. PyMuPDF source unit: ERP-A256; raw blocks/lines: 80:27:0;80:28:0;80:29:0;80:30:0;80:31:0;80:32:0;80:33:0</x:v>
      </x:c>
      <x:c r="Y30" s="30" t="str">
        <x:v>AnmolRationale_August12!r54 (G063; anmol): Yes [SELECTED] | ICAResults_25April2026!r83 (G063; kyle): Yes | RationaleSheet_April20_v1!r58 (G063; kyle): Yes 2026-08-14 paragraph split: original parent ERP-022 (Yes) was divided into child 5/6 and adjudicated No; original coder decisions apply to the parent span, not independently to this child.</x:v>
      </x:c>
      <x:c r="Z30" s="30" t="str">
        <x:v>AnmolRationale_August12!r54[G063]; ICAResults_25April2026!r83[G063]; RationaleSheet_April20_v1!r58[G063] PyMuPDF source unit ERP-A256 (80:27:0;80:28:0;80:29:0;80:30:0;80:31:0;80:32:0;80:33:0)</x:v>
      </x:c>
      <x:c r="AA30" s="30" t="str">
        <x:v>Clear — no codebook example passage retained</x:v>
      </x:c>
    </x:row>
    <x:row r="31" ht="54" customHeight="1">
      <x:c r="A31" s="30" t="str">
        <x:v>ERP-030</x:v>
      </x:c>
      <x:c r="B31" s="30" t="str">
        <x:v>2:29-P6</x:v>
      </x:c>
      <x:c r="C31" s="30" t="str">
        <x:v>p 80</x:v>
      </x:c>
      <x:c r="D31" s="30" t="str">
        <x:v>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E31" s="30" t="str">
        <x:v>ERP Report</x:v>
      </x:c>
      <x:c r="F31" s="30" t="str">
        <x:v>erpreport.pdf</x:v>
      </x:c>
      <x:c r="G31" s="30"/>
      <x:c r="H31" s="40"/>
      <x:c r="I31" s="40" t="str">
        <x:v>No</x:v>
      </x:c>
      <x:c r="J31" s="40" t="n">
        <x:v>0</x:v>
      </x:c>
      <x:c r="K31" s="40"/>
      <x:c r="L31" s="40"/>
      <x:c r="M31" s="40"/>
      <x:c r="N31" s="40"/>
      <x:c r="O31" s="30"/>
      <x:c r="P31" s="30" t="str">
        <x:v>The paragraph criticizes congressional control and USACE’s acceptance of it, but its call for more vigorous advocacy and adequate funding is not a clear replacement of the funding structure.</x:v>
      </x:c>
      <x:c r="Q31" s="30" t="str">
        <x:v>Paragraph-level source reconciliation and split adjudication (2026-08-14)</x:v>
      </x:c>
      <x:c r="R31" s="30" t="str">
        <x:v>Paragraph-level source reconciliation and split adjudication (2026-08-14)</x:v>
      </x:c>
      <x:c r="S31" s="40" t="str">
        <x:v>Yes</x:v>
      </x:c>
      <x:c r="T31" s="30" t="str">
        <x:v>Paragraph-level No was derived from a human-labeled multi-paragraph parent span; confirm during team adjudication.</x:v>
      </x:c>
      <x:c r="U31" s="30" t="str">
        <x:v>Parent span Yes → child No</x:v>
      </x:c>
      <x:c r="V31" s="30" t="str">
        <x:v>Split from multi-paragraph source span</x:v>
      </x:c>
      <x:c r="W31" s="30" t="str">
        <x:v>Replaced the human-labeled parent span with source-aligned paragraph/list-unit child rows.</x:v>
      </x:c>
      <x:c r="X31" s="30" t="str">
        <x:v>Split the six-paragraph funding parent span into paragraph 6 of 6. PyMuPDF source unit: ERP-A257; raw blocks/lines: 80:34:0;80:35:0;80:36:0;80:37:0;80:38:0;80:39:0;80:40:0</x:v>
      </x:c>
      <x:c r="Y31" s="30" t="str">
        <x:v>AnmolRationale_August12!r54 (G063; anmol): Yes [SELECTED] | ICAResults_25April2026!r83 (G063; kyle): Yes | RationaleSheet_April20_v1!r58 (G063; kyle): Yes 2026-08-14 paragraph split: original parent ERP-022 (Yes) was divided into child 6/6 and adjudicated No; original coder decisions apply to the parent span, not independently to this child.</x:v>
      </x:c>
      <x:c r="Z31" s="30" t="str">
        <x:v>AnmolRationale_August12!r54[G063]; ICAResults_25April2026!r83[G063]; RationaleSheet_April20_v1!r58[G063] PyMuPDF source unit ERP-A257 (80:34:0;80:35:0;80:36:0;80:37:0;80:38:0;80:39:0;80:40:0)</x:v>
      </x:c>
      <x:c r="AA31" s="30" t="str">
        <x:v>Clear — no codebook example passage retained</x:v>
      </x:c>
    </x:row>
    <x:row r="32" ht="54" customHeight="1">
      <x:c r="A32" s="30" t="str">
        <x:v>ERP-031</x:v>
      </x:c>
      <x:c r="B32" s="30" t="str">
        <x:v>2:14</x:v>
      </x:c>
      <x:c r="C32" s="30" t="str">
        <x:v>p 82</x:v>
      </x:c>
      <x:c r="D32" s="30" t="str">
        <x:v>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x:v>
      </x:c>
      <x:c r="E32" s="30" t="str">
        <x:v>ERP Report</x:v>
      </x:c>
      <x:c r="F32" s="30" t="str">
        <x:v>erpreport.pdf</x:v>
      </x:c>
      <x:c r="G32" s="30" t="str">
        <x:v>Yes</x:v>
      </x:c>
      <x:c r="H32" s="40" t="n">
        <x:v>1</x:v>
      </x:c>
      <x:c r="I32" s="40" t="str">
        <x:v>Yes</x:v>
      </x:c>
      <x:c r="J32" s="40" t="n">
        <x:v>1</x:v>
      </x:c>
      <x:c r="K32" s="40" t="str">
        <x:v>Yes</x:v>
      </x:c>
      <x:c r="L32" s="40"/>
      <x:c r="M32" s="40" t="str">
        <x:v>Yes</x:v>
      </x:c>
      <x:c r="N32" s="40" t="str">
        <x:v>anmol</x:v>
      </x:c>
      <x:c r="O32" s="30" t="str">
        <x:v>Depth: High depth, Nature: Technical Nature, Pillar: Realignment (Technical), Stakeholder: Congress, Unlearning</x:v>
      </x:c>
      <x:c r="P32" s="30" t="str">
        <x:v>This is unlearning. They identify a lack of consistency as a problem and identify establishing a fund for leveee safety as a new way of solving this problem.</x:v>
      </x:c>
      <x:c r="Q32" s="30" t="str">
        <x:v>AnmolRationale_August12!row 39 (Latest Anmol August 12 re-evaluation)</x:v>
      </x:c>
      <x:c r="R32" s="30" t="str">
        <x:v>AnmolRationale_August12!row 39</x:v>
      </x:c>
      <x:c r="S32" s="40" t="str">
        <x:v>Yes</x:v>
      </x:c>
      <x:c r="T32" s="30" t="str">
        <x:v>Retained: conceptually related to the levee-safety example, but it is not the same or a contained passage. Manual leakage review recommended.</x:v>
      </x:c>
      <x:c r="U32" s="30"/>
      <x:c r="V32" s="30" t="str">
        <x:v>Exact annotation duplicate</x:v>
      </x:c>
      <x:c r="W32" s="30" t="str">
        <x:v>Consolidated exact duplicate annotations from multiple sheets into one passage row.</x:v>
      </x:c>
      <x:c r="X32" s="30" t="str">
        <x:v>Aligned to full PyMuPDF paragraph/list item. PyMuPDF source unit: ERP-A267; raw blocks/lines: 82:21:0;82:22:0;82:23:0;82:24:0;82:25:0;82:26:0;82:27:0;82:28:0</x:v>
      </x:c>
      <x:c r="Y32" s="30" t="str">
        <x:v>AnmolRationale_August12!r39 (G065; anmol): Yes [SELECTED] | ICAResults_25April2026!r68 (G065; kyle): Yes | RationaleSheet_April20_v1!r43 (G065; kyle): Yes</x:v>
      </x:c>
      <x:c r="Z32" s="30" t="str">
        <x:v>AnmolRationale_August12!r39[G065]; ICAResults_25April2026!r68[G065]; RationaleSheet_April20_v1!r43[G065] PyMuPDF source unit ERP-A267 (82:21:0;82:22:0;82:23:0;82:24:0;82:25:0;82:26:0;82:27:0;82:28:0)</x:v>
      </x:c>
      <x:c r="AA32" s="30" t="str">
        <x:v>Retained: conceptually related to the levee-safety example, but it is not the same or a contained passage. Manual leakage review recommended.</x:v>
      </x:c>
    </x:row>
    <x:row r="33" ht="54" customHeight="1">
      <x:c r="A33" s="30" t="str">
        <x:v>ERP-032</x:v>
      </x:c>
      <x:c r="B33" s="30" t="str">
        <x:v>2:15</x:v>
      </x:c>
      <x:c r="C33" s="30" t="str">
        <x:v>p 84</x:v>
      </x:c>
      <x:c r="D33" s="30" t="str">
        <x:v>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x:v>
      </x:c>
      <x:c r="E33" s="30" t="str">
        <x:v>ERP Report</x:v>
      </x:c>
      <x:c r="F33" s="30" t="str">
        <x:v>erpreport.pdf</x:v>
      </x:c>
      <x:c r="G33" s="30" t="str">
        <x:v>Yes</x:v>
      </x:c>
      <x:c r="H33" s="40" t="n">
        <x:v>1</x:v>
      </x:c>
      <x:c r="I33" s="40" t="str">
        <x:v>Yes</x:v>
      </x:c>
      <x:c r="J33" s="40" t="n">
        <x:v>1</x:v>
      </x:c>
      <x:c r="K33" s="40" t="str">
        <x:v>Yes</x:v>
      </x:c>
      <x:c r="L33" s="40"/>
      <x:c r="M33" s="40" t="str">
        <x:v>Yes</x:v>
      </x:c>
      <x:c r="N33" s="40" t="str">
        <x:v>anmol</x:v>
      </x:c>
      <x:c r="O33" s="30" t="str">
        <x:v>Depth: High depth, Nature: Technical Nature, Pillar: Realignment (Technical), Stakeholder: USACE, Unlearning</x:v>
      </x:c>
      <x:c r="P33" s="30" t="str">
        <x:v>They identify a clear set of engineering and design problems. And calls for a more systmeic approach.</x:v>
      </x:c>
      <x:c r="Q33" s="30" t="str">
        <x:v>AnmolRationale_August12!row 40 (Latest Anmol August 12 re-evaluation)</x:v>
      </x:c>
      <x:c r="R33" s="30" t="str">
        <x:v>AnmolRationale_August12!row 40</x:v>
      </x:c>
      <x:c r="S33" s="40" t="str">
        <x:v>No</x:v>
      </x:c>
      <x:c r="T33" s="30"/>
      <x:c r="U33" s="30"/>
      <x:c r="V33" s="30" t="str">
        <x:v>Exact annotation duplicate</x:v>
      </x:c>
      <x:c r="W33" s="30" t="str">
        <x:v>Consolidated exact duplicate annotations from multiple sheets into one passage row.</x:v>
      </x:c>
      <x:c r="X33" s="30" t="str">
        <x:v>Aligned to full PyMuPDF paragraph/list item. PyMuPDF source unit: ERP-A279; raw blocks/lines: 84:23:0;84:24:0;84:25:0;84:26:0;84:27:0;84:28:0;84:29:0;84:30:0;84:31:0</x:v>
      </x:c>
      <x:c r="Y33" s="30" t="str">
        <x:v>AnmolRationale_August12!r40 (G066; anmol): Yes [SELECTED] | ICAResults_25April2026!r69 (G066; kyle): Yes | RationaleSheet_April20_v1!r44 (G066; kyle): Yes</x:v>
      </x:c>
      <x:c r="Z33" s="30" t="str">
        <x:v>AnmolRationale_August12!r40[G066]; ICAResults_25April2026!r69[G066]; RationaleSheet_April20_v1!r44[G066] PyMuPDF source unit ERP-A279 (84:23:0;84:24:0;84:25:0;84:26:0;84:27:0;84:28:0;84:29:0;84:30:0;84:31:0)</x:v>
      </x:c>
      <x:c r="AA33" s="30" t="str">
        <x:v>Clear — no codebook example passage retained</x:v>
      </x:c>
    </x:row>
    <x:row r="34" ht="54" customHeight="1">
      <x:c r="A34" s="30" t="str">
        <x:v>ERP-033</x:v>
      </x:c>
      <x:c r="B34" s="30" t="str">
        <x:v>2:16</x:v>
      </x:c>
      <x:c r="C34" s="30" t="str">
        <x:v>p 85</x:v>
      </x:c>
      <x:c r="D34" s="30" t="str">
        <x:v>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x:v>
      </x:c>
      <x:c r="E34" s="30" t="str">
        <x:v>ERP Report</x:v>
      </x:c>
      <x:c r="F34" s="30" t="str">
        <x:v>erpreport.pdf</x:v>
      </x:c>
      <x:c r="G34" s="30" t="str">
        <x:v>Yes</x:v>
      </x:c>
      <x:c r="H34" s="40" t="n">
        <x:v>1</x:v>
      </x:c>
      <x:c r="I34" s="40" t="str">
        <x:v>Yes</x:v>
      </x:c>
      <x:c r="J34" s="40" t="n">
        <x:v>1</x:v>
      </x:c>
      <x:c r="K34" s="40" t="str">
        <x:v>Yes</x:v>
      </x:c>
      <x:c r="L34" s="40"/>
      <x:c r="M34" s="40" t="str">
        <x:v>Yes</x:v>
      </x:c>
      <x:c r="N34" s="40" t="str">
        <x:v>anmol</x:v>
      </x:c>
      <x:c r="O34" s="30" t="str">
        <x:v>Depth: High depth, Nature: Normative Nature, Nature: Technical Nature, Pillar: Realignment (Technical), Unlearning</x:v>
      </x:c>
      <x:c r="P34" s="30" t="str">
        <x:v>This calls for fundamental reforms that take into account land use decisions adn various other reforms that discard old thinking and practices.</x:v>
      </x:c>
      <x:c r="Q34" s="30" t="str">
        <x:v>AnmolRationale_August12!row 41 (Latest Anmol August 12 re-evaluation)</x:v>
      </x:c>
      <x:c r="R34" s="30" t="str">
        <x:v>AnmolRationale_August12!row 41</x:v>
      </x:c>
      <x:c r="S34" s="40" t="str">
        <x:v>No</x:v>
      </x:c>
      <x:c r="T34" s="30"/>
      <x:c r="U34" s="30"/>
      <x:c r="V34" s="30" t="str">
        <x:v>Exact annotation duplicate</x:v>
      </x:c>
      <x:c r="W34" s="30" t="str">
        <x:v>Consolidated exact duplicate annotations from multiple sheets into one passage row.</x:v>
      </x:c>
      <x:c r="X34" s="30" t="str">
        <x:v>Aligned to full PyMuPDF paragraph/list item. PyMuPDF source unit: ERP-A283; raw blocks/lines: 85:15:0;85:16:0;85:17:0;85:18:0;85:19:0;85:20:0;85:21:0;85:22:0;85:23:0</x:v>
      </x:c>
      <x:c r="Y34" s="30" t="str">
        <x:v>AnmolRationale_August12!r41 (G067; anmol): Yes [SELECTED] | ICAResults_25April2026!r70 (G067; kyle): Yes | RationaleSheet_April20_v1!r45 (G067; kyle): Yes</x:v>
      </x:c>
      <x:c r="Z34" s="30" t="str">
        <x:v>AnmolRationale_August12!r41[G067]; ICAResults_25April2026!r70[G067]; RationaleSheet_April20_v1!r45[G067] PyMuPDF source unit ERP-A283 (85:15:0;85:16:0;85:17:0;85:18:0;85:19:0;85:20:0;85:21:0;85:22:0;85:23:0)</x:v>
      </x:c>
      <x:c r="AA34" s="30" t="str">
        <x:v>Clear — no codebook example passage retained</x:v>
      </x:c>
    </x:row>
    <x:row r="35" ht="54" customHeight="1">
      <x:c r="A35" s="30" t="str">
        <x:v>ERP-034</x:v>
      </x:c>
      <x:c r="B35" s="30" t="str">
        <x:v>2:30</x:v>
      </x:c>
      <x:c r="C35" s="30" t="str">
        <x:v>p 86</x:v>
      </x:c>
      <x:c r="D35" s="30" t="str">
        <x:v>•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x:v>
      </x:c>
      <x:c r="E35" s="30" t="str">
        <x:v>ERP Report</x:v>
      </x:c>
      <x:c r="F35" s="30" t="str">
        <x:v>erpreport.pdf</x:v>
      </x:c>
      <x:c r="G35" s="30" t="str">
        <x:v>No</x:v>
      </x:c>
      <x:c r="H35" s="40" t="n">
        <x:v>0</x:v>
      </x:c>
      <x:c r="I35" s="40" t="str">
        <x:v>No</x:v>
      </x:c>
      <x:c r="J35" s="40" t="n">
        <x:v>0</x:v>
      </x:c>
      <x:c r="K35" s="40" t="str">
        <x:v>No</x:v>
      </x:c>
      <x:c r="L35" s="40"/>
      <x:c r="M35" s="40" t="str">
        <x:v>Yes</x:v>
      </x:c>
      <x:c r="N35" s="40" t="str">
        <x:v>anmol</x:v>
      </x:c>
      <x:c r="O35" s="30"/>
      <x:c r="P35" s="30" t="str">
        <x:v>Not unlearning. It calls for upgrade and reinforcement, not a fundamental rethink of the system.</x:v>
      </x:c>
      <x:c r="Q35" s="30" t="str">
        <x:v>AnmolRationale_August12!row 55 (Latest Anmol August 12 re-evaluation)</x:v>
      </x:c>
      <x:c r="R35" s="30" t="str">
        <x:v>AnmolRationale_August12!row 55</x:v>
      </x:c>
      <x:c r="S35" s="40" t="str">
        <x:v>No</x:v>
      </x:c>
      <x:c r="T35" s="30"/>
      <x:c r="U35" s="30"/>
      <x:c r="V35" s="30" t="str">
        <x:v>Exact annotation duplicate</x:v>
      </x:c>
      <x:c r="W35" s="30" t="str">
        <x:v>Consolidated exact duplicate annotations from multiple sheets into one passage row.</x:v>
      </x:c>
      <x:c r="X35" s="30" t="str">
        <x:v>Aligned to full PyMuPDF paragraph/list item. PyMuPDF source unit: ERP-A290; raw blocks/lines: 86:30:0;86:31:0;86:32:0;86:33:0;86:34:0;86:35:0;86:36:0</x:v>
      </x:c>
      <x:c r="Y35" s="30" t="str">
        <x:v>AnmolRationale_August12!r55 (G068; anmol): No [SELECTED] | ICAResults_25April2026!r84 (G068; kyle): Yes | RationaleSheet_April20_v1!r59 (G068; kyle): Yes</x:v>
      </x:c>
      <x:c r="Z35" s="30" t="str">
        <x:v>AnmolRationale_August12!r55[G068]; ICAResults_25April2026!r84[G068]; RationaleSheet_April20_v1!r59[G068] PyMuPDF source unit ERP-A290 (86:30:0;86:31:0;86:32:0;86:33:0;86:34:0;86:35:0;86:36:0)</x:v>
      </x:c>
      <x:c r="AA35" s="30" t="str">
        <x:v>Clear — no codebook example passage retained</x:v>
      </x:c>
    </x:row>
    <x:row r="36" ht="54" customHeight="1">
      <x:c r="A36" s="30" t="str">
        <x:v>ERP-035</x:v>
      </x:c>
      <x:c r="B36" s="30" t="str">
        <x:v>2:17-P1</x:v>
      </x:c>
      <x:c r="C36" s="30" t="str">
        <x:v>p 87</x:v>
      </x:c>
      <x:c r="D36" s="30" t="str">
        <x:v>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x:v>
      </x:c>
      <x:c r="E36" s="30" t="str">
        <x:v>ERP Report</x:v>
      </x:c>
      <x:c r="F36" s="30" t="str">
        <x:v>erpreport.pdf</x:v>
      </x:c>
      <x:c r="G36" s="30"/>
      <x:c r="H36" s="40"/>
      <x:c r="I36" s="40" t="str">
        <x:v>No</x:v>
      </x:c>
      <x:c r="J36" s="40" t="n">
        <x:v>0</x:v>
      </x:c>
      <x:c r="K36" s="40"/>
      <x:c r="L36" s="40"/>
      <x:c r="M36" s="40"/>
      <x:c r="N36" s="40"/>
      <x:c r="O36" s="30"/>
      <x:c r="P36" s="30" t="str">
        <x:v>The paragraph diagnoses fragmented and dysfunctional management but does not itself specify the replacement governance arrangement.</x:v>
      </x:c>
      <x:c r="Q36" s="30" t="str">
        <x:v>Paragraph-level source reconciliation and split adjudication (2026-08-14)</x:v>
      </x:c>
      <x:c r="R36" s="30" t="str">
        <x:v>Paragraph-level source reconciliation and split adjudication (2026-08-14)</x:v>
      </x:c>
      <x:c r="S36" s="40" t="str">
        <x:v>Yes</x:v>
      </x:c>
      <x:c r="T36" s="30" t="str">
        <x:v>Paragraph-level No was derived from the human-labeled parent span; confirm during team adjudication.</x:v>
      </x:c>
      <x:c r="U36" s="30" t="str">
        <x:v>Parent span Yes → child No</x:v>
      </x:c>
      <x:c r="V36" s="30" t="str">
        <x:v>Split from multi-paragraph source span</x:v>
      </x:c>
      <x:c r="W36" s="30" t="str">
        <x:v>Replaced the human-labeled parent span with source-aligned paragraph/list-unit child rows.</x:v>
      </x:c>
      <x:c r="X36" s="30" t="str">
        <x:v>Split the two-paragraph management parent span; retained the diagnosis as No. PyMuPDF source unit: ERP-A291; raw blocks/lines: 87:2:0;87:3:0;87:4:0;87:5:0;87:6:0</x:v>
      </x:c>
      <x:c r="Y36" s="30" t="str">
        <x:v>AnmolRationale_August12!r42 (G069; anmol): Yes [SELECTED] | ICAResults_25April2026!r71 (G069; kyle): Yes | RationaleSheet_April20_v1!r46 (G069; kyle): Yes 2026-08-14 paragraph split: original parent ERP-027 (Yes) was divided into child 1/2 and adjudicated No; original coder decisions apply to the parent span, not independently to this child.</x:v>
      </x:c>
      <x:c r="Z36" s="30" t="str">
        <x:v>AnmolRationale_August12!r42[G069]; ICAResults_25April2026!r71[G069]; RationaleSheet_April20_v1!r46[G069] PyMuPDF source unit ERP-A291 (87:2:0;87:3:0;87:4:0;87:5:0;87:6:0)</x:v>
      </x:c>
      <x:c r="AA36" s="30" t="str">
        <x:v>Clear — no codebook example passage retained</x:v>
      </x:c>
    </x:row>
    <x:row r="37" ht="54" customHeight="1">
      <x:c r="A37" s="30" t="str">
        <x:v>ERP-036</x:v>
      </x:c>
      <x:c r="B37" s="30" t="str">
        <x:v>2:17-P2</x:v>
      </x:c>
      <x:c r="C37" s="30" t="str">
        <x:v>p 87</x:v>
      </x:c>
      <x:c r="D37" s="30" t="str">
        <x:v>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x:v>
      </x:c>
      <x:c r="E37" s="30" t="str">
        <x:v>ERP Report</x:v>
      </x:c>
      <x:c r="F37" s="30" t="str">
        <x:v>erpreport.pdf</x:v>
      </x:c>
      <x:c r="G37" s="30"/>
      <x:c r="H37" s="40"/>
      <x:c r="I37" s="40" t="str">
        <x:v>Yes</x:v>
      </x:c>
      <x:c r="J37" s="40" t="n">
        <x:v>1</x:v>
      </x:c>
      <x:c r="K37" s="40"/>
      <x:c r="L37" s="40"/>
      <x:c r="M37" s="40"/>
      <x:c r="N37" s="40"/>
      <x:c r="O37" s="30" t="str">
        <x:v>Depth: Moderate depth, Nature: Technical Nature, Pillar: Discarding (Normative), Pillar: Realignment (Technical), Stakeholder: USACE, Unlearning</x:v>
      </x:c>
      <x:c r="P37" s="30" t="str">
        <x:v>The paragraph calls for correcting management deficiencies through a more unified approach to hurricane protection, providing the departure from fragmented management.</x:v>
      </x:c>
      <x:c r="Q37" s="30" t="str">
        <x:v>Paragraph-level source reconciliation and split adjudication (2026-08-14)</x:v>
      </x:c>
      <x:c r="R37" s="30" t="str">
        <x:v>Paragraph-level source reconciliation and split adjudication (2026-08-14)</x:v>
      </x:c>
      <x:c r="S37" s="40" t="str">
        <x:v>Yes</x:v>
      </x:c>
      <x:c r="T37" s="30" t="str">
        <x:v>The alternative is stated generally as a unified approach; confirm the paragraph-level Yes during team adjudication.</x:v>
      </x:c>
      <x:c r="U37" s="30" t="str">
        <x:v>Parent span Yes → child Yes</x:v>
      </x:c>
      <x:c r="V37" s="30" t="str">
        <x:v>Split from multi-paragraph source span</x:v>
      </x:c>
      <x:c r="W37" s="30" t="str">
        <x:v>Replaced the human-labeled parent span with source-aligned paragraph/list-unit child rows.</x:v>
      </x:c>
      <x:c r="X37" s="30" t="str">
        <x:v>Split the two-paragraph management parent span; retained the replacement-oriented paragraph as Yes. PyMuPDF source unit: ERP-A292; raw blocks/lines: 87:7:0;87:8:0;87:9:0;87:10:0;87:11:0</x:v>
      </x:c>
      <x:c r="Y37" s="30" t="str">
        <x:v>AnmolRationale_August12!r42 (G069; anmol): Yes [SELECTED] | ICAResults_25April2026!r71 (G069; kyle): Yes | RationaleSheet_April20_v1!r46 (G069; kyle): Yes 2026-08-14 paragraph split: original parent ERP-027 (Yes) was divided into child 2/2 and adjudicated Yes; original coder decisions apply to the parent span, not independently to this child.</x:v>
      </x:c>
      <x:c r="Z37" s="30" t="str">
        <x:v>AnmolRationale_August12!r42[G069]; ICAResults_25April2026!r71[G069]; RationaleSheet_April20_v1!r46[G069] PyMuPDF source unit ERP-A292 (87:7:0;87:8:0;87:9:0;87:10:0;87:11:0)</x:v>
      </x:c>
      <x:c r="AA37" s="30" t="str">
        <x:v>Clear — no codebook example passage retained</x:v>
      </x:c>
    </x:row>
    <x:row r="38" ht="54" customHeight="1">
      <x:c r="A38" s="30" t="str">
        <x:v>ERP-037</x:v>
      </x:c>
      <x:c r="B38" s="30" t="str">
        <x:v>2:18-P1</x:v>
      </x:c>
      <x:c r="C38" s="30" t="str">
        <x:v>p 89</x:v>
      </x:c>
      <x:c r="D38" s="30" t="str">
        <x:v>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x:v>
      </x:c>
      <x:c r="E38" s="30" t="str">
        <x:v>ERP Report</x:v>
      </x:c>
      <x:c r="F38" s="30" t="str">
        <x:v>erpreport.pdf</x:v>
      </x:c>
      <x:c r="G38" s="30"/>
      <x:c r="H38" s="40"/>
      <x:c r="I38" s="40" t="str">
        <x:v>No</x:v>
      </x:c>
      <x:c r="J38" s="40" t="n">
        <x:v>0</x:v>
      </x:c>
      <x:c r="K38" s="40"/>
      <x:c r="L38" s="40"/>
      <x:c r="M38" s="40"/>
      <x:c r="N38" s="40"/>
      <x:c r="O38" s="30"/>
      <x:c r="P38" s="30" t="str">
        <x:v>The paragraph states ASCE’s existing peer-review policy but does not identify a prior practice in this case as inadequate or call for a new departure.</x:v>
      </x:c>
      <x:c r="Q38" s="30" t="str">
        <x:v>Paragraph-level source reconciliation and split adjudication (2026-08-14)</x:v>
      </x:c>
      <x:c r="R38" s="30" t="str">
        <x:v>Paragraph-level source reconciliation and split adjudication (2026-08-14)</x:v>
      </x:c>
      <x:c r="S38" s="40" t="str">
        <x:v>Yes</x:v>
      </x:c>
      <x:c r="T38" s="30" t="str">
        <x:v>Paragraph-level No was derived from the human-labeled parent span; confirm during team adjudication.</x:v>
      </x:c>
      <x:c r="U38" s="30" t="str">
        <x:v>Parent span Yes → child No</x:v>
      </x:c>
      <x:c r="V38" s="30" t="str">
        <x:v>Split from multi-paragraph source span</x:v>
      </x:c>
      <x:c r="W38" s="30" t="str">
        <x:v>Replaced the human-labeled parent span with source-aligned paragraph/list-unit child rows.</x:v>
      </x:c>
      <x:c r="X38" s="30" t="str">
        <x:v>Split the three-paragraph external-review parent span; policy background coded No. PyMuPDF source unit: ERP-A302; raw blocks/lines: 89:16:0;89:17:0;89:18:0;89:19:0;89:20:0;89:21:0</x:v>
      </x:c>
      <x:c r="Y38" s="30" t="str">
        <x:v>AnmolRationale_August12!r43 (G070; anmol): Yes [SELECTED] | ICAResults_25April2026!r72 (G070; kyle): Yes | RationaleSheet_April20_v1!r47 (G070; kyle): Yes 2026-08-14 paragraph split: original parent ERP-028 (Yes) was divided into child 1/3 and adjudicated No; original coder decisions apply to the parent span, not independently to this child.</x:v>
      </x:c>
      <x:c r="Z38" s="30" t="str">
        <x:v>AnmolRationale_August12!r43[G070]; ICAResults_25April2026!r72[G070]; RationaleSheet_April20_v1!r47[G070] PyMuPDF source unit ERP-A302 (89:16:0;89:17:0;89:18:0;89:19:0;89:20:0;89:21:0)</x:v>
      </x:c>
      <x:c r="AA38" s="30" t="str">
        <x:v>Clear — no codebook example passage retained</x:v>
      </x:c>
    </x:row>
    <x:row r="39" ht="54" customHeight="1">
      <x:c r="A39" s="30" t="str">
        <x:v>ERP-038</x:v>
      </x:c>
      <x:c r="B39" s="30" t="str">
        <x:v>2:18-P2</x:v>
      </x:c>
      <x:c r="C39" s="30" t="str">
        <x:v>p 89</x:v>
      </x:c>
      <x:c r="D39" s="30" t="str">
        <x:v>The ASCE Hurricane Katrina External Review Panel believes that many of the major deficiencies in New Orleans’s hurricane protection system could have been avoided if the engineering plans and designs had undergone high-level, independent engineering review by external experts.</x:v>
      </x:c>
      <x:c r="E39" s="30" t="str">
        <x:v>ERP Report</x:v>
      </x:c>
      <x:c r="F39" s="30" t="str">
        <x:v>erpreport.pdf</x:v>
      </x:c>
      <x:c r="G39" s="30"/>
      <x:c r="H39" s="40"/>
      <x:c r="I39" s="40" t="str">
        <x:v>No</x:v>
      </x:c>
      <x:c r="J39" s="40" t="n">
        <x:v>0</x:v>
      </x:c>
      <x:c r="K39" s="40"/>
      <x:c r="L39" s="40"/>
      <x:c r="M39" s="40"/>
      <x:c r="N39" s="40"/>
      <x:c r="O39" s="30"/>
      <x:c r="P39" s="30" t="str">
        <x:v>The paragraph states that external review could have prevented deficiencies, but it remains a retrospective counterfactual rather than a direct call to replace a practice.</x:v>
      </x:c>
      <x:c r="Q39" s="30" t="str">
        <x:v>Paragraph-level source reconciliation and split adjudication (2026-08-14)</x:v>
      </x:c>
      <x:c r="R39" s="30" t="str">
        <x:v>Paragraph-level source reconciliation and split adjudication (2026-08-14)</x:v>
      </x:c>
      <x:c r="S39" s="40" t="str">
        <x:v>Yes</x:v>
      </x:c>
      <x:c r="T39" s="30" t="str">
        <x:v>Strong boundary case: the counterfactual implies a different practice but does not directly recommend it; confirm during team adjudication.</x:v>
      </x:c>
      <x:c r="U39" s="30" t="str">
        <x:v>Parent span Yes → child No</x:v>
      </x:c>
      <x:c r="V39" s="30" t="str">
        <x:v>Split from multi-paragraph source span</x:v>
      </x:c>
      <x:c r="W39" s="30" t="str">
        <x:v>Replaced the human-labeled parent span with source-aligned paragraph/list-unit child rows.</x:v>
      </x:c>
      <x:c r="X39" s="30" t="str">
        <x:v>Split the three-paragraph external-review parent span; counterfactual paragraph coded No. PyMuPDF source unit: ERP-A303; raw blocks/lines: 89:22:0;89:23:0;89:24:0;89:25:0</x:v>
      </x:c>
      <x:c r="Y39" s="30" t="str">
        <x:v>AnmolRationale_August12!r43 (G070; anmol): Yes [SELECTED] | ICAResults_25April2026!r72 (G070; kyle): Yes | RationaleSheet_April20_v1!r47 (G070; kyle): Yes 2026-08-14 paragraph split: original parent ERP-028 (Yes) was divided into child 2/3 and adjudicated No; original coder decisions apply to the parent span, not independently to this child.</x:v>
      </x:c>
      <x:c r="Z39" s="30" t="str">
        <x:v>AnmolRationale_August12!r43[G070]; ICAResults_25April2026!r72[G070]; RationaleSheet_April20_v1!r47[G070] PyMuPDF source unit ERP-A303 (89:22:0;89:23:0;89:24:0;89:25:0)</x:v>
      </x:c>
      <x:c r="AA39" s="30" t="str">
        <x:v>Clear — no codebook example passage retained</x:v>
      </x:c>
    </x:row>
    <x:row r="40" ht="54" customHeight="1">
      <x:c r="A40" s="30" t="str">
        <x:v>ERP-039</x:v>
      </x:c>
      <x:c r="B40" s="30" t="str">
        <x:v>2:18-P3</x:v>
      </x:c>
      <x:c r="C40" s="30" t="str">
        <x:v>p 89</x:v>
      </x:c>
      <x:c r="D40" s="30" t="str">
        <x:v>Agencies responsible for design of hurricane and flood protection systems and other critical life-safety structures should engage independent experts in high-level review of every project.</x:v>
      </x:c>
      <x:c r="E40" s="30" t="str">
        <x:v>ERP Report</x:v>
      </x:c>
      <x:c r="F40" s="30" t="str">
        <x:v>erpreport.pdf</x:v>
      </x:c>
      <x:c r="G40" s="30"/>
      <x:c r="H40" s="40"/>
      <x:c r="I40" s="40" t="str">
        <x:v>Yes</x:v>
      </x:c>
      <x:c r="J40" s="40" t="n">
        <x:v>1</x:v>
      </x:c>
      <x:c r="K40" s="40"/>
      <x:c r="L40" s="40"/>
      <x:c r="M40" s="40"/>
      <x:c r="N40" s="40"/>
      <x:c r="O40" s="30" t="str">
        <x:v>Depth: High depth, Nature: Technical Nature, Pillar: Realignment (Technical), Stakeholder: USACE, Unlearning</x:v>
      </x:c>
      <x:c r="P40" s="30" t="str">
        <x:v>The paragraph directly calls on responsible agencies to engage independent experts in high-level review of every project, replacing the absence of systematic external review.</x:v>
      </x:c>
      <x:c r="Q40" s="30" t="str">
        <x:v>Paragraph-level source reconciliation and split adjudication (2026-08-14)</x:v>
      </x:c>
      <x:c r="R40" s="30" t="str">
        <x:v>Paragraph-level source reconciliation and split adjudication (2026-08-14)</x:v>
      </x:c>
      <x:c r="S40" s="40" t="str">
        <x:v>Yes</x:v>
      </x:c>
      <x:c r="T40" s="30" t="str">
        <x:v>Paragraph-level Yes was derived from the human-labeled parent span and rationale; confirm during team adjudication.</x:v>
      </x:c>
      <x:c r="U40" s="30" t="str">
        <x:v>Parent span Yes → child Yes</x:v>
      </x:c>
      <x:c r="V40" s="30" t="str">
        <x:v>Split from multi-paragraph source span</x:v>
      </x:c>
      <x:c r="W40" s="30" t="str">
        <x:v>Replaced the human-labeled parent span with source-aligned paragraph/list-unit child rows.</x:v>
      </x:c>
      <x:c r="X40" s="30" t="str">
        <x:v>Split the three-paragraph external-review parent span; direct recommendation coded Yes. PyMuPDF source unit: ERP-A304; raw blocks/lines: 89:26:0;89:27:0;89:28:0</x:v>
      </x:c>
      <x:c r="Y40" s="30" t="str">
        <x:v>AnmolRationale_August12!r43 (G070; anmol): Yes [SELECTED] | ICAResults_25April2026!r72 (G070; kyle): Yes | RationaleSheet_April20_v1!r47 (G070; kyle): Yes 2026-08-14 paragraph split: original parent ERP-028 (Yes) was divided into child 3/3 and adjudicated Yes; original coder decisions apply to the parent span, not independently to this child.</x:v>
      </x:c>
      <x:c r="Z40" s="30" t="str">
        <x:v>AnmolRationale_August12!r43[G070]; ICAResults_25April2026!r72[G070]; RationaleSheet_April20_v1!r47[G070] PyMuPDF source unit ERP-A304 (89:26:0;89:27:0;89:28:0)</x:v>
      </x:c>
      <x:c r="AA40" s="30" t="str">
        <x:v>Clear — no codebook example passage retained</x:v>
      </x:c>
    </x:row>
    <x:row r="41" ht="54" customHeight="1">
      <x:c r="A41" s="30" t="str">
        <x:v>GAO-001</x:v>
      </x:c>
      <x:c r="B41" s="30" t="str">
        <x:v>12:8</x:v>
      </x:c>
      <x:c r="C41" s="30" t="str">
        <x:v>p 5</x:v>
      </x:c>
      <x:c r="D41" s="30" t="str">
        <x:v>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x:v>
      </x:c>
      <x:c r="E41" s="30" t="str">
        <x:v>GAO</x:v>
      </x:c>
      <x:c r="F41" s="30" t="str">
        <x:v>gao-06-365r.pdf</x:v>
      </x:c>
      <x:c r="G41" s="30" t="str">
        <x:v>Yes</x:v>
      </x:c>
      <x:c r="H41" s="40" t="n">
        <x:v>1</x:v>
      </x:c>
      <x:c r="I41" s="40" t="str">
        <x:v>Yes</x:v>
      </x:c>
      <x:c r="J41" s="40" t="n">
        <x:v>1</x:v>
      </x:c>
      <x:c r="K41" s="40" t="str">
        <x:v>Yes</x:v>
      </x:c>
      <x:c r="L41" s="40"/>
      <x:c r="M41" s="40"/>
      <x:c r="N41" s="40" t="str">
        <x:v>anmol</x:v>
      </x:c>
      <x:c r="O41" s="30" t="str">
        <x:v>Unlearning</x:v>
      </x:c>
      <x:c r="P41" s="30" t="str">
        <x:v>Unlearning. It identifies the lack of plans as a problem and makes a case for detailed plans that delineate capabilities as well as training exercises/</x:v>
      </x:c>
      <x:c r="Q41" s="30" t="str">
        <x:v>AnmolRationale_August12!row 11 (Latest Anmol August 12 re-evaluation)</x:v>
      </x:c>
      <x:c r="R41" s="30" t="str">
        <x:v>AnmolRationale_August12!row 11</x:v>
      </x:c>
      <x:c r="S41" s="40" t="str">
        <x:v>Yes</x:v>
      </x:c>
      <x:c r="T41" s="30" t="str">
        <x:v>The referenced source file gao-06-365r.pdf was not among the five supplied PDFs, so paragraph boundaries and text could not be verified with PyMuPDF.</x:v>
      </x:c>
      <x:c r="U41" s="30"/>
      <x:c r="V41" s="30" t="str">
        <x:v>None</x:v>
      </x:c>
      <x:c r="W41" s="30"/>
      <x:c r="X41" s="30" t="str">
        <x:v>Source PDF not supplied; retained existing passage. PyMuPDF source unit: unverified.</x:v>
      </x:c>
      <x:c r="Y41" s="30" t="str">
        <x:v>AnmolRationale_August12!r11 (G071; anmol): Yes [SELECTED]</x:v>
      </x:c>
      <x:c r="Z41" s="30" t="str">
        <x:v>AnmolRationale_August12!r11[G071] Source PDF not supplied for PyMuPDF verification</x:v>
      </x:c>
      <x:c r="AA41" s="30" t="str">
        <x:v>Clear — no codebook example passage retained</x:v>
      </x:c>
    </x:row>
    <x:row r="42" ht="54" customHeight="1">
      <x:c r="A42" s="30" t="str">
        <x:v>GAO-002</x:v>
      </x:c>
      <x:c r="B42" s="30" t="str">
        <x:v>12:4</x:v>
      </x:c>
      <x:c r="C42" s="30" t="str">
        <x:v>p 6</x:v>
      </x:c>
      <x:c r="D42" s="30" t="str">
        <x:v>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x:v>
      </x:c>
      <x:c r="E42" s="30" t="str">
        <x:v>GAO</x:v>
      </x:c>
      <x:c r="F42" s="30" t="str">
        <x:v>gao-06-365r.pdf</x:v>
      </x:c>
      <x:c r="G42" s="30" t="str">
        <x:v>Yes</x:v>
      </x:c>
      <x:c r="H42" s="40" t="n">
        <x:v>1</x:v>
      </x:c>
      <x:c r="I42" s="40" t="str">
        <x:v>Yes</x:v>
      </x:c>
      <x:c r="J42" s="40" t="n">
        <x:v>1</x:v>
      </x:c>
      <x:c r="K42" s="40" t="str">
        <x:v>Yes</x:v>
      </x:c>
      <x:c r="L42" s="40"/>
      <x:c r="M42" s="40" t="str">
        <x:v>Yes</x:v>
      </x:c>
      <x:c r="N42" s="40" t="str">
        <x:v>anmol</x:v>
      </x:c>
      <x:c r="O42" s="30" t="str">
        <x:v>Depth: High depth, Nature: Normative Nature, Pillar: Reconsidering (Epistemic), Unlearning</x:v>
      </x:c>
      <x:c r="P42" s="30" t="str">
        <x:v>Unlearning, as it makes a case for removing the business-as-usual approach for catastrophic events inlcuding emergency communications, continuity adn logistics and distributions.</x:v>
      </x:c>
      <x:c r="Q42" s="30" t="str">
        <x:v>AnmolRationale_August12!row 8 (Latest Anmol August 12 re-evaluation)</x:v>
      </x:c>
      <x:c r="R42" s="30" t="str">
        <x:v>AnmolRationale_August12!row 8</x:v>
      </x:c>
      <x:c r="S42" s="40" t="str">
        <x:v>Yes</x:v>
      </x:c>
      <x:c r="T42" s="30" t="str">
        <x:v>The referenced source file gao-06-365r.pdf was not among the five supplied PDFs, so paragraph boundaries and text could not be verified with PyMuPDF.</x:v>
      </x:c>
      <x:c r="U42" s="30"/>
      <x:c r="V42" s="30" t="str">
        <x:v>Exact annotation duplicate</x:v>
      </x:c>
      <x:c r="W42" s="30" t="str">
        <x:v>Consolidated exact duplicate annotations from multiple sheets into one passage row.</x:v>
      </x:c>
      <x:c r="X42" s="30" t="str">
        <x:v>Source PDF not supplied; retained existing passage. PyMuPDF source unit: unverified.</x:v>
      </x:c>
      <x:c r="Y42" s="30" t="str">
        <x:v>AnmolRationale_August12!r8 (G078; anmol): Yes [SELECTED] | ICAResults_25April2026!r32 (G078; kyle): Yes | RationaleSheet_April20_v1!r63 (G078; kyle): Yes</x:v>
      </x:c>
      <x:c r="Z42" s="30" t="str">
        <x:v>AnmolRationale_August12!r8[G078]; ICAResults_25April2026!r32[G078]; RationaleSheet_April20_v1!r63[G078] Source PDF not supplied for PyMuPDF verification</x:v>
      </x:c>
      <x:c r="AA42" s="30" t="str">
        <x:v>Clear — no codebook example passage retained</x:v>
      </x:c>
    </x:row>
    <x:row r="43" ht="54" customHeight="1">
      <x:c r="A43" s="30" t="str">
        <x:v>GAO-003</x:v>
      </x:c>
      <x:c r="B43" s="30" t="str">
        <x:v>12:6</x:v>
      </x:c>
      <x:c r="C43" s="30" t="str">
        <x:v>pp 7-8</x:v>
      </x:c>
      <x:c r="D43" s="30" t="str">
        <x:v>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x:v>
      </x:c>
      <x:c r="E43" s="30" t="str">
        <x:v>GAO</x:v>
      </x:c>
      <x:c r="F43" s="30" t="str">
        <x:v>gao-06-365r.pdf</x:v>
      </x:c>
      <x:c r="G43" s="30" t="str">
        <x:v>Yes</x:v>
      </x:c>
      <x:c r="H43" s="40" t="n">
        <x:v>1</x:v>
      </x:c>
      <x:c r="I43" s="40" t="str">
        <x:v>Yes</x:v>
      </x:c>
      <x:c r="J43" s="40" t="n">
        <x:v>1</x:v>
      </x:c>
      <x:c r="K43" s="40" t="str">
        <x:v>Yes</x:v>
      </x:c>
      <x:c r="L43" s="40"/>
      <x:c r="M43" s="40" t="str">
        <x:v>Yes</x:v>
      </x:c>
      <x:c r="N43" s="40" t="str">
        <x:v>anmol</x:v>
      </x:c>
      <x:c r="O43" s="30" t="str">
        <x:v>Depth: Moderate depth, Nature: Normative Nature, Pillar: Discarding (Normative), Unlearning</x:v>
      </x:c>
      <x:c r="P43" s="30" t="str">
        <x:v>Unlearning as it identifies departure from past practices of disaster response wherein evucation capabilities include special needs population.</x:v>
      </x:c>
      <x:c r="Q43" s="30" t="str">
        <x:v>AnmolRationale_August12!row 9 (Latest Anmol August 12 re-evaluation)</x:v>
      </x:c>
      <x:c r="R43" s="30" t="str">
        <x:v>AnmolRationale_August12!row 9</x:v>
      </x:c>
      <x:c r="S43" s="40" t="str">
        <x:v>Yes</x:v>
      </x:c>
      <x:c r="T43" s="30" t="str">
        <x:v>The referenced source file gao-06-365r.pdf was not among the five supplied PDFs, so paragraph boundaries and text could not be verified with PyMuPDF.</x:v>
      </x:c>
      <x:c r="U43" s="30"/>
      <x:c r="V43" s="30" t="str">
        <x:v>Exact annotation duplicate</x:v>
      </x:c>
      <x:c r="W43" s="30" t="str">
        <x:v>Consolidated exact duplicate annotations from multiple sheets into one passage row.</x:v>
      </x:c>
      <x:c r="X43" s="30" t="str">
        <x:v>Removed embedded PDF page header/footer Source PDF not supplied; retained existing passage. PyMuPDF source unit: unverified.</x:v>
      </x:c>
      <x:c r="Y43" s="30" t="str">
        <x:v>AnmolRationale_August12!r9 (G074; anmol): Yes [SELECTED] | ICAResults_25April2026!r34 (G074; kyle): Yes | RationaleSheet_April20_v1!r65 (G074; kyle): Yes</x:v>
      </x:c>
      <x:c r="Z43" s="30" t="str">
        <x:v>AnmolRationale_August12!r9[G074]; ICAResults_25April2026!r34[G074]; RationaleSheet_April20_v1!r65[G074] Source PDF not supplied for PyMuPDF verification</x:v>
      </x:c>
      <x:c r="AA43" s="30" t="str">
        <x:v>Clear — no codebook example passage retained</x:v>
      </x:c>
    </x:row>
    <x:row r="44" ht="54" customHeight="1">
      <x:c r="A44" s="30" t="str">
        <x:v>EPA-001</x:v>
      </x:c>
      <x:c r="B44" s="30" t="str">
        <x:v>1:1</x:v>
      </x:c>
      <x:c r="C44" s="30" t="str">
        <x:v>p 3</x:v>
      </x:c>
      <x:c r="D44" s="30" t="str">
        <x:v>•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E44" s="30" t="str">
        <x:v>EPA</x:v>
      </x:c>
      <x:c r="F44" s="30" t="str">
        <x:v>EPA 20060914-2006-p-00033.pdf</x:v>
      </x:c>
      <x:c r="G44" s="30" t="str">
        <x:v>No</x:v>
      </x:c>
      <x:c r="H44" s="40" t="n">
        <x:v>0</x:v>
      </x:c>
      <x:c r="I44" s="40" t="str">
        <x:v>No</x:v>
      </x:c>
      <x:c r="J44" s="40" t="n">
        <x:v>0</x:v>
      </x:c>
      <x:c r="K44" s="40" t="str">
        <x:v>No</x:v>
      </x:c>
      <x:c r="L44" s="40"/>
      <x:c r="M44" s="40"/>
      <x:c r="N44" s="40" t="str">
        <x:v>anmol</x:v>
      </x:c>
      <x:c r="O44" s="30"/>
      <x:c r="P44" s="30" t="str">
        <x:v>I woudng classify this as unlearning. I identifies a problem but doesnt call for abandoning anything. It ask for additiv change or improved coordination.</x:v>
      </x:c>
      <x:c r="Q44" s="30" t="str">
        <x:v>AnmolRationale_August12!row 2 (Latest Anmol August 12 re-evaluation)</x:v>
      </x:c>
      <x:c r="R44" s="30" t="str">
        <x:v>AnmolRationale_August12!row 2</x:v>
      </x:c>
      <x:c r="S44" s="40" t="str">
        <x:v>No</x:v>
      </x:c>
      <x:c r="T44" s="30"/>
      <x:c r="U44" s="30"/>
      <x:c r="V44" s="30" t="str">
        <x:v>Exact annotation duplicate</x:v>
      </x:c>
      <x:c r="W44" s="30" t="str">
        <x:v>Consolidated exact duplicate annotations from multiple sheets into one passage row.</x:v>
      </x:c>
      <x:c r="X44" s="30" t="str">
        <x:v>Aligned to the full overview bullet on page 3. PyMuPDF source unit: EPA-A004; raw blocks/lines: 3:13</x:v>
      </x:c>
      <x:c r="Y44" s="30" t="str">
        <x:v>AnmolRationale_August12!r2 (G022; anmol): No [SELECTED] | ICAResults_25April2026!r2 (G022; anmol): No | RationaleSheet_April20_v1!r2 (G022; anmol): No</x:v>
      </x:c>
      <x:c r="Z44" s="30" t="str">
        <x:v>AnmolRationale_August12!r2[G022]; ICAResults_25April2026!r2[G022]; RationaleSheet_April20_v1!r2[G022] PyMuPDF source unit EPA-A004 (3:13)</x:v>
      </x:c>
      <x:c r="AA44" s="30" t="str">
        <x:v>Clear — no codebook example passage retained</x:v>
      </x:c>
    </x:row>
    <x:row r="45" ht="54" customHeight="1">
      <x:c r="A45" s="30" t="str">
        <x:v>EPA-002</x:v>
      </x:c>
      <x:c r="B45" s="30" t="str">
        <x:v>EPA-Re:P4</x:v>
      </x:c>
      <x:c r="C45" s="30" t="str">
        <x:v>p 4</x:v>
      </x:c>
      <x:c r="D45" s="30" t="str">
        <x:v>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x:v>
      </x:c>
      <x:c r="E45" s="30" t="str">
        <x:v>EPA</x:v>
      </x:c>
      <x:c r="F45" s="30" t="str">
        <x:v>EPA</x:v>
      </x:c>
      <x:c r="G45" s="30" t="str">
        <x:v>No</x:v>
      </x:c>
      <x:c r="H45" s="40" t="n">
        <x:v>0</x:v>
      </x:c>
      <x:c r="I45" s="40" t="str">
        <x:v>No</x:v>
      </x:c>
      <x:c r="J45" s="40" t="n">
        <x:v>0</x:v>
      </x:c>
      <x:c r="K45" s="40"/>
      <x:c r="L45" s="40" t="str">
        <x:v>No</x:v>
      </x:c>
      <x:c r="M45" s="40"/>
      <x:c r="N45" s="40" t="str">
        <x:v>prerana</x:v>
      </x:c>
      <x:c r="O45" s="30"/>
      <x:c r="P45" s="30" t="str">
        <x:v>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x:v>
      </x:c>
      <x:c r="Q45" s="30" t="str">
        <x:v>EPA Re Prerana!row 3 (latest Prerana assessment)</x:v>
      </x:c>
      <x:c r="R45" s="30" t="str">
        <x:v>EPA Re Prerana!row 3</x:v>
      </x:c>
      <x:c r="S45" s="40" t="str">
        <x:v>Yes</x:v>
      </x:c>
      <x:c r="T45" s="30" t="str">
        <x:v>New EPA passage added by Prerana. Strong boundary case; retained as New Gold = No because the sheet explicitly says 'Not strictly Unlearning.' This passage appears to come from a different EPA drinking-water report; the corresponding source PDF was not supplied, so it could not be verified with PyMuPDF.</x:v>
      </x:c>
      <x:c r="U45" s="30" t="str">
        <x:v>New passage: No → No</x:v>
      </x:c>
      <x:c r="V45" s="30" t="str">
        <x:v>None</x:v>
      </x:c>
      <x:c r="W45" s="30" t="str">
        <x:v>Added as a new unique EPA passage after exact, near-duplicate, parent-child, and codebook-example leakage checks.</x:v>
      </x:c>
      <x:c r="X45" s="30" t="str">
        <x:v>Source PDF not supplied; retained existing passage. PyMuPDF source unit: unverified.</x:v>
      </x:c>
      <x:c r="Y45" s="30" t="str">
        <x:v>EPA Re Prerana!r3 (prerana): No [LATEST/SELECTED]</x:v>
      </x:c>
      <x:c r="Z45" s="30" t="str">
        <x:v>EPA Re Prerana!r3 Source PDF not supplied for PyMuPDF verification</x:v>
      </x:c>
      <x:c r="AA45" s="30" t="str">
        <x:v>Clear — no revised-codebook example passage retained</x:v>
      </x:c>
    </x:row>
    <x:row r="46" ht="54" customHeight="1">
      <x:c r="A46" s="30" t="str">
        <x:v>EPA-003</x:v>
      </x:c>
      <x:c r="B46" s="30" t="str">
        <x:v>EPA-Re:P5</x:v>
      </x:c>
      <x:c r="C46" s="30" t="str">
        <x:v>p 5</x:v>
      </x:c>
      <x:c r="D46" s="30" t="str">
        <x:v>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x:v>
      </x:c>
      <x:c r="E46" s="30" t="str">
        <x:v>EPA</x:v>
      </x:c>
      <x:c r="F46" s="30" t="str">
        <x:v>EPA</x:v>
      </x:c>
      <x:c r="G46" s="30" t="str">
        <x:v>No</x:v>
      </x:c>
      <x:c r="H46" s="40" t="n">
        <x:v>0</x:v>
      </x:c>
      <x:c r="I46" s="40" t="str">
        <x:v>Yes</x:v>
      </x:c>
      <x:c r="J46" s="40" t="n">
        <x:v>1</x:v>
      </x:c>
      <x:c r="K46" s="40"/>
      <x:c r="L46" s="40" t="str">
        <x:v>Yes</x:v>
      </x:c>
      <x:c r="M46" s="40"/>
      <x:c r="N46" s="40" t="str">
        <x:v>prerana</x:v>
      </x:c>
      <x:c r="O46" s="30" t="str">
        <x:v>Unlearning; Target: Capabilities; possible weak signal</x:v>
      </x:c>
      <x:c r="P46" s="30" t="str">
        <x:v>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x:v>
      </x:c>
      <x:c r="Q46" s="30" t="str">
        <x:v>EPA Re Prerana!row 4 (latest Prerana assessment)</x:v>
      </x:c>
      <x:c r="R46" s="30" t="str">
        <x:v>EPA Re Prerana!row 4</x:v>
      </x:c>
      <x:c r="S46" s="40" t="str">
        <x:v>Yes</x:v>
      </x:c>
      <x:c r="T46" s="30" t="str">
        <x:v>New EPA passage. The Codes cell is positive, but the rationale states that no replacement or fundamental revision is called for; New Gold = Yes follows the latest Prerana code and is flagged as a weak/borderline signal. This passage appears to come from a different EPA drinking-water report; the corresponding source PDF was not supplied, so it could not be verified with PyMuPDF.</x:v>
      </x:c>
      <x:c r="U46" s="30" t="str">
        <x:v>New passage: No → Yes</x:v>
      </x:c>
      <x:c r="V46" s="30" t="str">
        <x:v>None</x:v>
      </x:c>
      <x:c r="W46" s="30" t="str">
        <x:v>Added as a new unique EPA passage after exact, near-duplicate, parent-child, and codebook-example leakage checks.</x:v>
      </x:c>
      <x:c r="X46" s="30" t="str">
        <x:v>Source PDF not supplied; retained existing passage. PyMuPDF source unit: unverified.</x:v>
      </x:c>
      <x:c r="Y46" s="30" t="str">
        <x:v>EPA Re Prerana!r4 (prerana): Yes [LATEST/SELECTED]</x:v>
      </x:c>
      <x:c r="Z46" s="30" t="str">
        <x:v>EPA Re Prerana!r4 Source PDF not supplied for PyMuPDF verification</x:v>
      </x:c>
      <x:c r="AA46" s="30" t="str">
        <x:v>Clear — no revised-codebook example passage retained</x:v>
      </x:c>
    </x:row>
    <x:row r="47" ht="54" customHeight="1">
      <x:c r="A47" s="30" t="str">
        <x:v>EPA-004</x:v>
      </x:c>
      <x:c r="B47" s="30" t="str">
        <x:v>1:6</x:v>
      </x:c>
      <x:c r="C47" s="30" t="str">
        <x:v>p 7</x:v>
      </x:c>
      <x:c r="D47" s="30"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c r="E47" s="30" t="str">
        <x:v>EPA</x:v>
      </x:c>
      <x:c r="F47" s="30" t="str">
        <x:v>EPA 20060914-2006-p-00033.pdf</x:v>
      </x:c>
      <x:c r="G47" s="30" t="str">
        <x:v>Yes</x:v>
      </x:c>
      <x:c r="H47" s="40" t="n">
        <x:v>1</x:v>
      </x:c>
      <x:c r="I47" s="40" t="str">
        <x:v>No</x:v>
      </x:c>
      <x:c r="J47" s="40" t="n">
        <x:v>0</x:v>
      </x:c>
      <x:c r="K47" s="40"/>
      <x:c r="L47" s="40" t="str">
        <x:v>No</x:v>
      </x:c>
      <x:c r="M47" s="40"/>
      <x:c r="N47" s="40" t="str">
        <x:v>prerana</x:v>
      </x:c>
      <x:c r="O47" s="30"/>
      <x:c r="P47" s="30" t="str">
        <x:v>This passage evaluates whether EPA followed existing emergency-response protocols and previously learned lessons. It does not identify those protocols or their underlying assumptions as inadequate, nor call for their abandonment, replacement, or fundamental revision.</x:v>
      </x:c>
      <x:c r="Q47" s="30" t="str">
        <x:v>EPA Re Prerana!row 2 (latest Prerana re-evaluation)</x:v>
      </x:c>
      <x:c r="R47" s="30" t="str">
        <x:v>EPA Re Prerana!row 2</x:v>
      </x:c>
      <x:c r="S47" s="40" t="str">
        <x:v>Yes</x:v>
      </x:c>
      <x:c r="T47" s="30" t="str">
        <x:v>Prerana re-evaluated ICA 1:6 as Not Unlearning under the revised codebook; old gold was Yes and new gold is No. The cropped source excerpt was replaced with the fuller p. 7 sentence from EPA Re Prerana. The supplied excerpt and the attached page-7 paragraph share the same evaluation question but have different final wording; verify that this is the intended source paragraph.</x:v>
      </x:c>
      <x:c r="U47" s="30" t="str">
        <x:v>Yes → No</x:v>
      </x:c>
      <x:c r="V47" s="30" t="str">
        <x:v>Re-evaluated text variant</x:v>
      </x:c>
      <x:c r="W47" s="30" t="str">
        <x:v>Matched EPA Re Prerana p. 7 to existing ICAResults_25April2026 annotation 1:6; retained one passage row.</x:v>
      </x:c>
      <x:c r="X47" s="30" t="str">
        <x:v>Replaced the cropped 'ollowed...' excerpt with the complete sentence supplied in EPA Re Prerana. Expanded the question-like excerpt to the closest complete source paragraph on page 7. PyMuPDF source unit: EPA-A013; raw blocks/lines: 7:5</x:v>
      </x:c>
      <x:c r="Y47" s="30" t="str">
        <x:v>ICAResults_25April2026!r7 (G023; prerana): Yes [SELECTED] | EPA Re Prerana!r2 (prerana): No [LATEST PRERANA]</x:v>
      </x:c>
      <x:c r="Z47" s="30" t="str">
        <x:v>ICAResults_25April2026!r7[G023]; EPA Re Prerana!r2 PyMuPDF source unit EPA-A013 (7:5)</x:v>
      </x:c>
      <x:c r="AA47" s="30" t="str">
        <x:v>Clear — no codebook example passage retained</x:v>
      </x:c>
    </x:row>
    <x:row r="48" ht="54" customHeight="1">
      <x:c r="A48" s="30" t="str">
        <x:v>EPA-005</x:v>
      </x:c>
      <x:c r="B48" s="30" t="str">
        <x:v>1:2-P1</x:v>
      </x:c>
      <x:c r="C48" s="30" t="str">
        <x:v>p 9</x:v>
      </x:c>
      <x:c r="D48" s="30" t="str">
        <x:v>EPA officials told us that, in some instances, coordination could be improved for future disaster responses. Areas where coordination could be improved occurred with respect to both the drinking water and wastewater responses.</x:v>
      </x:c>
      <x:c r="E48" s="30" t="str">
        <x:v>EPA</x:v>
      </x:c>
      <x:c r="F48" s="30" t="str">
        <x:v>EPA 20060914-2006-p-00033.pdf</x:v>
      </x:c>
      <x:c r="G48" s="30"/>
      <x:c r="H48" s="40"/>
      <x:c r="I48" s="40" t="str">
        <x:v>No</x:v>
      </x:c>
      <x:c r="J48" s="40" t="n">
        <x:v>0</x:v>
      </x:c>
      <x:c r="K48" s="40"/>
      <x:c r="L48" s="40"/>
      <x:c r="M48" s="40"/>
      <x:c r="N48" s="40"/>
      <x:c r="O48" s="30"/>
      <x:c r="P48" s="30" t="str">
        <x:v>The paragraph says coordination could be improved, but it only identifies a broad problem area and does not call for discarding or replacing a prior practice.</x:v>
      </x:c>
      <x:c r="Q48" s="30" t="str">
        <x:v>Paragraph-level source reconciliation and split adjudication (2026-08-14)</x:v>
      </x:c>
      <x:c r="R48" s="30" t="str">
        <x:v>Paragraph-level source reconciliation and split adjudication (2026-08-14)</x:v>
      </x:c>
      <x:c r="S48" s="40" t="str">
        <x:v>Yes</x:v>
      </x:c>
      <x:c r="T48" s="30" t="str">
        <x:v>Paragraph-level No was derived from a human-labeled multi-paragraph parent span; confirm during team adjudication.</x:v>
      </x:c>
      <x:c r="U48" s="30" t="str">
        <x:v>Parent span No → child No</x:v>
      </x:c>
      <x:c r="V48" s="30" t="str">
        <x:v>Split from multi-paragraph source span</x:v>
      </x:c>
      <x:c r="W48" s="30" t="str">
        <x:v>Replaced the human-labeled parent span with source-aligned paragraph/list-unit child rows.</x:v>
      </x:c>
      <x:c r="X48" s="30" t="str">
        <x:v>Removed the section heading and split the four-paragraph parent span into paragraph 1 of 4. PyMuPDF source unit: EPA-A027; raw blocks/lines: 9:11</x:v>
      </x:c>
      <x:c r="Y48" s="30" t="str">
        <x:v>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1/4 and adjudicated No; original coder decisions apply to the parent span, not independently to this child.</x:v>
      </x:c>
      <x:c r="Z48" s="30" t="str">
        <x:v>AnmolRationale_August12!r3[G004]; ICAResults_25April2026!r3[G003]; ICAResults_25April2026!r13[G005]; ICAResults_25April2026!r26[G008]; RationaleSheet_April20_v1!r3[G004]; RationaleSheet_April20_v1!r29[G008]; User-confirmed Prerana EPA re-evaluation [1:12] PyMuPDF source unit EPA-A027 (9:11)</x:v>
      </x:c>
      <x:c r="AA48" s="30" t="str">
        <x:v>Clear — no codebook example passage retained</x:v>
      </x:c>
    </x:row>
    <x:row r="49" ht="54" customHeight="1">
      <x:c r="A49" s="30" t="str">
        <x:v>EPA-006</x:v>
      </x:c>
      <x:c r="B49" s="30" t="str">
        <x:v>1:2-P2</x:v>
      </x:c>
      <x:c r="C49" s="30" t="str">
        <x:v>p 9</x:v>
      </x:c>
      <x:c r="D49" s="30" t="str">
        <x:v>EPA regional officials and USACE district officials informed us of coordination problems between the EPA and USACE at the beginning of the response.</x:v>
      </x:c>
      <x:c r="E49" s="30" t="str">
        <x:v>EPA</x:v>
      </x:c>
      <x:c r="F49" s="30" t="str">
        <x:v>EPA 20060914-2006-p-00033.pdf</x:v>
      </x:c>
      <x:c r="G49" s="30"/>
      <x:c r="H49" s="40"/>
      <x:c r="I49" s="40" t="str">
        <x:v>No</x:v>
      </x:c>
      <x:c r="J49" s="40" t="n">
        <x:v>0</x:v>
      </x:c>
      <x:c r="K49" s="40"/>
      <x:c r="L49" s="40"/>
      <x:c r="M49" s="40"/>
      <x:c r="N49" s="40"/>
      <x:c r="O49" s="30"/>
      <x:c r="P49" s="30" t="str">
        <x:v>The paragraph reports coordination problems at the beginning of the response but does not state a replacement practice.</x:v>
      </x:c>
      <x:c r="Q49" s="30" t="str">
        <x:v>Paragraph-level source reconciliation and split adjudication (2026-08-14)</x:v>
      </x:c>
      <x:c r="R49" s="30" t="str">
        <x:v>Paragraph-level source reconciliation and split adjudication (2026-08-14)</x:v>
      </x:c>
      <x:c r="S49" s="40" t="str">
        <x:v>Yes</x:v>
      </x:c>
      <x:c r="T49" s="30" t="str">
        <x:v>Paragraph-level No was derived from a human-labeled multi-paragraph parent span; confirm during team adjudication.</x:v>
      </x:c>
      <x:c r="U49" s="30" t="str">
        <x:v>Parent span No → child No</x:v>
      </x:c>
      <x:c r="V49" s="30" t="str">
        <x:v>Split from multi-paragraph source span</x:v>
      </x:c>
      <x:c r="W49" s="30" t="str">
        <x:v>Replaced the human-labeled parent span with source-aligned paragraph/list-unit child rows.</x:v>
      </x:c>
      <x:c r="X49" s="30" t="str">
        <x:v>Removed the section heading and split the four-paragraph parent span into paragraph 2 of 4. PyMuPDF source unit: EPA-A028; raw blocks/lines: 9:13</x:v>
      </x:c>
      <x:c r="Y49" s="30" t="str">
        <x:v>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2/4 and adjudicated No; original coder decisions apply to the parent span, not independently to this child.</x:v>
      </x:c>
      <x:c r="Z49" s="30" t="str">
        <x:v>AnmolRationale_August12!r3[G004]; ICAResults_25April2026!r3[G003]; ICAResults_25April2026!r13[G005]; ICAResults_25April2026!r26[G008]; RationaleSheet_April20_v1!r3[G004]; RationaleSheet_April20_v1!r29[G008]; User-confirmed Prerana EPA re-evaluation [1:12] PyMuPDF source unit EPA-A028 (9:13)</x:v>
      </x:c>
      <x:c r="AA49" s="30" t="str">
        <x:v>Clear — no codebook example passage retained</x:v>
      </x:c>
    </x:row>
    <x:row r="50" ht="54" customHeight="1">
      <x:c r="A50" s="30" t="str">
        <x:v>EPA-007</x:v>
      </x:c>
      <x:c r="B50" s="30" t="str">
        <x:v>1:2-P3</x:v>
      </x:c>
      <x:c r="C50" s="30" t="str">
        <x:v>p 10</x:v>
      </x:c>
      <x:c r="D50" s="30" t="str">
        <x:v>USACE has lead responsibility for administering the NRP’s Emergency Support Function (ESF)-3. This ESF provides Federal support to address public works and infrastructure damage, including public drinking water systems, in an emergency. EPA has a support role under this ESF.</x:v>
      </x:c>
      <x:c r="E50" s="30" t="str">
        <x:v>EPA</x:v>
      </x:c>
      <x:c r="F50" s="30" t="str">
        <x:v>EPA 20060914-2006-p-00033.pdf</x:v>
      </x:c>
      <x:c r="G50" s="30"/>
      <x:c r="H50" s="40"/>
      <x:c r="I50" s="40" t="str">
        <x:v>No</x:v>
      </x:c>
      <x:c r="J50" s="40" t="n">
        <x:v>0</x:v>
      </x:c>
      <x:c r="K50" s="40"/>
      <x:c r="L50" s="40"/>
      <x:c r="M50" s="40"/>
      <x:c r="N50" s="40"/>
      <x:c r="O50" s="30"/>
      <x:c r="P50" s="30" t="str">
        <x:v>The paragraph describes the existing ESF-3 division of responsibilities and contains no rejection or replacement of that arrangement.</x:v>
      </x:c>
      <x:c r="Q50" s="30" t="str">
        <x:v>Paragraph-level source reconciliation and split adjudication (2026-08-14)</x:v>
      </x:c>
      <x:c r="R50" s="30" t="str">
        <x:v>Paragraph-level source reconciliation and split adjudication (2026-08-14)</x:v>
      </x:c>
      <x:c r="S50" s="40" t="str">
        <x:v>Yes</x:v>
      </x:c>
      <x:c r="T50" s="30" t="str">
        <x:v>Paragraph-level No was derived from a human-labeled multi-paragraph parent span; confirm during team adjudication.</x:v>
      </x:c>
      <x:c r="U50" s="30" t="str">
        <x:v>Parent span No → child No</x:v>
      </x:c>
      <x:c r="V50" s="30" t="str">
        <x:v>Split from multi-paragraph source span</x:v>
      </x:c>
      <x:c r="W50" s="30" t="str">
        <x:v>Replaced the human-labeled parent span with source-aligned paragraph/list-unit child rows.</x:v>
      </x:c>
      <x:c r="X50" s="30" t="str">
        <x:v>Removed the section heading and split the four-paragraph parent span into paragraph 3 of 4. PyMuPDF source unit: EPA-A029; raw blocks/lines: 10:0</x:v>
      </x:c>
      <x:c r="Y50" s="30" t="str">
        <x:v>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3/4 and adjudicated No; original coder decisions apply to the parent span, not independently to this child.</x:v>
      </x:c>
      <x:c r="Z50" s="30" t="str">
        <x:v>AnmolRationale_August12!r3[G004]; ICAResults_25April2026!r3[G003]; ICAResults_25April2026!r13[G005]; ICAResults_25April2026!r26[G008]; RationaleSheet_April20_v1!r3[G004]; RationaleSheet_April20_v1!r29[G008]; User-confirmed Prerana EPA re-evaluation [1:12] PyMuPDF source unit EPA-A029 (10:0)</x:v>
      </x:c>
      <x:c r="AA50" s="30" t="str">
        <x:v>Clear — no codebook example passage retained</x:v>
      </x:c>
    </x:row>
    <x:row r="51" ht="54" customHeight="1">
      <x:c r="A51" s="30" t="str">
        <x:v>EPA-008</x:v>
      </x:c>
      <x:c r="B51" s="30" t="str">
        <x:v>1:2-P4</x:v>
      </x:c>
      <x:c r="C51" s="30" t="str">
        <x:v>p 10</x:v>
      </x:c>
      <x:c r="D51" s="30"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E51" s="30" t="str">
        <x:v>EPA</x:v>
      </x:c>
      <x:c r="F51" s="30" t="str">
        <x:v>EPA 20060914-2006-p-00033.pdf</x:v>
      </x:c>
      <x:c r="G51" s="30"/>
      <x:c r="H51" s="40"/>
      <x:c r="I51" s="40" t="str">
        <x:v>No</x:v>
      </x:c>
      <x:c r="J51" s="40" t="n">
        <x:v>0</x:v>
      </x:c>
      <x:c r="K51" s="40"/>
      <x:c r="L51" s="40"/>
      <x:c r="M51" s="40"/>
      <x:c r="N51" s="40"/>
      <x:c r="O51" s="30"/>
      <x:c r="P51" s="30" t="str">
        <x:v>The paragraph diagnoses limited mutual understanding and awareness of EPA expertise, but it does not itself call for a fundamental replacement of a policy or practice.</x:v>
      </x:c>
      <x:c r="Q51" s="30" t="str">
        <x:v>Paragraph-level source reconciliation and split adjudication (2026-08-14)</x:v>
      </x:c>
      <x:c r="R51" s="30" t="str">
        <x:v>Paragraph-level source reconciliation and split adjudication (2026-08-14)</x:v>
      </x:c>
      <x:c r="S51" s="40" t="str">
        <x:v>Yes</x:v>
      </x:c>
      <x:c r="T51" s="30" t="str">
        <x:v>Paragraph-level No was derived from a human-labeled multi-paragraph parent span; confirm during team adjudication.</x:v>
      </x:c>
      <x:c r="U51" s="30" t="str">
        <x:v>Parent span No → child No</x:v>
      </x:c>
      <x:c r="V51" s="30" t="str">
        <x:v>Split from multi-paragraph source span</x:v>
      </x:c>
      <x:c r="W51" s="30" t="str">
        <x:v>Replaced the human-labeled parent span with source-aligned paragraph/list-unit child rows.</x:v>
      </x:c>
      <x:c r="X51" s="30" t="str">
        <x:v>Removed the section heading and split the four-paragraph parent span into paragraph 4 of 4. PyMuPDF source unit: EPA-A030; raw blocks/lines: 10:1</x:v>
      </x:c>
      <x:c r="Y51" s="30" t="str">
        <x:v>AnmolRationale_August12!r3 (G004; anmol): No [SELECTED] | ICAResults_25April2026!r26 (G008; kyle): Yes | ICAResults_25April2026!r13 (G005; prerana): Yes | ICAResults_25April2026!r3 (G003; anmol): No | RationaleSheet_April20_v1!r29 (G008; kyle): Yes | RationaleSheet_April20_v1!r3 (G004; anmol): Yes | Prerana EPA re-evaluation (user-confirmed for ICAResults_25April2026 1:12): No [LATEST PRERANA] 2026-08-14 paragraph split: original parent EPA-005 (No) was divided into child 4/4 and adjudicated No; original coder decisions apply to the parent span, not independently to this child.</x:v>
      </x:c>
      <x:c r="Z51" s="30" t="str">
        <x:v>AnmolRationale_August12!r3[G004]; ICAResults_25April2026!r3[G003]; ICAResults_25April2026!r13[G005]; ICAResults_25April2026!r26[G008]; RationaleSheet_April20_v1!r3[G004]; RationaleSheet_April20_v1!r29[G008]; User-confirmed Prerana EPA re-evaluation [1:12] PyMuPDF source unit EPA-A030 (10:1)</x:v>
      </x:c>
      <x:c r="AA51" s="30" t="str">
        <x:v>Clear — no codebook example passage retained</x:v>
      </x:c>
    </x:row>
    <x:row r="52" ht="54" customHeight="1">
      <x:c r="A52" s="30" t="str">
        <x:v>EPA-009</x:v>
      </x:c>
      <x:c r="B52" s="30" t="str">
        <x:v>1:9</x:v>
      </x:c>
      <x:c r="C52" s="30" t="str">
        <x:v>pp 8-9</x:v>
      </x:c>
      <x:c r="D52" s="30" t="str">
        <x:v>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E52" s="30" t="str">
        <x:v>EPA</x:v>
      </x:c>
      <x:c r="F52" s="30" t="str">
        <x:v>EPA 20060914-2006-p-00033.pdf</x:v>
      </x:c>
      <x:c r="G52" s="30" t="str">
        <x:v>No</x:v>
      </x:c>
      <x:c r="H52" s="40" t="n">
        <x:v>0</x:v>
      </x:c>
      <x:c r="I52" s="40" t="str">
        <x:v>No</x:v>
      </x:c>
      <x:c r="J52" s="40" t="n">
        <x:v>0</x:v>
      </x:c>
      <x:c r="K52" s="40"/>
      <x:c r="L52" s="40" t="str">
        <x:v>No</x:v>
      </x:c>
      <x:c r="M52" s="40"/>
      <x:c r="N52" s="40" t="str">
        <x:v>prerana</x:v>
      </x:c>
      <x:c r="O52" s="30"/>
      <x:c r="P52" s="30" t="str">
        <x:v>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x:v>
      </x:c>
      <x:c r="Q52" s="30" t="str">
        <x:v>User-confirmed Prerana EPA re-evaluation of ICAResults_25April2026 1:7, 1:8, 1:9 (latest)</x:v>
      </x:c>
      <x:c r="R52" s="30" t="str">
        <x:v>User-confirmed Prerana EPA re-evaluation</x:v>
      </x:c>
      <x:c r="S52" s="40" t="str">
        <x:v>No</x:v>
      </x:c>
      <x:c r="T52" s="30"/>
      <x:c r="U52" s="30" t="str">
        <x:v>No gold change (Prerana 1:7, 1:8, 1:9 → No)</x:v>
      </x:c>
      <x:c r="V52" s="30" t="str">
        <x:v>Near/exact text variant</x:v>
      </x:c>
      <x:c r="W52" s="30" t="str">
        <x:v>Consolidated equivalent text groups G024, G025; retained cleaner representative G025. Also consolidated repeated annotations across source sheets. University of Delaware duplicate/system annotation(s) ignored.</x:v>
      </x:c>
      <x:c r="X52" s="30" t="str">
        <x:v>Expanded the cropped ending to the complete source paragraph. PyMuPDF source unit: EPA-A020; raw blocks/lines: 8:6;9:0</x:v>
      </x:c>
      <x:c r="Y52" s="30" t="str">
        <x:v>ICAResults_25April2026!r10 (G025; prerana): No [SELECTED] | ICAResults_25April2026!r9 (G025; prerana): Yes | ICAResults_25April2026!r8 (G024; prerana): Yes | Prerana EPA re-evaluation (user-confirmed for ICAResults_25April2026 1:7, 1:8, 1:9): No [LATEST PRERANA]</x:v>
      </x:c>
      <x:c r="Z52" s="30" t="str">
        <x:v>ICAResults_25April2026!r8[G024]; ICAResults_25April2026!r9[G025]; ICAResults_25April2026!r10[G025]; User-confirmed Prerana EPA re-evaluation [1:7, 1:8, 1:9] PyMuPDF source unit EPA-A020 (8:6;9:0)</x:v>
      </x:c>
      <x:c r="AA52" s="30" t="str">
        <x:v>Clear — no codebook example passage retained</x:v>
      </x:c>
    </x:row>
    <x:row r="53" ht="54" customHeight="1">
      <x:c r="A53" s="30" t="str">
        <x:v>EPA-010</x:v>
      </x:c>
      <x:c r="B53" s="30" t="str">
        <x:v>1:10</x:v>
      </x:c>
      <x:c r="C53" s="30" t="str">
        <x:v>p 9</x:v>
      </x:c>
      <x:c r="D53" s="30" t="str">
        <x:v>• Coordination within EPA, as well as EPA’s coordination with State and local officials and the USACE, could have been better. In some instances, coordination problems resulted in duplicative work being completed by EPA and Louisiana officials.</x:v>
      </x:c>
      <x:c r="E53" s="30" t="str">
        <x:v>EPA</x:v>
      </x:c>
      <x:c r="F53" s="30" t="str">
        <x:v>EPA 20060914-2006-p-00033.pdf</x:v>
      </x:c>
      <x:c r="G53" s="30" t="str">
        <x:v>Yes</x:v>
      </x:c>
      <x:c r="H53" s="40" t="n">
        <x:v>1</x:v>
      </x:c>
      <x:c r="I53" s="40" t="str">
        <x:v>No</x:v>
      </x:c>
      <x:c r="J53" s="40" t="n">
        <x:v>0</x:v>
      </x:c>
      <x:c r="K53" s="40"/>
      <x:c r="L53" s="40" t="str">
        <x:v>No</x:v>
      </x:c>
      <x:c r="M53" s="40"/>
      <x:c r="N53" s="40" t="str">
        <x:v>prerana</x:v>
      </x:c>
      <x:c r="O53" s="30"/>
      <x:c r="P53" s="30" t="str">
        <x:v>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x:v>
      </x:c>
      <x:c r="Q53" s="30" t="str">
        <x:v>User-confirmed Prerana EPA re-evaluation of ICAResults_25April2026 1:10 (latest)</x:v>
      </x:c>
      <x:c r="R53" s="30" t="str">
        <x:v>User-confirmed Prerana EPA re-evaluation</x:v>
      </x:c>
      <x:c r="S53" s="40" t="str">
        <x:v>No</x:v>
      </x:c>
      <x:c r="T53" s="30"/>
      <x:c r="U53" s="30" t="str">
        <x:v>Yes → No</x:v>
      </x:c>
      <x:c r="V53" s="30" t="str">
        <x:v>Exact annotation duplicate</x:v>
      </x:c>
      <x:c r="W53" s="30" t="str">
        <x:v>Consolidated exact duplicate annotations from multiple sheets into one passage row. University of Delaware duplicate/system annotation(s) ignored.</x:v>
      </x:c>
      <x:c r="X53" s="30" t="str">
        <x:v>Aligned to the complete source bullet. PyMuPDF source unit: EPA-A023; raw blocks/lines: 9:3;9:4</x:v>
      </x:c>
      <x:c r="Y53" s="30" t="str">
        <x:v>ICAResults_25April2026!r11 (G026; prerana): Yes [SELECTED] | Prerana EPA re-evaluation (user-confirmed for ICAResults_25April2026 1:10): No [LATEST PRERANA]</x:v>
      </x:c>
      <x:c r="Z53" s="30" t="str">
        <x:v>ICAResults_25April2026!r11[G026]; User-confirmed Prerana EPA re-evaluation [1:10] PyMuPDF source unit EPA-A023 (9:3;9:4)</x:v>
      </x:c>
      <x:c r="AA53" s="30" t="str">
        <x:v>Clear — no codebook example passage retained</x:v>
      </x:c>
    </x:row>
    <x:row r="54" ht="54" customHeight="1">
      <x:c r="A54" s="30" t="str">
        <x:v>EPA-011</x:v>
      </x:c>
      <x:c r="B54" s="30" t="str">
        <x:v>1:11</x:v>
      </x:c>
      <x:c r="C54" s="30" t="str">
        <x:v>p 9</x:v>
      </x:c>
      <x:c r="D54" s="30"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x:v>
      </x:c>
      <x:c r="E54" s="30" t="str">
        <x:v>EPA</x:v>
      </x:c>
      <x:c r="F54" s="30" t="str">
        <x:v>EPA 20060914-2006-p-00033.pdf</x:v>
      </x:c>
      <x:c r="G54" s="30" t="str">
        <x:v>Yes</x:v>
      </x:c>
      <x:c r="H54" s="40" t="n">
        <x:v>1</x:v>
      </x:c>
      <x:c r="I54" s="40" t="str">
        <x:v>No</x:v>
      </x:c>
      <x:c r="J54" s="40" t="n">
        <x:v>0</x:v>
      </x:c>
      <x:c r="K54" s="40"/>
      <x:c r="L54" s="40" t="str">
        <x:v>No</x:v>
      </x:c>
      <x:c r="M54" s="40"/>
      <x:c r="N54" s="40" t="str">
        <x:v>prerana</x:v>
      </x:c>
      <x:c r="O54" s="30"/>
      <x:c r="P54" s="30" t="str">
        <x:v>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x:v>
      </x:c>
      <x:c r="Q54" s="30" t="str">
        <x:v>User-confirmed Prerana EPA re-evaluation of ICAResults_25April2026 1:11 (latest)</x:v>
      </x:c>
      <x:c r="R54" s="30" t="str">
        <x:v>User-confirmed Prerana EPA re-evaluation</x:v>
      </x:c>
      <x:c r="S54" s="40" t="str">
        <x:v>No</x:v>
      </x:c>
      <x:c r="T54" s="30"/>
      <x:c r="U54" s="30" t="str">
        <x:v>Yes → No</x:v>
      </x:c>
      <x:c r="V54" s="30" t="str">
        <x:v>Exact annotation duplicate</x:v>
      </x:c>
      <x:c r="W54" s="30" t="str">
        <x:v>Consolidated exact duplicate annotations from multiple sheets into one passage row. University of Delaware duplicate/system annotation(s) ignored.</x:v>
      </x:c>
      <x:c r="X54" s="30" t="str">
        <x:v>Restored the omitted opening word 'Initially' and aligned to the complete source bullet. PyMuPDF source unit: EPA-A024; raw blocks/lines: 9:5;9:6</x:v>
      </x:c>
      <x:c r="Y54" s="30" t="str">
        <x:v>ICAResults_25April2026!r12 (G027; prerana): Yes [SELECTED] | Prerana EPA re-evaluation (user-confirmed for ICAResults_25April2026 1:11): No [LATEST PRERANA]</x:v>
      </x:c>
      <x:c r="Z54" s="30" t="str">
        <x:v>ICAResults_25April2026!r12[G027]; User-confirmed Prerana EPA re-evaluation [1:11] PyMuPDF source unit EPA-A024 (9:5;9:6)</x:v>
      </x:c>
      <x:c r="AA54" s="30" t="str">
        <x:v>Clear — no codebook example passage retained</x:v>
      </x:c>
    </x:row>
    <x:row r="55" ht="54" customHeight="1">
      <x:c r="A55" s="30" t="str">
        <x:v>EPA-012</x:v>
      </x:c>
      <x:c r="B55" s="30" t="str">
        <x:v>1:13</x:v>
      </x:c>
      <x:c r="C55" s="30" t="str">
        <x:v>p 10</x:v>
      </x:c>
      <x:c r="D55" s="30"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E55" s="30" t="str">
        <x:v>EPA</x:v>
      </x:c>
      <x:c r="F55" s="30" t="str">
        <x:v>EPA 20060914-2006-p-00033.pdf</x:v>
      </x:c>
      <x:c r="G55" s="30" t="str">
        <x:v>Yes</x:v>
      </x:c>
      <x:c r="H55" s="40" t="n">
        <x:v>1</x:v>
      </x:c>
      <x:c r="I55" s="40" t="str">
        <x:v>No</x:v>
      </x:c>
      <x:c r="J55" s="40" t="n">
        <x:v>0</x:v>
      </x:c>
      <x:c r="K55" s="40"/>
      <x:c r="L55" s="40" t="str">
        <x:v>No</x:v>
      </x:c>
      <x:c r="M55" s="40"/>
      <x:c r="N55" s="40" t="str">
        <x:v>prerana</x:v>
      </x:c>
      <x:c r="O55" s="30"/>
      <x:c r="P55" s="30" t="str">
        <x:v>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x:v>
      </x:c>
      <x:c r="Q55" s="30" t="str">
        <x:v>User-confirmed Prerana EPA re-evaluation of ICAResults_25April2026 1:13 (latest)</x:v>
      </x:c>
      <x:c r="R55" s="30" t="str">
        <x:v>User-confirmed Prerana EPA re-evaluation</x:v>
      </x:c>
      <x:c r="S55" s="40" t="str">
        <x:v>No</x:v>
      </x:c>
      <x:c r="T55" s="30"/>
      <x:c r="U55" s="30" t="str">
        <x:v>Yes → No</x:v>
      </x:c>
      <x:c r="V55" s="30" t="str">
        <x:v>Exact annotation duplicate</x:v>
      </x:c>
      <x:c r="W55" s="30" t="str">
        <x:v>Consolidated exact duplicate annotations from multiple sheets into one passage row. University of Delaware duplicate/system annotation(s) ignored.</x:v>
      </x:c>
      <x:c r="X55" s="30" t="str">
        <x:v>Replaced the mid-word extraction error with the complete source paragraph. PyMuPDF source unit: EPA-A032; raw blocks/lines: 10:3</x:v>
      </x:c>
      <x:c r="Y55" s="30" t="str">
        <x:v>ICAResults_25April2026!r14 (G006; prerana): Yes [SELECTED] | Prerana EPA re-evaluation (user-confirmed for ICAResults_25April2026 1:13): No [LATEST PRERANA]</x:v>
      </x:c>
      <x:c r="Z55" s="30" t="str">
        <x:v>ICAResults_25April2026!r14[G006]; User-confirmed Prerana EPA re-evaluation [1:13] PyMuPDF source unit EPA-A032 (10:3)</x:v>
      </x:c>
      <x:c r="AA55" s="30" t="str">
        <x:v>Clear — no codebook example passage retained</x:v>
      </x:c>
    </x:row>
    <x:row r="56" ht="54" customHeight="1">
      <x:c r="A56" s="30" t="str">
        <x:v>EPA-013</x:v>
      </x:c>
      <x:c r="B56" s="30" t="str">
        <x:v>1:3</x:v>
      </x:c>
      <x:c r="C56" s="30" t="str">
        <x:v>p 11</x:v>
      </x:c>
      <x:c r="D56" s="30"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E56" s="30" t="str">
        <x:v>EPA</x:v>
      </x:c>
      <x:c r="F56" s="30" t="str">
        <x:v>EPA 20060914-2006-p-00033.pdf</x:v>
      </x:c>
      <x:c r="G56" s="30" t="str">
        <x:v>No</x:v>
      </x:c>
      <x:c r="H56" s="40" t="n">
        <x:v>0</x:v>
      </x:c>
      <x:c r="I56" s="40" t="str">
        <x:v>No</x:v>
      </x:c>
      <x:c r="J56" s="40" t="n">
        <x:v>0</x:v>
      </x:c>
      <x:c r="K56" s="40" t="str">
        <x:v>No</x:v>
      </x:c>
      <x:c r="L56" s="40"/>
      <x:c r="M56" s="40"/>
      <x:c r="N56" s="40" t="str">
        <x:v>anmol</x:v>
      </x:c>
      <x:c r="O56" s="30"/>
      <x:c r="P56" s="30" t="str">
        <x:v>I wouldn't classify this as unlearning. It identifies coordination and dialogue as a problem, however doesnt call for discarding anything. It also doesnt make a case for any fundamental shift.</x:v>
      </x:c>
      <x:c r="Q56" s="30" t="str">
        <x:v>AnmolRationale_August12!row 4 (Latest Anmol August 12 re-evaluation)</x:v>
      </x:c>
      <x:c r="R56" s="30" t="str">
        <x:v>AnmolRationale_August12!row 4</x:v>
      </x:c>
      <x:c r="S56" s="40" t="str">
        <x:v>No</x:v>
      </x:c>
      <x:c r="T56" s="30"/>
      <x:c r="U56" s="30"/>
      <x:c r="V56" s="30" t="str">
        <x:v>Exact annotation duplicate</x:v>
      </x:c>
      <x:c r="W56" s="30" t="str">
        <x:v>Consolidated exact duplicate annotations from multiple sheets into one passage row.</x:v>
      </x:c>
      <x:c r="X56" s="30" t="str">
        <x:v>Aligned to the complete source paragraph. PyMuPDF source unit: EPA-A036; raw blocks/lines: 11:3</x:v>
      </x:c>
      <x:c r="Y56" s="30" t="str">
        <x:v>AnmolRationale_August12!r4 (G009; anmol): No [SELECTED] | ICAResults_25April2026!r4 (G009; anmol): Yes | RationaleSheet_April20_v1!r4 (G009; anmol): No</x:v>
      </x:c>
      <x:c r="Z56" s="30" t="str">
        <x:v>AnmolRationale_August12!r4[G009]; ICAResults_25April2026!r4[G009]; RationaleSheet_April20_v1!r4[G009] PyMuPDF source unit EPA-A036 (11:3)</x:v>
      </x:c>
      <x:c r="AA56" s="30" t="str">
        <x:v>Clear — no codebook example passage retained</x:v>
      </x:c>
    </x:row>
    <x:row r="57" ht="54" customHeight="1">
      <x:c r="A57" s="30" t="str">
        <x:v>EPA-014</x:v>
      </x:c>
      <x:c r="B57" s="30" t="str">
        <x:v>1:15</x:v>
      </x:c>
      <x:c r="C57" s="30" t="str">
        <x:v>p 11</x:v>
      </x:c>
      <x:c r="D57" s="30"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E57" s="30" t="str">
        <x:v>EPA</x:v>
      </x:c>
      <x:c r="F57" s="30" t="str">
        <x:v>EPA 20060914-2006-p-00033.pdf</x:v>
      </x:c>
      <x:c r="G57" s="30" t="str">
        <x:v>Yes</x:v>
      </x:c>
      <x:c r="H57" s="40" t="n">
        <x:v>1</x:v>
      </x:c>
      <x:c r="I57" s="40" t="str">
        <x:v>No</x:v>
      </x:c>
      <x:c r="J57" s="40" t="n">
        <x:v>0</x:v>
      </x:c>
      <x:c r="K57" s="40"/>
      <x:c r="L57" s="40" t="str">
        <x:v>No</x:v>
      </x:c>
      <x:c r="M57" s="40"/>
      <x:c r="N57" s="40" t="str">
        <x:v>prerana</x:v>
      </x:c>
      <x:c r="O57" s="30"/>
      <x:c r="P57" s="30" t="str">
        <x:v>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x:v>
      </x:c>
      <x:c r="Q57" s="30" t="str">
        <x:v>User-confirmed Prerana EPA re-evaluation of ICAResults_25April2026 1:15 (latest)</x:v>
      </x:c>
      <x:c r="R57" s="30" t="str">
        <x:v>User-confirmed Prerana EPA re-evaluation</x:v>
      </x:c>
      <x:c r="S57" s="40" t="str">
        <x:v>No</x:v>
      </x:c>
      <x:c r="T57" s="30"/>
      <x:c r="U57" s="30" t="str">
        <x:v>Yes → No</x:v>
      </x:c>
      <x:c r="V57" s="30" t="str">
        <x:v>Exact annotation duplicate</x:v>
      </x:c>
      <x:c r="W57" s="30" t="str">
        <x:v>Consolidated exact duplicate annotations from multiple sheets into one passage row. University of Delaware duplicate/system annotation(s) ignored.</x:v>
      </x:c>
      <x:c r="X57" s="30" t="str">
        <x:v>Aligned to the complete source paragraph. PyMuPDF source unit: EPA-A035; raw blocks/lines: 11:1</x:v>
      </x:c>
      <x:c r="Y57" s="30" t="str">
        <x:v>ICAResults_25April2026!r16 (G011; prerana): Yes [SELECTED] | Prerana EPA re-evaluation (user-confirmed for ICAResults_25April2026 1:15): No [LATEST PRERANA]</x:v>
      </x:c>
      <x:c r="Z57" s="30" t="str">
        <x:v>ICAResults_25April2026!r16[G011]; User-confirmed Prerana EPA re-evaluation [1:15] PyMuPDF source unit EPA-A035 (11:1)</x:v>
      </x:c>
      <x:c r="AA57" s="30" t="str">
        <x:v>Clear — no codebook example passage retained</x:v>
      </x:c>
    </x:row>
    <x:row r="58" ht="54" customHeight="1">
      <x:c r="A58" s="30" t="str">
        <x:v>EPA-015</x:v>
      </x:c>
      <x:c r="B58" s="30" t="str">
        <x:v>1:16</x:v>
      </x:c>
      <x:c r="C58" s="30" t="str">
        <x:v>p 11</x:v>
      </x:c>
      <x:c r="D58" s="30"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E58" s="30" t="str">
        <x:v>EPA</x:v>
      </x:c>
      <x:c r="F58" s="30" t="str">
        <x:v>EPA 20060914-2006-p-00033.pdf</x:v>
      </x:c>
      <x:c r="G58" s="30" t="str">
        <x:v>Yes</x:v>
      </x:c>
      <x:c r="H58" s="40" t="n">
        <x:v>1</x:v>
      </x:c>
      <x:c r="I58" s="40" t="str">
        <x:v>No</x:v>
      </x:c>
      <x:c r="J58" s="40" t="n">
        <x:v>0</x:v>
      </x:c>
      <x:c r="K58" s="40"/>
      <x:c r="L58" s="40" t="str">
        <x:v>No</x:v>
      </x:c>
      <x:c r="M58" s="40" t="str">
        <x:v>Yes</x:v>
      </x:c>
      <x:c r="N58" s="40" t="str">
        <x:v>prerana</x:v>
      </x:c>
      <x:c r="O58" s="30"/>
      <x:c r="P58" s="30" t="str">
        <x:v>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x:v>
      </x:c>
      <x:c r="Q58" s="30" t="str">
        <x:v>User-confirmed Prerana EPA re-evaluation of ICAResults_25April2026 1:16 (latest)</x:v>
      </x:c>
      <x:c r="R58" s="30" t="str">
        <x:v>User-confirmed Prerana EPA re-evaluation</x:v>
      </x:c>
      <x:c r="S58" s="40" t="str">
        <x:v>No</x:v>
      </x:c>
      <x:c r="T58" s="30"/>
      <x:c r="U58" s="30" t="str">
        <x:v>Yes → No</x:v>
      </x:c>
      <x:c r="V58" s="30" t="str">
        <x:v>Parent-child</x:v>
      </x:c>
      <x:c r="W58" s="30" t="str">
        <x:v>Kept parent span G012; removed child group(s) G013. Parent passage labeler retained. Also consolidated repeated annotations across source sheets. University of Delaware duplicate/system annotation(s) ignored.</x:v>
      </x:c>
      <x:c r="X58" s="30" t="str">
        <x:v>Expanded the cropped excerpt to the complete source paragraph. PyMuPDF source unit: EPA-A037; raw blocks/lines: 11:4</x:v>
      </x:c>
      <x:c r="Y58" s="30" t="str">
        <x:v>ICAResults_25April2026!r25 (G013; kyle): Yes | ICAResults_25April2026!r17 (G012; prerana): Yes [SELECTED] | RationaleSheet_April20_v1!r25 (G013; kyle): Yes | Prerana EPA re-evaluation (user-confirmed for ICAResults_25April2026 1:16): No [LATEST PRERANA]</x:v>
      </x:c>
      <x:c r="Z58" s="30" t="str">
        <x:v>ICAResults_25April2026!r17[G012]; ICAResults_25April2026!r25[G013]; RationaleSheet_April20_v1!r25[G013]; User-confirmed Prerana EPA re-evaluation [1:16] PyMuPDF source unit EPA-A037 (11:4)</x:v>
      </x:c>
      <x:c r="AA58" s="30" t="str">
        <x:v>Clear — no codebook example passage retained</x:v>
      </x:c>
    </x:row>
    <x:row r="59" ht="54" customHeight="1">
      <x:c r="A59" s="30" t="str">
        <x:v>EPA-016</x:v>
      </x:c>
      <x:c r="B59" s="30" t="str">
        <x:v>1:20</x:v>
      </x:c>
      <x:c r="C59" s="30" t="str">
        <x:v>pp 10-11</x:v>
      </x:c>
      <x:c r="D59" s="30" t="str">
        <x:v>...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E59" s="30" t="str">
        <x:v>EPA</x:v>
      </x:c>
      <x:c r="F59" s="30" t="str">
        <x:v>EPA 20060914-2006-p-00033.pdf</x:v>
      </x:c>
      <x:c r="G59" s="30" t="str">
        <x:v>No</x:v>
      </x:c>
      <x:c r="H59" s="40" t="n">
        <x:v>0</x:v>
      </x:c>
      <x:c r="I59" s="40" t="str">
        <x:v>No</x:v>
      </x:c>
      <x:c r="J59" s="40" t="n">
        <x:v>0</x:v>
      </x:c>
      <x:c r="K59" s="40" t="str">
        <x:v>No</x:v>
      </x:c>
      <x:c r="L59" s="40" t="str">
        <x:v>No</x:v>
      </x:c>
      <x:c r="M59" s="40"/>
      <x:c r="N59" s="40" t="str">
        <x:v>anmol</x:v>
      </x:c>
      <x:c r="O59" s="30"/>
      <x:c r="P59" s="30" t="str">
        <x:v>This is not unlearning. It doesn't identify a problem area or show a departure from past practice. It is an additive change.</x:v>
      </x:c>
      <x:c r="Q59" s="30" t="str">
        <x:v>RationaleSheet_April20_v1!row 21 (Manual recency/adjudication rule)</x:v>
      </x:c>
      <x:c r="R59" s="30" t="str">
        <x:v>RationaleSheet_April20_v1!row 21</x:v>
      </x:c>
      <x:c r="S59" s="40" t="str">
        <x:v>No</x:v>
      </x:c>
      <x:c r="T59" s="30"/>
      <x:c r="U59" s="30" t="str">
        <x:v>No gold change (Prerana 1:14 → No)</x:v>
      </x:c>
      <x:c r="V59" s="30" t="str">
        <x:v>Exact annotation duplicate</x:v>
      </x:c>
      <x:c r="W59" s="30" t="str">
        <x:v>Consolidated exact duplicate annotations from multiple sheets into one passage row. University of Delaware duplicate/system annotation(s) ignored.</x:v>
      </x:c>
      <x:c r="X59" s="30" t="str">
        <x:v>Expanded the cropped quotation to the complete displayed quotation paragraph. PyMuPDF source unit: EPA-A034; raw blocks/lines: 10:5;11:0</x:v>
      </x:c>
      <x:c r="Y59" s="30" t="str">
        <x:v>ICAResults_25April2026!r15 (G010; prerana): Yes | RationaleSheet_April20_v1!r21 (G010; anmol): No [SELECTED] | Prerana EPA re-evaluation (user-confirmed for ICAResults_25April2026 1:14): No [LATEST PRERANA]</x:v>
      </x:c>
      <x:c r="Z59" s="30" t="str">
        <x:v>ICAResults_25April2026!r15[G010]; RationaleSheet_April20_v1!r21[G010]; User-confirmed Prerana EPA re-evaluation [1:14] PyMuPDF source unit EPA-A034 (10:5;11:0)</x:v>
      </x:c>
      <x:c r="AA59" s="30" t="str">
        <x:v>Clear — no codebook example passage retained</x:v>
      </x:c>
    </x:row>
    <x:row r="60" ht="54" customHeight="1">
      <x:c r="A60" s="30" t="str">
        <x:v>EPA-017</x:v>
      </x:c>
      <x:c r="B60" s="30" t="str">
        <x:v>1:4-P1</x:v>
      </x:c>
      <x:c r="C60" s="30" t="str">
        <x:v>p 12</x:v>
      </x:c>
      <x:c r="D60" s="30"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x:v>
      </x:c>
      <x:c r="E60" s="30" t="str">
        <x:v>EPA</x:v>
      </x:c>
      <x:c r="F60" s="30" t="str">
        <x:v>EPA 20060914-2006-p-00033.pdf</x:v>
      </x:c>
      <x:c r="G60" s="30"/>
      <x:c r="H60" s="40"/>
      <x:c r="I60" s="40" t="str">
        <x:v>No</x:v>
      </x:c>
      <x:c r="J60" s="40" t="n">
        <x:v>0</x:v>
      </x:c>
      <x:c r="K60" s="40"/>
      <x:c r="L60" s="40"/>
      <x:c r="M60" s="40"/>
      <x:c r="N60" s="40"/>
      <x:c r="O60" s="30"/>
      <x:c r="P60" s="30" t="str">
        <x:v>The paragraph documents generator-delivery failures and a master-list workaround, but it does not reject or fundamentally replace an existing practice.</x:v>
      </x:c>
      <x:c r="Q60" s="30" t="str">
        <x:v>Paragraph-level source reconciliation and split adjudication (2026-08-14)</x:v>
      </x:c>
      <x:c r="R60" s="30" t="str">
        <x:v>Paragraph-level source reconciliation and split adjudication (2026-08-14)</x:v>
      </x:c>
      <x:c r="S60" s="40" t="str">
        <x:v>Yes</x:v>
      </x:c>
      <x:c r="T60" s="30" t="str">
        <x:v>Paragraph-level No was derived from the human-labeled multi-paragraph parent span; confirm during team adjudication.</x:v>
      </x:c>
      <x:c r="U60" s="30" t="str">
        <x:v>Parent span Yes → child No</x:v>
      </x:c>
      <x:c r="V60" s="30" t="str">
        <x:v>Split from multi-paragraph source span</x:v>
      </x:c>
      <x:c r="W60" s="30" t="str">
        <x:v>Replaced the human-labeled parent span with source-aligned paragraph/list-unit child rows.</x:v>
      </x:c>
      <x:c r="X60" s="30" t="str">
        <x:v>Split the parent span; generator-delivery paragraph coded No. PyMuPDF source unit: EPA-A038; raw blocks/lines: 12:0</x:v>
      </x:c>
      <x:c r="Y60" s="30" t="str">
        <x:v>AnmolRationale_August12!r5 (G014; anmol): Yes [SELECTED] | ICAResults_25April2026!r5 (G014; anmol): Yes | RationaleSheet_April20_v1!r5 (G014; anmol): Yes 2026-08-14 paragraph split: original parent EPA-014 (Yes) was divided into child 1/2 and adjudicated No; original coder decisions apply to the parent span, not independently to this child.</x:v>
      </x:c>
      <x:c r="Z60" s="30" t="str">
        <x:v>AnmolRationale_August12!r5[G014]; ICAResults_25April2026!r5[G014]; RationaleSheet_April20_v1!r5[G014] PyMuPDF source unit EPA-A038 (12:0)</x:v>
      </x:c>
      <x:c r="AA60" s="30" t="str">
        <x:v>Clear — no codebook example passage retained</x:v>
      </x:c>
    </x:row>
    <x:row r="61" ht="54" customHeight="1">
      <x:c r="A61" s="30" t="str">
        <x:v>EPA-018</x:v>
      </x:c>
      <x:c r="B61" s="30" t="str">
        <x:v>1:4-P2</x:v>
      </x:c>
      <x:c r="C61" s="30" t="str">
        <x:v>p 12</x:v>
      </x:c>
      <x:c r="D61" s="30" t="str">
        <x:v>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E61" s="30" t="str">
        <x:v>EPA</x:v>
      </x:c>
      <x:c r="F61" s="30" t="str">
        <x:v>EPA 20060914-2006-p-00033.pdf</x:v>
      </x:c>
      <x:c r="G61" s="30"/>
      <x:c r="H61" s="40"/>
      <x:c r="I61" s="40" t="str">
        <x:v>Yes</x:v>
      </x:c>
      <x:c r="J61" s="40" t="n">
        <x:v>1</x:v>
      </x:c>
      <x:c r="K61" s="40"/>
      <x:c r="L61" s="40"/>
      <x:c r="M61" s="40"/>
      <x:c r="N61" s="40"/>
      <x:c r="O61" s="30" t="str">
        <x:v>Depth: Moderate depth, Nature: Technical Nature, Pillar: Merging (Integrative), Stakeholder: EPA, Unlearning</x:v>
      </x:c>
      <x:c r="P61" s="30" t="str">
        <x:v>The list identifies coordination problems and replaces an ad hoc response with structural changes: incident-command training, added resources, pre-deployed joint expert teams, public-health integration, and clearer interagency responsibilities.</x:v>
      </x:c>
      <x:c r="Q61" s="30" t="str">
        <x:v>Paragraph-level source reconciliation and split adjudication (2026-08-14)</x:v>
      </x:c>
      <x:c r="R61" s="30" t="str">
        <x:v>Paragraph-level source reconciliation and split adjudication (2026-08-14)</x:v>
      </x:c>
      <x:c r="S61" s="40" t="str">
        <x:v>Yes</x:v>
      </x:c>
      <x:c r="T61" s="30" t="str">
        <x:v>The changes may also be read as additive capacity-building; confirm the paragraph-level Yes during team adjudication.</x:v>
      </x:c>
      <x:c r="U61" s="30" t="str">
        <x:v>Parent span Yes → child Yes</x:v>
      </x:c>
      <x:c r="V61" s="30" t="str">
        <x:v>Split from multi-paragraph source span</x:v>
      </x:c>
      <x:c r="W61" s="30" t="str">
        <x:v>Replaced the human-labeled parent span with source-aligned paragraph/list-unit child rows.</x:v>
      </x:c>
      <x:c r="X61" s="30" t="str">
        <x:v>Grouped the lead-in and five bullets as one list unit after splitting the parent span. PyMuPDF source unit: EPA-A039; raw blocks/lines: 12:1;12:2</x:v>
      </x:c>
      <x:c r="Y61" s="30" t="str">
        <x:v>AnmolRationale_August12!r5 (G014; anmol): Yes [SELECTED] | ICAResults_25April2026!r5 (G014; anmol): Yes | RationaleSheet_April20_v1!r5 (G014; anmol): Yes 2026-08-14 paragraph split: original parent EPA-014 (Yes) was divided into child 2/2 and adjudicated Yes; original coder decisions apply to the parent span, not independently to this child.</x:v>
      </x:c>
      <x:c r="Z61" s="30" t="str">
        <x:v>AnmolRationale_August12!r5[G014]; ICAResults_25April2026!r5[G014]; RationaleSheet_April20_v1!r5[G014] PyMuPDF source unit EPA-A039 (12:1;12:2)</x:v>
      </x:c>
      <x:c r="AA61" s="30" t="str">
        <x:v>Clear — no codebook example passage retained</x:v>
      </x:c>
    </x:row>
    <x:row r="62" ht="54" customHeight="1">
      <x:c r="A62" s="30" t="str">
        <x:v>EPA-019</x:v>
      </x:c>
      <x:c r="B62" s="30" t="str">
        <x:v>1:17</x:v>
      </x:c>
      <x:c r="C62" s="30" t="str">
        <x:v>p 12</x:v>
      </x:c>
      <x:c r="D62" s="30" t="str">
        <x:v>Region 6 officials said they have established a senior liaison position between Region 6 and Louisiana, defined roles and responsibilities between EPA and the States, and developed a DVD that addresses emergency response activities.</x:v>
      </x:c>
      <x:c r="E62" s="30" t="str">
        <x:v>EPA</x:v>
      </x:c>
      <x:c r="F62" s="30" t="str">
        <x:v>EPA 20060914-2006-p-00033.pdf</x:v>
      </x:c>
      <x:c r="G62" s="30" t="str">
        <x:v>Yes</x:v>
      </x:c>
      <x:c r="H62" s="40" t="n">
        <x:v>1</x:v>
      </x:c>
      <x:c r="I62" s="40" t="str">
        <x:v>No</x:v>
      </x:c>
      <x:c r="J62" s="40" t="n">
        <x:v>0</x:v>
      </x:c>
      <x:c r="K62" s="40"/>
      <x:c r="L62" s="40" t="str">
        <x:v>No</x:v>
      </x:c>
      <x:c r="M62" s="40"/>
      <x:c r="N62" s="40" t="str">
        <x:v>prerana</x:v>
      </x:c>
      <x:c r="O62" s="30"/>
      <x:c r="P62" s="30" t="str">
        <x:v>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x:v>
      </x:c>
      <x:c r="Q62" s="30" t="str">
        <x:v>User-confirmed Prerana EPA re-evaluation of ICAResults_25April2026 1:17 (latest)</x:v>
      </x:c>
      <x:c r="R62" s="30" t="str">
        <x:v>User-confirmed Prerana EPA re-evaluation</x:v>
      </x:c>
      <x:c r="S62" s="40" t="str">
        <x:v>No</x:v>
      </x:c>
      <x:c r="T62" s="30"/>
      <x:c r="U62" s="30" t="str">
        <x:v>Yes → No</x:v>
      </x:c>
      <x:c r="V62" s="30" t="str">
        <x:v>Exact annotation duplicate</x:v>
      </x:c>
      <x:c r="W62" s="30" t="str">
        <x:v>Consolidated exact duplicate annotations from multiple sheets into one passage row. University of Delaware duplicate/system annotation(s) ignored.</x:v>
      </x:c>
      <x:c r="X62" s="30" t="str">
        <x:v>Aligned to the complete source paragraph. PyMuPDF source unit: EPA-A040; raw blocks/lines: 12:3</x:v>
      </x:c>
      <x:c r="Y62" s="30" t="str">
        <x:v>ICAResults_25April2026!r18 (G015; prerana): Yes [SELECTED] | Prerana EPA re-evaluation (user-confirmed for ICAResults_25April2026 1:17): No [LATEST PRERANA]</x:v>
      </x:c>
      <x:c r="Z62" s="30" t="str">
        <x:v>ICAResults_25April2026!r18[G015]; User-confirmed Prerana EPA re-evaluation [1:17] PyMuPDF source unit EPA-A040 (12:3)</x:v>
      </x:c>
      <x:c r="AA62" s="30" t="str">
        <x:v>Clear — no codebook example passage retained</x:v>
      </x:c>
    </x:row>
    <x:row r="63" ht="54" customHeight="1">
      <x:c r="A63" s="30" t="str">
        <x:v>EPA-020</x:v>
      </x:c>
      <x:c r="B63" s="30" t="str">
        <x:v>1:5</x:v>
      </x:c>
      <x:c r="C63" s="30" t="str">
        <x:v>pp 13-14</x:v>
      </x:c>
      <x:c r="D63" s="30"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E63" s="30" t="str">
        <x:v>EPA</x:v>
      </x:c>
      <x:c r="F63" s="30" t="str">
        <x:v>EPA 20060914-2006-p-00033.pdf</x:v>
      </x:c>
      <x:c r="G63" s="30" t="str">
        <x:v>Yes</x:v>
      </x:c>
      <x:c r="H63" s="40" t="n">
        <x:v>1</x:v>
      </x:c>
      <x:c r="I63" s="40" t="str">
        <x:v>Yes</x:v>
      </x:c>
      <x:c r="J63" s="40" t="n">
        <x:v>1</x:v>
      </x:c>
      <x:c r="K63" s="40" t="str">
        <x:v>Yes</x:v>
      </x:c>
      <x:c r="L63" s="40"/>
      <x:c r="M63" s="40"/>
      <x:c r="N63" s="40" t="str">
        <x:v>anmol</x:v>
      </x:c>
      <x:c r="O63" s="30" t="str">
        <x:v>Depth: Moderate depth, Nature: Technical Nature, Pillar: Realignment (Technical), Stakeholder: EPA, Stakeholder: Stakeholders, Unlearning</x:v>
      </x:c>
      <x:c r="P63" s="30" t="str">
        <x:v>This is unlearning. They are specifically using keyword reevaluation, which speaks to departure from past practices. They identify specific problems regarding communication, equipment and data</x:v>
      </x:c>
      <x:c r="Q63" s="30" t="str">
        <x:v>AnmolRationale_August12!row 6 (Latest Anmol August 12 re-evaluation)</x:v>
      </x:c>
      <x:c r="R63" s="30" t="str">
        <x:v>AnmolRationale_August12!row 6</x:v>
      </x:c>
      <x:c r="S63" s="40" t="str">
        <x:v>No</x:v>
      </x:c>
      <x:c r="T63" s="30"/>
      <x:c r="U63" s="30"/>
      <x:c r="V63" s="30" t="str">
        <x:v>Near/exact text variant</x:v>
      </x:c>
      <x:c r="W63" s="30" t="str">
        <x:v>Consolidated equivalent text groups G001, G002; retained cleaner representative G001. Also consolidated repeated annotations across source sheets.</x:v>
      </x:c>
      <x:c r="X63" s="30" t="str">
        <x:v>Removed embedded SCRIBE footnote Merged the page-break continuation into one complete source paragraph. PyMuPDF source unit: EPA-A048; raw blocks/lines: 13:8;14:0</x:v>
      </x:c>
      <x:c r="Y63" s="30" t="str">
        <x:v>AnmolRationale_August12!r6 (G002; anmol): Yes [SELECTED] | ICAResults_25April2026!r6 (G001; anmol): Yes | RationaleSheet_April20_v1!r6 (G002; anmol): Yes</x:v>
      </x:c>
      <x:c r="Z63" s="30" t="str">
        <x:v>AnmolRationale_August12!r6[G002]; ICAResults_25April2026!r6[G001]; RationaleSheet_April20_v1!r6[G002] PyMuPDF source unit EPA-A048 (13:8;14:0)</x:v>
      </x:c>
      <x:c r="AA63" s="30" t="str">
        <x:v>Clear — no codebook example passage retained</x:v>
      </x:c>
    </x:row>
    <x:row r="64" ht="54" customHeight="1">
      <x:c r="A64" s="30" t="str">
        <x:v>EPA-021</x:v>
      </x:c>
      <x:c r="B64" s="30" t="str">
        <x:v>1:18</x:v>
      </x:c>
      <x:c r="C64" s="30" t="str">
        <x:v>p 13</x:v>
      </x:c>
      <x:c r="D64" s="30"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E64" s="30" t="str">
        <x:v>EPA</x:v>
      </x:c>
      <x:c r="F64" s="30" t="str">
        <x:v>EPA 20060914-2006-p-00033.pdf</x:v>
      </x:c>
      <x:c r="G64" s="30" t="str">
        <x:v>Yes</x:v>
      </x:c>
      <x:c r="H64" s="40" t="n">
        <x:v>1</x:v>
      </x:c>
      <x:c r="I64" s="40" t="str">
        <x:v>No</x:v>
      </x:c>
      <x:c r="J64" s="40" t="n">
        <x:v>0</x:v>
      </x:c>
      <x:c r="K64" s="40"/>
      <x:c r="L64" s="40" t="str">
        <x:v>No</x:v>
      </x:c>
      <x:c r="M64" s="40" t="str">
        <x:v>Yes</x:v>
      </x:c>
      <x:c r="N64" s="40" t="str">
        <x:v>prerana</x:v>
      </x:c>
      <x:c r="O64" s="30"/>
      <x:c r="P64" s="30" t="str">
        <x:v>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x:v>
      </x:c>
      <x:c r="Q64" s="30" t="str">
        <x:v>User-confirmed Prerana EPA re-evaluation of ICAResults_25April2026 1:18 (latest)</x:v>
      </x:c>
      <x:c r="R64" s="30" t="str">
        <x:v>User-confirmed Prerana EPA re-evaluation</x:v>
      </x:c>
      <x:c r="S64" s="40" t="str">
        <x:v>No</x:v>
      </x:c>
      <x:c r="T64" s="30"/>
      <x:c r="U64" s="30" t="str">
        <x:v>Yes → No</x:v>
      </x:c>
      <x:c r="V64" s="30" t="str">
        <x:v>Parent-child</x:v>
      </x:c>
      <x:c r="W64" s="30" t="str">
        <x:v>Kept parent span G016; removed child group(s) G017. Parent passage labeler retained. Also consolidated repeated annotations across source sheets. University of Delaware duplicate/system annotation(s) ignored.</x:v>
      </x:c>
      <x:c r="X64" s="30" t="str">
        <x:v>Aligned to the complete source paragraph. PyMuPDF source unit: EPA-A045; raw blocks/lines: 13:4</x:v>
      </x:c>
      <x:c r="Y64" s="30" t="str">
        <x:v>ICAResults_25April2026!r22 (G017; kyle): Yes | ICAResults_25April2026!r19 (G016; prerana): Yes [SELECTED] | RationaleSheet_April20_v1!r22 (G017; kyle): Yes | Prerana EPA re-evaluation (user-confirmed for ICAResults_25April2026 1:18): No [LATEST PRERANA]</x:v>
      </x:c>
      <x:c r="Z64" s="30" t="str">
        <x:v>ICAResults_25April2026!r19[G016]; ICAResults_25April2026!r22[G017]; RationaleSheet_April20_v1!r22[G017]; User-confirmed Prerana EPA re-evaluation [1:18] PyMuPDF source unit EPA-A045 (13:4)</x:v>
      </x:c>
      <x:c r="AA64" s="30" t="str">
        <x:v>Clear — no codebook example passage retained</x:v>
      </x:c>
    </x:row>
    <x:row r="65" ht="54" customHeight="1">
      <x:c r="A65" s="30" t="str">
        <x:v>EPA-022</x:v>
      </x:c>
      <x:c r="B65" s="30" t="str">
        <x:v>1:19</x:v>
      </x:c>
      <x:c r="C65" s="30" t="str">
        <x:v>p 27</x:v>
      </x:c>
      <x:c r="D65" s="30" t="str">
        <x:v>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E65" s="30" t="str">
        <x:v>EPA</x:v>
      </x:c>
      <x:c r="F65" s="30" t="str">
        <x:v>EPA 20060914-2006-p-00033.pdf</x:v>
      </x:c>
      <x:c r="G65" s="30" t="str">
        <x:v>Yes</x:v>
      </x:c>
      <x:c r="H65" s="40" t="n">
        <x:v>1</x:v>
      </x:c>
      <x:c r="I65" s="40" t="str">
        <x:v>No</x:v>
      </x:c>
      <x:c r="J65" s="40" t="n">
        <x:v>0</x:v>
      </x:c>
      <x:c r="K65" s="40"/>
      <x:c r="L65" s="40" t="str">
        <x:v>No</x:v>
      </x:c>
      <x:c r="M65" s="40" t="str">
        <x:v>Yes</x:v>
      </x:c>
      <x:c r="N65" s="40" t="str">
        <x:v>prerana</x:v>
      </x:c>
      <x:c r="O65" s="30"/>
      <x:c r="P65" s="30" t="str">
        <x:v>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x:v>
      </x:c>
      <x:c r="Q65" s="30" t="str">
        <x:v>User-confirmed Prerana EPA re-evaluation of ICAResults_25April2026 1:19 (latest)</x:v>
      </x:c>
      <x:c r="R65" s="30" t="str">
        <x:v>User-confirmed Prerana EPA re-evaluation</x:v>
      </x:c>
      <x:c r="S65" s="40" t="str">
        <x:v>No</x:v>
      </x:c>
      <x:c r="T65" s="30"/>
      <x:c r="U65" s="30" t="str">
        <x:v>Yes → No</x:v>
      </x:c>
      <x:c r="V65" s="30" t="str">
        <x:v>Parent-child</x:v>
      </x:c>
      <x:c r="W65" s="30" t="str">
        <x:v>Kept parent span G020; removed child group(s) G021. Parent passage labeler retained. Also consolidated repeated annotations across source sheets. University of Delaware duplicate/system annotation(s) ignored.</x:v>
      </x:c>
      <x:c r="X65" s="30" t="str">
        <x:v>Restored the omitted 'Response:' opening and aligned to the complete source paragraph. PyMuPDF source unit: EPA-A101; raw blocks/lines: 27:5</x:v>
      </x:c>
      <x:c r="Y65" s="30" t="str">
        <x:v>ICAResults_25April2026!r28 (G021; kyle): Yes | ICAResults_25April2026!r20 (G020; prerana): Yes [SELECTED] | RationaleSheet_April20_v1!r27 (G021; kyle): Yes | Prerana EPA re-evaluation (user-confirmed for ICAResults_25April2026 1:19): No [LATEST PRERANA]</x:v>
      </x:c>
      <x:c r="Z65" s="30" t="str">
        <x:v>ICAResults_25April2026!r20[G020]; ICAResults_25April2026!r28[G021]; RationaleSheet_April20_v1!r27[G021]; User-confirmed Prerana EPA re-evaluation [1:19] PyMuPDF source unit EPA-A101 (27:5)</x:v>
      </x:c>
      <x:c r="AA65" s="30" t="str">
        <x:v>Clear — no codebook example passage retained</x:v>
      </x:c>
    </x:row>
    <x:row r="66" ht="54" customHeight="1">
      <x:c r="A66" s="30" t="str">
        <x:v>HK-001</x:v>
      </x:c>
      <x:c r="B66" s="30" t="str">
        <x:v>14:5</x:v>
      </x:c>
      <x:c r="C66" s="30" t="str">
        <x:v>pp 14-15</x:v>
      </x:c>
      <x:c r="D66" s="30"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x:v>
      </x:c>
      <x:c r="E66" s="30" t="str">
        <x:v>Hurricane Katrina</x:v>
      </x:c>
      <x:c r="F66" s="30" t="str">
        <x:v>gao-06-442t.pdf</x:v>
      </x:c>
      <x:c r="G66" s="30" t="str">
        <x:v>Yes</x:v>
      </x:c>
      <x:c r="H66" s="40" t="n">
        <x:v>1</x:v>
      </x:c>
      <x:c r="I66" s="40" t="str">
        <x:v>Yes</x:v>
      </x:c>
      <x:c r="J66" s="40" t="n">
        <x:v>1</x:v>
      </x:c>
      <x:c r="K66" s="40" t="str">
        <x:v>Yes</x:v>
      </x:c>
      <x:c r="L66" s="40"/>
      <x:c r="M66" s="40" t="str">
        <x:v>Yes</x:v>
      </x:c>
      <x:c r="N66" s="40" t="str">
        <x:v>anmol</x:v>
      </x:c>
      <x:c r="O66" s="30" t="str">
        <x:v>Depth: Moderate depth, Nature: Normative Nature, Pillar: Reconsidering (Epistemic), Stakeholder: Miscelleanous, Unlearning</x:v>
      </x:c>
      <x:c r="P66" s="30" t="str">
        <x:v>unlearning as it discards teh assumption of the traditional layered approach for evolving incidents.</x:v>
      </x:c>
      <x:c r="Q66" s="30" t="str">
        <x:v>AnmolRationale_August12!row 16 (Latest Anmol August 12 re-evaluation)</x:v>
      </x:c>
      <x:c r="R66" s="30" t="str">
        <x:v>AnmolRationale_August12!row 16</x:v>
      </x:c>
      <x:c r="S66" s="40" t="str">
        <x:v>No</x:v>
      </x:c>
      <x:c r="T66" s="30"/>
      <x:c r="U66" s="30"/>
      <x:c r="V66" s="30" t="str">
        <x:v>Exact annotation duplicate</x:v>
      </x:c>
      <x:c r="W66" s="30" t="str">
        <x:v>Consolidated exact duplicate annotations from multiple sheets into one passage row.</x:v>
      </x:c>
      <x:c r="X66" s="30" t="str">
        <x:v>Removed embedded PDF page header/footer Aligned to the complete PyMuPDF source paragraph. PyMuPDF source unit: HK-A038; raw blocks/lines: 14:2:36;14:2:37;14:2:38;14:2:39;14:2:40;14:2:41;14:2:42;14:2:43;15:2:0;15:2:1</x:v>
      </x:c>
      <x:c r="Y66" s="30" t="str">
        <x:v>AnmolRationale_August12!r16 (G084; anmol): Yes [SELECTED] | ICAResults_25April2026!r42 (G084; kyle): Yes | RationaleSheet_April20_v1!r73 (G084; kyle): Yes | GPT Test!r5 (G084; anmol): Yes</x:v>
      </x:c>
      <x:c r="Z66" s="30" t="str">
        <x:v>AnmolRationale_August12!r16[G084]; GPT Test!r5[G084]; ICAResults_25April2026!r42[G084]; RationaleSheet_April20_v1!r73[G084] PyMuPDF source unit HK-A038 (14:2:36;14:2:37;14:2:38;14:2:39;14:2:40;14:2:41;14:2:42;14:2:43;15:2:0;15:2:1)</x:v>
      </x:c>
      <x:c r="AA66" s="30" t="str">
        <x:v>Clear — no codebook example passage retained</x:v>
      </x:c>
    </x:row>
    <x:row r="67" ht="54" customHeight="1">
      <x:c r="A67" s="30" t="str">
        <x:v>HK-002</x:v>
      </x:c>
      <x:c r="B67" s="30" t="str">
        <x:v>14:6</x:v>
      </x:c>
      <x:c r="C67" s="30" t="str">
        <x:v>p 15</x:v>
      </x:c>
      <x:c r="D67" s="30"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E67" s="30" t="str">
        <x:v>Hurricane Katrina</x:v>
      </x:c>
      <x:c r="F67" s="30" t="str">
        <x:v>gao-06-442t.pdf</x:v>
      </x:c>
      <x:c r="G67" s="30" t="str">
        <x:v>No</x:v>
      </x:c>
      <x:c r="H67" s="40" t="n">
        <x:v>0</x:v>
      </x:c>
      <x:c r="I67" s="40" t="str">
        <x:v>No</x:v>
      </x:c>
      <x:c r="J67" s="40" t="n">
        <x:v>0</x:v>
      </x:c>
      <x:c r="K67" s="40" t="str">
        <x:v>No</x:v>
      </x:c>
      <x:c r="L67" s="40"/>
      <x:c r="M67" s="40" t="str">
        <x:v>Yes</x:v>
      </x:c>
      <x:c r="N67" s="40" t="str">
        <x:v>anmol</x:v>
      </x:c>
      <x:c r="O67" s="30"/>
      <x:c r="P67" s="30" t="str">
        <x:v>Not unlearning. It doesnt identify a specific issue and the change it suggest in atuhority doesnt sound like amajor departure from teh past norms.</x:v>
      </x:c>
      <x:c r="Q67" s="30" t="str">
        <x:v>AnmolRationale_August12!row 17 (Latest Anmol August 12 re-evaluation)</x:v>
      </x:c>
      <x:c r="R67" s="30" t="str">
        <x:v>AnmolRationale_August12!row 17</x:v>
      </x:c>
      <x:c r="S67" s="40" t="str">
        <x:v>No</x:v>
      </x:c>
      <x:c r="T67" s="30"/>
      <x:c r="U67" s="30"/>
      <x:c r="V67" s="30" t="str">
        <x:v>Exact annotation duplicate</x:v>
      </x:c>
      <x:c r="W67" s="30" t="str">
        <x:v>Consolidated exact duplicate annotations from multiple sheets into one passage row.</x:v>
      </x:c>
      <x:c r="X67" s="30" t="str">
        <x:v>Aligned to the complete PyMuPDF source paragraph. PyMuPDF source unit: HK-A039; raw blocks/lines: 15:2:3;15:2:4;15:2:5;15:2:6;15:2:7;15:2:8;15:2:9;15:2:10;15:2:11;15:2:12;15:2:13;15:2:14</x:v>
      </x:c>
      <x:c r="Y67" s="30" t="str">
        <x:v>AnmolRationale_August12!r17 (G088; anmol): No [SELECTED] | ICAResults_25April2026!r43 (G088; kyle): Yes | RationaleSheet_April20_v1!r74 (G088; kyle): Yes | GPT Test!r6 (G088; anmol): Yes</x:v>
      </x:c>
      <x:c r="Z67" s="30" t="str">
        <x:v>AnmolRationale_August12!r17[G088]; GPT Test!r6[G088]; ICAResults_25April2026!r43[G088]; RationaleSheet_April20_v1!r74[G088] PyMuPDF source unit HK-A039 (15:2:3;15:2:4;15:2:5;15:2:6;15:2:7;15:2:8;15:2:9;15:2:10;15:2:11;15:2:12;15:2:13;15:2:14)</x:v>
      </x:c>
      <x:c r="AA67" s="30" t="str">
        <x:v>Clear — no codebook example passage retained</x:v>
      </x:c>
    </x:row>
    <x:row r="68" ht="54" customHeight="1">
      <x:c r="A68" s="30" t="str">
        <x:v>HK-003</x:v>
      </x:c>
      <x:c r="B68" s="30" t="str">
        <x:v>14:7</x:v>
      </x:c>
      <x:c r="C68" s="30" t="str">
        <x:v>p 18</x:v>
      </x:c>
      <x:c r="D68" s="30"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E68" s="30" t="str">
        <x:v>Hurricane Katrina</x:v>
      </x:c>
      <x:c r="F68" s="30" t="str">
        <x:v>gao-06-442t.pdf</x:v>
      </x:c>
      <x:c r="G68" s="30" t="str">
        <x:v>Yes</x:v>
      </x:c>
      <x:c r="H68" s="40" t="n">
        <x:v>1</x:v>
      </x:c>
      <x:c r="I68" s="40" t="str">
        <x:v>Yes</x:v>
      </x:c>
      <x:c r="J68" s="40" t="n">
        <x:v>1</x:v>
      </x:c>
      <x:c r="K68" s="40" t="str">
        <x:v>Yes</x:v>
      </x:c>
      <x:c r="L68" s="40"/>
      <x:c r="M68" s="40" t="str">
        <x:v>Yes</x:v>
      </x:c>
      <x:c r="N68" s="40" t="str">
        <x:v>anmol</x:v>
      </x:c>
      <x:c r="O68" s="30" t="str">
        <x:v>Depth: High depth, Nature: Normative Nature, Pillar: Discarding (Normative), Pillar: Reconsidering (Epistemic), Stakeholder: Miscelleanous, Unlearning</x:v>
      </x:c>
      <x:c r="P68" s="30" t="str">
        <x:v>Unlearning as it specifically talks about discarding rules and regulations and SOPs that come in the way of flexibility and vital supplies.</x:v>
      </x:c>
      <x:c r="Q68" s="30" t="str">
        <x:v>AnmolRationale_August12!row 18 (Latest Anmol August 12 re-evaluation)</x:v>
      </x:c>
      <x:c r="R68" s="30" t="str">
        <x:v>AnmolRationale_August12!row 18</x:v>
      </x:c>
      <x:c r="S68" s="40" t="str">
        <x:v>No</x:v>
      </x:c>
      <x:c r="T68" s="30"/>
      <x:c r="U68" s="30"/>
      <x:c r="V68" s="30" t="str">
        <x:v>Exact annotation duplicate</x:v>
      </x:c>
      <x:c r="W68" s="30" t="str">
        <x:v>Consolidated exact duplicate annotations from multiple sheets into one passage row.</x:v>
      </x:c>
      <x:c r="X68" s="30" t="str">
        <x:v>Aligned to the complete PyMuPDF source paragraph. PyMuPDF source unit: HK-A048; raw blocks/lines: 18:3:0;18:3:1;18:3:2;18:3:3;18:3:4;18:3:5;18:3:6;18:3:7;18:3:8;18:3:9;18:3:10</x:v>
      </x:c>
      <x:c r="Y68" s="30" t="str">
        <x:v>AnmolRationale_August12!r18 (G089; anmol): Yes [SELECTED] | ICAResults_25April2026!r44 (G089; kyle): Yes | RationaleSheet_April20_v1!r75 (G089; kyle): Yes | GPT Test!r7 (G089; anmol): Yes | Findings!r7 (G089; no labeler): Yes</x:v>
      </x:c>
      <x:c r="Z68" s="30" t="str">
        <x:v>AnmolRationale_August12!r18[G089]; Findings!r7[G089]; GPT Test!r7[G089]; ICAResults_25April2026!r44[G089]; RationaleSheet_April20_v1!r75[G089] PyMuPDF source unit HK-A048 (18:3:0;18:3:1;18:3:2;18:3:3;18:3:4;18:3:5;18:3:6;18:3:7;18:3:8;18:3:9;18:3:10)</x:v>
      </x:c>
      <x:c r="AA68" s="30" t="str">
        <x:v>Clear — no codebook example passage retained</x:v>
      </x:c>
    </x:row>
    <x:row r="69" ht="54" customHeight="1">
      <x:c r="A69" s="30" t="str">
        <x:v>HK-004</x:v>
      </x:c>
      <x:c r="B69" s="30" t="str">
        <x:v>14:8</x:v>
      </x:c>
      <x:c r="C69" s="30" t="str">
        <x:v>p 19</x:v>
      </x:c>
      <x:c r="D69" s="30"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E69" s="30" t="str">
        <x:v>Hurricane Katrina</x:v>
      </x:c>
      <x:c r="F69" s="30" t="str">
        <x:v>gao-06-442t.pdf</x:v>
      </x:c>
      <x:c r="G69" s="30" t="str">
        <x:v>Yes</x:v>
      </x:c>
      <x:c r="H69" s="40" t="n">
        <x:v>1</x:v>
      </x:c>
      <x:c r="I69" s="40" t="str">
        <x:v>Yes</x:v>
      </x:c>
      <x:c r="J69" s="40" t="n">
        <x:v>1</x:v>
      </x:c>
      <x:c r="K69" s="40" t="str">
        <x:v>Yes</x:v>
      </x:c>
      <x:c r="L69" s="40"/>
      <x:c r="M69" s="40" t="str">
        <x:v>Yes</x:v>
      </x:c>
      <x:c r="N69" s="40" t="str">
        <x:v>anmol</x:v>
      </x:c>
      <x:c r="O69" s="30" t="str">
        <x:v>Depth: High depth, Nature: Technical Nature, Pillar: Merging (Integrative), Stakeholder: Miscelleanous, Unlearning</x:v>
      </x:c>
      <x:c r="P69" s="30" t="str">
        <x:v>Unlearning as it identifies interoperable communication as a clear policy problem and tmakes recommendations that seem to suggest departure from teh past approached.</x:v>
      </x:c>
      <x:c r="Q69" s="30" t="str">
        <x:v>AnmolRationale_August12!row 19 (Latest Anmol August 12 re-evaluation)</x:v>
      </x:c>
      <x:c r="R69" s="30" t="str">
        <x:v>AnmolRationale_August12!row 19</x:v>
      </x:c>
      <x:c r="S69" s="40" t="str">
        <x:v>No</x:v>
      </x:c>
      <x:c r="T69" s="30"/>
      <x:c r="U69" s="30"/>
      <x:c r="V69" s="30" t="str">
        <x:v>Exact annotation duplicate</x:v>
      </x:c>
      <x:c r="W69" s="30" t="str">
        <x:v>Consolidated exact duplicate annotations from multiple sheets into one passage row.</x:v>
      </x:c>
      <x:c r="X69" s="30" t="str">
        <x:v>Aligned to the complete PyMuPDF source paragraph. PyMuPDF source unit: HK-A051; raw blocks/lines: 19:3:0;19:3:1;19:3:2;19:3:3;19:3:4;19:3:5;19:3:6;19:3:7;19:3:8;19:3:9;19:3:10;19:3:11;19:3:12;19:3:13;19:3:14;19:3:15;19:3:16;19:3:17;19:3:18</x:v>
      </x:c>
      <x:c r="Y69" s="30" t="str">
        <x:v>AnmolRationale_August12!r19 (G091; anmol): Yes [SELECTED] | ICAResults_25April2026!r45 (G091; kyle): Yes | RationaleSheet_April20_v1!r76 (G091; kyle): Yes | GPT Test!r8 (G091; anmol): Yes | Findings!r6 (G091; no labeler): Yes</x:v>
      </x:c>
      <x:c r="Z69" s="30" t="str">
        <x:v>AnmolRationale_August12!r19[G091]; Findings!r6[G091]; GPT Test!r8[G091]; ICAResults_25April2026!r45[G091]; RationaleSheet_April20_v1!r76[G091] PyMuPDF source unit HK-A051 (19:3:0;19:3:1;19:3:2;19:3:3;19:3:4;19:3:5;19:3:6;19:3:7;19:3:8;19:3:9;19:3:10;19:3:11;19:3:12;19:3:13;19:3:14;19:3:15;19:3:16;19:3:17;19:3:18)</x:v>
      </x:c>
      <x:c r="AA69" s="30" t="str">
        <x:v>Clear — no codebook example passage retained</x:v>
      </x:c>
    </x:row>
    <x:row r="70" ht="54" customHeight="1">
      <x:c r="A70" s="30" t="str">
        <x:v>HK-005</x:v>
      </x:c>
      <x:c r="B70" s="30" t="str">
        <x:v>14:9</x:v>
      </x:c>
      <x:c r="C70" s="30" t="str">
        <x:v>p 19</x:v>
      </x:c>
      <x:c r="D70" s="30"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E70" s="30" t="str">
        <x:v>Hurricane Katrina</x:v>
      </x:c>
      <x:c r="F70" s="30" t="str">
        <x:v>gao-06-442t.pdf</x:v>
      </x:c>
      <x:c r="G70" s="30" t="str">
        <x:v>No</x:v>
      </x:c>
      <x:c r="H70" s="40" t="n">
        <x:v>0</x:v>
      </x:c>
      <x:c r="I70" s="40" t="str">
        <x:v>No</x:v>
      </x:c>
      <x:c r="J70" s="40" t="n">
        <x:v>0</x:v>
      </x:c>
      <x:c r="K70" s="40" t="str">
        <x:v>No</x:v>
      </x:c>
      <x:c r="L70" s="40"/>
      <x:c r="M70" s="40" t="str">
        <x:v>Yes</x:v>
      </x:c>
      <x:c r="N70" s="40" t="str">
        <x:v>anmol</x:v>
      </x:c>
      <x:c r="O70" s="30"/>
      <x:c r="P70" s="30" t="str">
        <x:v>Not unleaarning. They identify a problem, but offer not clear reform that breaks from the past practices.</x:v>
      </x:c>
      <x:c r="Q70" s="30" t="str">
        <x:v>AnmolRationale_August12!row 20 (Latest Anmol August 12 re-evaluation)</x:v>
      </x:c>
      <x:c r="R70" s="30" t="str">
        <x:v>AnmolRationale_August12!row 20</x:v>
      </x:c>
      <x:c r="S70" s="40" t="str">
        <x:v>No</x:v>
      </x:c>
      <x:c r="T70" s="30"/>
      <x:c r="U70" s="30"/>
      <x:c r="V70" s="30" t="str">
        <x:v>Exact annotation duplicate</x:v>
      </x:c>
      <x:c r="W70" s="30" t="str">
        <x:v>Consolidated exact duplicate annotations from multiple sheets into one passage row.</x:v>
      </x:c>
      <x:c r="X70" s="30" t="str">
        <x:v>Aligned to the complete PyMuPDF source paragraph. PyMuPDF source unit: HK-A052; raw blocks/lines: 19:4:0;19:4:1;19:4:2;19:4:3;19:4:4;19:4:5;19:4:6;19:4:7;19:4:8;19:4:9</x:v>
      </x:c>
      <x:c r="Y70" s="30" t="str">
        <x:v>AnmolRationale_August12!r20 (G090; anmol): No [SELECTED] | ICAResults_25April2026!r46 (G090; kyle): Yes | RationaleSheet_April20_v1!r77 (G090; kyle): Yes | GPT Test!r9 (G090; anmol): Yes | Findings!r5 (G090; no labeler): Yes</x:v>
      </x:c>
      <x:c r="Z70" s="30" t="str">
        <x:v>AnmolRationale_August12!r20[G090]; Findings!r5[G090]; GPT Test!r9[G090]; ICAResults_25April2026!r46[G090]; RationaleSheet_April20_v1!r77[G090] PyMuPDF source unit HK-A052 (19:4:0;19:4:1;19:4:2;19:4:3;19:4:4;19:4:5;19:4:6;19:4:7;19:4:8;19:4:9)</x:v>
      </x:c>
      <x:c r="AA70" s="30" t="str">
        <x:v>Clear — no codebook example passage retained</x:v>
      </x:c>
    </x:row>
    <x:row r="71" ht="54" customHeight="1">
      <x:c r="A71" s="30" t="str">
        <x:v>HK-006</x:v>
      </x:c>
      <x:c r="B71" s="30" t="str">
        <x:v>14:10</x:v>
      </x:c>
      <x:c r="C71" s="30" t="str">
        <x:v>pp 19-20</x:v>
      </x:c>
      <x:c r="D71" s="30"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E71" s="30" t="str">
        <x:v>Hurricane Katrina</x:v>
      </x:c>
      <x:c r="F71" s="30" t="str">
        <x:v>gao-06-442t.pdf</x:v>
      </x:c>
      <x:c r="G71" s="30" t="str">
        <x:v>No</x:v>
      </x:c>
      <x:c r="H71" s="40" t="n">
        <x:v>0</x:v>
      </x:c>
      <x:c r="I71" s="40" t="str">
        <x:v>No</x:v>
      </x:c>
      <x:c r="J71" s="40" t="n">
        <x:v>0</x:v>
      </x:c>
      <x:c r="K71" s="40" t="str">
        <x:v>No</x:v>
      </x:c>
      <x:c r="L71" s="40"/>
      <x:c r="M71" s="40" t="str">
        <x:v>No</x:v>
      </x:c>
      <x:c r="N71" s="40" t="str">
        <x:v>anmol</x:v>
      </x:c>
      <x:c r="O71" s="30"/>
      <x:c r="P71" s="30" t="str">
        <x:v>not unlearning as the reforms seem additive capacity building related, not fundamental changes.</x:v>
      </x:c>
      <x:c r="Q71" s="30" t="str">
        <x:v>AnmolRationale_August12!row 21 (Latest Anmol August 12 re-evaluation)</x:v>
      </x:c>
      <x:c r="R71" s="30" t="str">
        <x:v>AnmolRationale_August12!row 21</x:v>
      </x:c>
      <x:c r="S71" s="40" t="str">
        <x:v>No</x:v>
      </x:c>
      <x:c r="T71" s="30"/>
      <x:c r="U71" s="30"/>
      <x:c r="V71" s="30" t="str">
        <x:v>Near/exact text variant</x:v>
      </x:c>
      <x:c r="W71" s="30" t="str">
        <x:v>Consolidated equivalent text groups G083, G085; retained cleaner representative G083. Also consolidated repeated annotations across source sheets.</x:v>
      </x:c>
      <x:c r="X71" s="30" t="str">
        <x:v>Aligned to the complete PyMuPDF source paragraph. PyMuPDF source unit: HK-A053; raw blocks/lines: 19:5:0;19:5:1;19:5:2;19:5:3;19:5:4;19:5:5;19:5:6;20:2:0;20:2:1;20:2:2;20:2:3;20:2:4</x:v>
      </x:c>
      <x:c r="Y71" s="30" t="str">
        <x:v>AnmolRationale_August12!r21 (G083; anmol): No [SELECTED] | ICAResults_25April2026!r47 (G085; kyle): No | RationaleSheet_April20_v1!r78 (G085; kyle): No</x:v>
      </x:c>
      <x:c r="Z71" s="30" t="str">
        <x:v>AnmolRationale_August12!r21[G083]; ICAResults_25April2026!r47[G085]; RationaleSheet_April20_v1!r78[G085] PyMuPDF source unit HK-A053 (19:5:0;19:5:1;19:5:2;19:5:3;19:5:4;19:5:5;19:5:6;20:2:0;20:2:1;20:2:2;20:2:3;20:2:4)</x:v>
      </x:c>
      <x:c r="AA71" s="30" t="str">
        <x:v>Clear — no codebook example passage retained</x:v>
      </x:c>
    </x:row>
    <x:row r="72" ht="54" customHeight="1">
      <x:c r="A72" s="30" t="str">
        <x:v>HK-007</x:v>
      </x:c>
      <x:c r="B72" s="30" t="str">
        <x:v>14:11</x:v>
      </x:c>
      <x:c r="C72" s="30" t="str">
        <x:v>p 24</x:v>
      </x:c>
      <x:c r="D72" s="30" t="str">
        <x:v>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E72" s="30" t="str">
        <x:v>Hurricane Katrina</x:v>
      </x:c>
      <x:c r="F72" s="30" t="str">
        <x:v>gao-06-442t.pdf</x:v>
      </x:c>
      <x:c r="G72" s="30" t="str">
        <x:v>No</x:v>
      </x:c>
      <x:c r="H72" s="40" t="n">
        <x:v>0</x:v>
      </x:c>
      <x:c r="I72" s="40" t="str">
        <x:v>No</x:v>
      </x:c>
      <x:c r="J72" s="40" t="n">
        <x:v>0</x:v>
      </x:c>
      <x:c r="K72" s="40" t="str">
        <x:v>No</x:v>
      </x:c>
      <x:c r="L72" s="40"/>
      <x:c r="M72" s="40" t="str">
        <x:v>No</x:v>
      </x:c>
      <x:c r="N72" s="40" t="str">
        <x:v>anmol</x:v>
      </x:c>
      <x:c r="O72" s="30"/>
      <x:c r="P72" s="30" t="str">
        <x:v>Not unlearning as these seem additional capacity related.</x:v>
      </x:c>
      <x:c r="Q72" s="30" t="str">
        <x:v>AnmolRationale_August12!row 22 (Latest Anmol August 12 re-evaluation)</x:v>
      </x:c>
      <x:c r="R72" s="30" t="str">
        <x:v>AnmolRationale_August12!row 22</x:v>
      </x:c>
      <x:c r="S72" s="40" t="str">
        <x:v>No</x:v>
      </x:c>
      <x:c r="T72" s="30"/>
      <x:c r="U72" s="30"/>
      <x:c r="V72" s="30" t="str">
        <x:v>Exact annotation duplicate</x:v>
      </x:c>
      <x:c r="W72" s="30" t="str">
        <x:v>Consolidated exact duplicate annotations from multiple sheets into one passage row.</x:v>
      </x:c>
      <x:c r="X72" s="30" t="str">
        <x:v>Expanded the cropped excerpt to the complete source paragraph. PyMuPDF source unit: HK-A067; raw blocks/lines: 24:2:0;24:2:1;24:2:2;24:2:3;24:2:4;24:2:5;24:2:6;24:2:7;24:2:8;24:2:9</x:v>
      </x:c>
      <x:c r="Y72" s="30" t="str">
        <x:v>AnmolRationale_August12!r22 (G093; anmol): No [SELECTED] | ICAResults_25April2026!r48 (G093; kyle): No | RationaleSheet_April20_v1!r79 (G093; kyle): No | Findings!r2 (G093; no labeler): No</x:v>
      </x:c>
      <x:c r="Z72" s="30" t="str">
        <x:v>AnmolRationale_August12!r22[G093]; Findings!r2[G093]; ICAResults_25April2026!r48[G093]; RationaleSheet_April20_v1!r79[G093] PyMuPDF source unit HK-A067 (24:2:0;24:2:1;24:2:2;24:2:3;24:2:4;24:2:5;24:2:6;24:2:7;24:2:8;24:2:9)</x:v>
      </x:c>
      <x:c r="AA72" s="30" t="str">
        <x:v>Clear — no codebook example passage retained</x:v>
      </x:c>
    </x:row>
    <x:row r="73" ht="54" customHeight="1">
      <x:c r="A73" s="30" t="str">
        <x:v>HK-008</x:v>
      </x:c>
      <x:c r="B73" s="30" t="str">
        <x:v>14:13</x:v>
      </x:c>
      <x:c r="C73" s="30" t="str">
        <x:v>p 37</x:v>
      </x:c>
      <x:c r="D73" s="30"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E73" s="30" t="str">
        <x:v>Hurricane Katrina</x:v>
      </x:c>
      <x:c r="F73" s="30" t="str">
        <x:v>gao-06-442t.pdf</x:v>
      </x:c>
      <x:c r="G73" s="30" t="str">
        <x:v>Yes</x:v>
      </x:c>
      <x:c r="H73" s="40" t="n">
        <x:v>1</x:v>
      </x:c>
      <x:c r="I73" s="40" t="str">
        <x:v>Yes</x:v>
      </x:c>
      <x:c r="J73" s="40" t="n">
        <x:v>1</x:v>
      </x:c>
      <x:c r="K73" s="40" t="str">
        <x:v>Yes</x:v>
      </x:c>
      <x:c r="L73" s="40"/>
      <x:c r="M73" s="40" t="str">
        <x:v>Yes</x:v>
      </x:c>
      <x:c r="N73" s="40" t="str">
        <x:v>anmol</x:v>
      </x:c>
      <x:c r="O73" s="30" t="str">
        <x:v>Depth: High depth, Nature: Normative Nature, Pillar: Reconsidering (Epistemic), Unlearning</x:v>
      </x:c>
      <x:c r="P73" s="30" t="str">
        <x:v>This is unlearning as it identifies a problem in resettlement adn healthcare, and makes a cse for shifting away from hospital-centric system</x:v>
      </x:c>
      <x:c r="Q73" s="30" t="str">
        <x:v>AnmolRationale_August12!row 24 (Latest Anmol August 12 re-evaluation)</x:v>
      </x:c>
      <x:c r="R73" s="30" t="str">
        <x:v>RationaleSheet_April20_v1!row 81 (supporting older rationale)</x:v>
      </x:c>
      <x:c r="S73" s="40" t="str">
        <x:v>No</x:v>
      </x:c>
      <x:c r="T73" s="30"/>
      <x:c r="U73" s="30"/>
      <x:c r="V73" s="30" t="str">
        <x:v>Exact annotation duplicate</x:v>
      </x:c>
      <x:c r="W73" s="30" t="str">
        <x:v>Consolidated exact duplicate annotations from multiple sheets into one passage row.</x:v>
      </x:c>
      <x:c r="X73" s="30" t="str">
        <x:v>Aligned to the complete PyMuPDF source paragraph. PyMuPDF source unit: HK-A113; raw blocks/lines: 37:3:0;37:3:1;37:3:2;37:3:3;37:3:4;37:3:5;37:3:6;37:3:7;37:3:8</x:v>
      </x:c>
      <x:c r="Y73" s="30" t="str">
        <x:v>AnmolRationale_August12!r24 (G094; anmol): Yes [SELECTED] | ICAResults_25April2026!r50 (G094; kyle): Yes | RationaleSheet_April20_v1!r81 (G094; kyle): Yes | GPT Test!r11 (G094; anmol): Yes</x:v>
      </x:c>
      <x:c r="Z73" s="30" t="str">
        <x:v>AnmolRationale_August12!r24[G094]; GPT Test!r11[G094]; ICAResults_25April2026!r50[G094]; RationaleSheet_April20_v1!r81[G094] PyMuPDF source unit HK-A113 (37:3:0;37:3:1;37:3:2;37:3:3;37:3:4;37:3:5;37:3:6;37:3:7;37:3:8)</x:v>
      </x:c>
      <x:c r="AA73" s="30" t="str">
        <x:v>Clear — no codebook example passage retained</x:v>
      </x:c>
    </x:row>
    <x:row r="74" ht="54" customHeight="1">
      <x:c r="A74" s="30" t="str">
        <x:v>HK-009</x:v>
      </x:c>
      <x:c r="B74" s="30" t="str">
        <x:v>14:14</x:v>
      </x:c>
      <x:c r="C74" s="30" t="str">
        <x:v>p 39</x:v>
      </x:c>
      <x:c r="D74" s="30"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E74" s="30" t="str">
        <x:v>Hurricane Katrina</x:v>
      </x:c>
      <x:c r="F74" s="30" t="str">
        <x:v>gao-06-442t.pdf</x:v>
      </x:c>
      <x:c r="G74" s="30" t="str">
        <x:v>Yes</x:v>
      </x:c>
      <x:c r="H74" s="40" t="n">
        <x:v>1</x:v>
      </x:c>
      <x:c r="I74" s="40" t="str">
        <x:v>Yes</x:v>
      </x:c>
      <x:c r="J74" s="40" t="n">
        <x:v>1</x:v>
      </x:c>
      <x:c r="K74" s="40" t="str">
        <x:v>Yes</x:v>
      </x:c>
      <x:c r="L74" s="40"/>
      <x:c r="M74" s="40" t="str">
        <x:v>Yes</x:v>
      </x:c>
      <x:c r="N74" s="40" t="str">
        <x:v>anmol</x:v>
      </x:c>
      <x:c r="O74" s="30" t="str">
        <x:v>Depth: High depth, Nature: Technical Nature, Pillar: Reconsidering (Epistemic), Stakeholder: Miscelleanous, Unlearning</x:v>
      </x:c>
      <x:c r="P74" s="30" t="str">
        <x:v>Unlearning as it idenfieis fundamental shift in healthcare practice toward preventative care</x:v>
      </x:c>
      <x:c r="Q74" s="30" t="str">
        <x:v>AnmolRationale_August12!row 25 (Latest Anmol August 12 re-evaluation)</x:v>
      </x:c>
      <x:c r="R74" s="30" t="str">
        <x:v>AnmolRationale_August12!row 25</x:v>
      </x:c>
      <x:c r="S74" s="40" t="str">
        <x:v>No</x:v>
      </x:c>
      <x:c r="T74" s="30"/>
      <x:c r="U74" s="30"/>
      <x:c r="V74" s="30" t="str">
        <x:v>Exact annotation duplicate</x:v>
      </x:c>
      <x:c r="W74" s="30" t="str">
        <x:v>Consolidated exact duplicate annotations from multiple sheets into one passage row.</x:v>
      </x:c>
      <x:c r="X74" s="30" t="str">
        <x:v>Aligned to the complete PyMuPDF source paragraph. PyMuPDF source unit: HK-A121; raw blocks/lines: 39:2:11;39:2:12;39:2:13;39:2:14;39:2:15;39:2:16;39:2:17;39:2:18;39:2:19;39:2:20;39:2:21;39:2:22;39:2:23;39:2:24;39:2:25;39:2:26;39:2:27;39:2:28</x:v>
      </x:c>
      <x:c r="Y74" s="30" t="str">
        <x:v>AnmolRationale_August12!r25 (G095; anmol): Yes [SELECTED] | ICAResults_25April2026!r51 (G095; kyle): Yes | RationaleSheet_April20_v1!r82 (G095; kyle): Yes | GPT Test!r12 (G095; anmol): Yes</x:v>
      </x:c>
      <x:c r="Z74" s="30" t="str">
        <x:v>AnmolRationale_August12!r25[G095]; GPT Test!r12[G095]; ICAResults_25April2026!r51[G095]; RationaleSheet_April20_v1!r82[G095] PyMuPDF source unit HK-A121 (39:2:11;39:2:12;39:2:13;39:2:14;39:2:15;39:2:16;39:2:17;39:2:18;39:2:19;39:2:20;39:2:21;39:2:22;39:2:23;39:2:24;39:2:25;39:2:26;39:2:27;39:2:28)</x:v>
      </x:c>
      <x:c r="AA74" s="30" t="str">
        <x:v>Clear — no codebook example passage retained</x:v>
      </x:c>
    </x:row>
    <x:row r="75" ht="54" customHeight="1">
      <x:c r="A75" s="30" t="str">
        <x:v>HK-010</x:v>
      </x:c>
      <x:c r="B75" s="30"/>
      <x:c r="C75" s="30" t="str">
        <x:v>pp 21-22</x:v>
      </x:c>
      <x:c r="D75" s="30"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x:v>
      </x:c>
      <x:c r="E75" s="30" t="str">
        <x:v>Hurricane Katrina</x:v>
      </x:c>
      <x:c r="F75" s="30" t="str">
        <x:v>gao-06-442t.pdf</x:v>
      </x:c>
      <x:c r="G75" s="30" t="str">
        <x:v>No</x:v>
      </x:c>
      <x:c r="H75" s="40" t="n">
        <x:v>0</x:v>
      </x:c>
      <x:c r="I75" s="40" t="str">
        <x:v>No</x:v>
      </x:c>
      <x:c r="J75" s="40" t="n">
        <x:v>0</x:v>
      </x:c>
      <x:c r="K75" s="40"/>
      <x:c r="L75" s="40"/>
      <x:c r="M75" s="40"/>
      <x:c r="N75" s="40"/>
      <x:c r="O75" s="30"/>
      <x:c r="P75" s="30" t="str">
        <x:v>example of learning through better logistics and debris removal capabilities.</x:v>
      </x:c>
      <x:c r="Q75" s="30" t="str">
        <x:v>Findings!row 3 (Latest available record by sheet chronology)</x:v>
      </x:c>
      <x:c r="R75" s="30" t="str">
        <x:v>Findings!row 3</x:v>
      </x:c>
      <x:c r="S75" s="40" t="str">
        <x:v>Yes</x:v>
      </x:c>
      <x:c r="T75" s="30" t="str">
        <x:v>No original human labeler was recorded; passage appears only in Findings. The source paragraph crosses pages 21-22; verify the reconstructed boundary if needed.</x:v>
      </x:c>
      <x:c r="U75" s="30"/>
      <x:c r="V75" s="30" t="str">
        <x:v>None</x:v>
      </x:c>
      <x:c r="W75" s="30"/>
      <x:c r="X75" s="30" t="str">
        <x:v>Expanded and merged the cross-page fragment into the complete source paragraph. PyMuPDF source unit: HK-A060; raw blocks/lines: 21:5:0;21:5:1;21:5:2;21:5:3;21:5:4;22:2:0;22:2:1;22:2:2;22:2:3;22:2:4;22:2:5</x:v>
      </x:c>
      <x:c r="Y75" s="30" t="str">
        <x:v>Findings!r3 (G081; no labeler): No [SELECTED]</x:v>
      </x:c>
      <x:c r="Z75" s="30" t="str">
        <x:v>Findings!r3[G081] PyMuPDF source unit HK-A060 (21:5:0;21:5:1;21:5:2;21:5:3;21:5:4;22:2:0;22:2:1;22:2:2;22:2:3;22:2:4;22:2:5)</x:v>
      </x:c>
      <x:c r="AA75" s="30" t="str">
        <x:v>Clear — no codebook example passage retained</x:v>
      </x:c>
    </x:row>
    <x:row r="76" ht="54" customHeight="1">
      <x:c r="A76" s="30" t="str">
        <x:v>HK-011</x:v>
      </x:c>
      <x:c r="B76" s="30"/>
      <x:c r="C76" s="30" t="str">
        <x:v>p 20</x:v>
      </x:c>
      <x:c r="D76" s="30" t="str">
        <x:v>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E76" s="30" t="str">
        <x:v>Hurricane Katrina</x:v>
      </x:c>
      <x:c r="F76" s="30" t="str">
        <x:v>gao-06-442t.pdf</x:v>
      </x:c>
      <x:c r="G76" s="30" t="str">
        <x:v>No</x:v>
      </x:c>
      <x:c r="H76" s="40" t="n">
        <x:v>0</x:v>
      </x:c>
      <x:c r="I76" s="40" t="str">
        <x:v>No</x:v>
      </x:c>
      <x:c r="J76" s="40" t="n">
        <x:v>0</x:v>
      </x:c>
      <x:c r="K76" s="40"/>
      <x:c r="L76" s="40"/>
      <x:c r="M76" s="40"/>
      <x:c r="N76" s="40"/>
      <x:c r="O76" s="30"/>
      <x:c r="P76" s="30" t="str">
        <x:v>It aims to add nursing homes to the medical system but the underlying logic of the NDMS</x:v>
      </x:c>
      <x:c r="Q76" s="30" t="str">
        <x:v>Findings!row 4 (Latest available record by sheet chronology)</x:v>
      </x:c>
      <x:c r="R76" s="30" t="str">
        <x:v>Findings!row 4</x:v>
      </x:c>
      <x:c r="S76" s="40" t="str">
        <x:v>Yes</x:v>
      </x:c>
      <x:c r="T76" s="30" t="str">
        <x:v>No original human labeler was recorded; passage appears only in Findings.</x:v>
      </x:c>
      <x:c r="U76" s="30"/>
      <x:c r="V76" s="30" t="str">
        <x:v>None</x:v>
      </x:c>
      <x:c r="W76" s="30"/>
      <x:c r="X76" s="30" t="str">
        <x:v>Expanded the quotation-like fragment to the complete evacuation paragraph. PyMuPDF source unit: HK-A054; raw blocks/lines: 20:3:0;20:3:1;20:3:2;20:3:3;20:3:4;20:3:5;20:3:6;20:3:7;20:3:8;20:3:9</x:v>
      </x:c>
      <x:c r="Y76" s="30" t="str">
        <x:v>Findings!r4 (G082; no labeler): No [SELECTED]</x:v>
      </x:c>
      <x:c r="Z76" s="30" t="str">
        <x:v>Findings!r4[G082] PyMuPDF source unit HK-A054 (20:3:0;20:3:1;20:3:2;20:3:3;20:3:4;20:3:5;20:3:6;20:3:7;20:3:8;20:3:9)</x:v>
      </x:c>
      <x:c r="AA76" s="30" t="str">
        <x:v>Clear — no codebook example passage retained</x:v>
      </x:c>
    </x:row>
    <x:row r="77" ht="54" customHeight="1">
      <x:c r="A77" s="30" t="str">
        <x:v>PAR-001</x:v>
      </x:c>
      <x:c r="B77" s="30" t="str">
        <x:v>1:1</x:v>
      </x:c>
      <x:c r="C77" s="30" t="str">
        <x:v>p 3</x:v>
      </x:c>
      <x:c r="D77" s="30" t="str">
        <x:v>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x:v>
      </x:c>
      <x:c r="E77" s="30" t="str">
        <x:v>PAR</x:v>
      </x:c>
      <x:c r="F77" s="30" t="str">
        <x:v>Public Administration Review - 2010 - McGuire - What if Hurricane Katrina Hit in 2020  The Need for Strategic Management of.pdf</x:v>
      </x:c>
      <x:c r="G77" s="30" t="str">
        <x:v>Yes</x:v>
      </x:c>
      <x:c r="H77" s="40" t="n">
        <x:v>1</x:v>
      </x:c>
      <x:c r="I77" s="40" t="str">
        <x:v>Yes</x:v>
      </x:c>
      <x:c r="J77" s="40" t="n">
        <x:v>1</x:v>
      </x:c>
      <x:c r="K77" s="40" t="str">
        <x:v>Yes</x:v>
      </x:c>
      <x:c r="L77" s="40"/>
      <x:c r="M77" s="40"/>
      <x:c r="N77" s="40" t="str">
        <x:v>anmol</x:v>
      </x:c>
      <x:c r="O77" s="30" t="str">
        <x:v>Unlearning</x:v>
      </x:c>
      <x:c r="P77" s="30" t="str">
        <x:v>It identifies NRP as a specific plan that didn't work as well as conflict among regions. It asks for discontinuous change but implicitly.</x:v>
      </x:c>
      <x:c r="Q77" s="30" t="str">
        <x:v>AnmolRationale_August12!row 56 (Latest Anmol August 12 re-evaluation)</x:v>
      </x:c>
      <x:c r="R77" s="30" t="str">
        <x:v>AnmolRationale_August12!row 56</x:v>
      </x:c>
      <x:c r="S77" s="40" t="str">
        <x:v>No</x:v>
      </x:c>
      <x:c r="T77" s="30"/>
      <x:c r="U77" s="30"/>
      <x:c r="V77" s="30" t="str">
        <x:v>Exact annotation duplicate</x:v>
      </x:c>
      <x:c r="W77" s="30" t="str">
        <x:v>Consolidated exact duplicate annotations from multiple sheets into one passage row.</x:v>
      </x:c>
      <x:c r="X77" s="30" t="str">
        <x:v>Aligned to the complete source paragraph and repaired PDF ligature artifacts. PyMuPDF source unit: PAR-A011; raw blocks/lines: 3:7</x:v>
      </x:c>
      <x:c r="Y77" s="30" t="str">
        <x:v>AnmolRationale_August12!r56 (G031; anmol): Yes [SELECTED] | PAR_Anmol_June27!r2 (G031; anmol): Yes</x:v>
      </x:c>
      <x:c r="Z77" s="30" t="str">
        <x:v>AnmolRationale_August12!r56[G031]; PAR_Anmol_June27!r2[G031] PyMuPDF source unit PAR-A011 (3:7)</x:v>
      </x:c>
      <x:c r="AA77" s="30" t="str">
        <x:v>Clear — no codebook example passage retained</x:v>
      </x:c>
    </x:row>
    <x:row r="78" ht="54" customHeight="1">
      <x:c r="A78" s="30" t="str">
        <x:v>PAR-002</x:v>
      </x:c>
      <x:c r="B78" s="30" t="str">
        <x:v>1:3</x:v>
      </x:c>
      <x:c r="C78" s="30" t="str">
        <x:v>p 3</x:v>
      </x:c>
      <x:c r="D78" s="30" t="str">
        <x:v>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x:v>
      </x:c>
      <x:c r="E78" s="30" t="str">
        <x:v>PAR</x:v>
      </x:c>
      <x:c r="F78" s="30" t="str">
        <x:v>Public Administration Review - 2010 - McGuire - What if Hurricane Katrina Hit in 2020  The Need for Strategic Management of.pdf</x:v>
      </x:c>
      <x:c r="G78" s="30" t="str">
        <x:v>Yes</x:v>
      </x:c>
      <x:c r="H78" s="40" t="n">
        <x:v>1</x:v>
      </x:c>
      <x:c r="I78" s="40" t="str">
        <x:v>Yes</x:v>
      </x:c>
      <x:c r="J78" s="40" t="n">
        <x:v>1</x:v>
      </x:c>
      <x:c r="K78" s="40" t="str">
        <x:v>Yes</x:v>
      </x:c>
      <x:c r="L78" s="40" t="str">
        <x:v>Yes</x:v>
      </x:c>
      <x:c r="M78" s="40"/>
      <x:c r="N78" s="40" t="str">
        <x:v>anmol</x:v>
      </x:c>
      <x:c r="O78" s="30" t="str">
        <x:v>Target: Laws &amp; Policies, Target: Leadership, Target: Misclleanous (culture, communication norms, or inter-agency coordination), Unlearning</x:v>
      </x:c>
      <x:c r="P78" s="30" t="str">
        <x:v>Identifies lack of strategic management, coordination and collaboration as failures requiring discontinuous reform.</x:v>
      </x:c>
      <x:c r="Q78" s="30" t="str">
        <x:v>AnmolRationale_August12!row 57 (Latest Anmol August 12 re-evaluation)</x:v>
      </x:c>
      <x:c r="R78" s="30" t="str">
        <x:v>AnmolRationale_August12!row 57</x:v>
      </x:c>
      <x:c r="S78" s="40" t="str">
        <x:v>No</x:v>
      </x:c>
      <x:c r="T78" s="30"/>
      <x:c r="U78" s="30"/>
      <x:c r="V78" s="30" t="str">
        <x:v>Parent-child</x:v>
      </x:c>
      <x:c r="W78" s="30" t="str">
        <x:v>Kept parent span G032; removed child group(s) G029. Parent passage labeler retained. Also consolidated repeated annotations across source sheets.</x:v>
      </x:c>
      <x:c r="X78" s="30" t="str">
        <x:v>Aligned to the complete source paragraph and repaired PDF ligature artifacts. PyMuPDF source unit: PAR-A012; raw blocks/lines: 3:8</x:v>
      </x:c>
      <x:c r="Y78" s="30" t="str">
        <x:v>AnmolRationale_August12!r57 (G032; anmol): Yes [SELECTED] | PAR_Prerana_July17!r1 (G029; prerana): Yes | PAR_Anmol_June27!r3 (G032; anmol): Yes</x:v>
      </x:c>
      <x:c r="Z78" s="30" t="str">
        <x:v>AnmolRationale_August12!r57[G032]; PAR_Anmol_June27!r3[G032]; PAR_Prerana_July17!r1[G029] PyMuPDF source unit PAR-A012 (3:8)</x:v>
      </x:c>
      <x:c r="AA78" s="30" t="str">
        <x:v>Clear — no codebook example passage retained</x:v>
      </x:c>
    </x:row>
    <x:row r="79" ht="54" customHeight="1">
      <x:c r="A79" s="30" t="str">
        <x:v>PAR-003</x:v>
      </x:c>
      <x:c r="B79" s="30" t="str">
        <x:v>1:4</x:v>
      </x:c>
      <x:c r="C79" s="30" t="str">
        <x:v>p 3</x:v>
      </x:c>
      <x:c r="D79" s="30" t="str">
        <x:v>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x:v>
      </x:c>
      <x:c r="E79" s="30" t="str">
        <x:v>PAR</x:v>
      </x:c>
      <x:c r="F79" s="30" t="str">
        <x:v>Public Administration Review - 2010 - McGuire - What if Hurricane Katrina Hit in 2020  The Need for Strategic Management of.pdf</x:v>
      </x:c>
      <x:c r="G79" s="30" t="str">
        <x:v>Yes</x:v>
      </x:c>
      <x:c r="H79" s="40" t="n">
        <x:v>1</x:v>
      </x:c>
      <x:c r="I79" s="40" t="str">
        <x:v>Yes</x:v>
      </x:c>
      <x:c r="J79" s="40" t="n">
        <x:v>1</x:v>
      </x:c>
      <x:c r="K79" s="40" t="str">
        <x:v>Yes</x:v>
      </x:c>
      <x:c r="L79" s="40"/>
      <x:c r="M79" s="40"/>
      <x:c r="N79" s="40" t="str">
        <x:v>anmol</x:v>
      </x:c>
      <x:c r="O79" s="30" t="str">
        <x:v>Target: Misclleanous (culture, communication norms, or inter-agency coordination), Unlearning</x:v>
      </x:c>
      <x:c r="P79" s="30" t="str">
        <x:v>It clearly reject excessive focus on one phase of emergency mgmt and calls for focus on others.</x:v>
      </x:c>
      <x:c r="Q79" s="30" t="str">
        <x:v>AnmolRationale_August12!row 58 (Latest Anmol August 12 re-evaluation)</x:v>
      </x:c>
      <x:c r="R79" s="30" t="str">
        <x:v>AnmolRationale_August12!row 58</x:v>
      </x:c>
      <x:c r="S79" s="40" t="str">
        <x:v>No</x:v>
      </x:c>
      <x:c r="T79" s="30"/>
      <x:c r="U79" s="30"/>
      <x:c r="V79" s="30" t="str">
        <x:v>Exact annotation duplicate</x:v>
      </x:c>
      <x:c r="W79" s="30" t="str">
        <x:v>Consolidated exact duplicate annotations from multiple sheets into one passage row.</x:v>
      </x:c>
      <x:c r="X79" s="30" t="str">
        <x:v>Aligned to the complete source paragraph and repaired PDF ligature artifacts. PyMuPDF source unit: PAR-A013; raw blocks/lines: 3:9;3:1</x:v>
      </x:c>
      <x:c r="Y79" s="30" t="str">
        <x:v>AnmolRationale_August12!r58 (G033; anmol): Yes [SELECTED] | PAR_Anmol_June27!r4 (G033; anmol): Yes</x:v>
      </x:c>
      <x:c r="Z79" s="30" t="str">
        <x:v>AnmolRationale_August12!r58[G033]; PAR_Anmol_June27!r4[G033] PyMuPDF source unit PAR-A013 (3:9;3:1)</x:v>
      </x:c>
      <x:c r="AA79" s="30" t="str">
        <x:v>Clear — no codebook example passage retained</x:v>
      </x:c>
    </x:row>
    <x:row r="80" ht="54" customHeight="1">
      <x:c r="A80" s="30" t="str">
        <x:v>PAR-004</x:v>
      </x:c>
      <x:c r="B80" s="30" t="str">
        <x:v>1:6</x:v>
      </x:c>
      <x:c r="C80" s="30" t="str">
        <x:v>p 3</x:v>
      </x:c>
      <x:c r="D80" s="30" t="str">
        <x:v>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x:v>
      </x:c>
      <x:c r="E80" s="30" t="str">
        <x:v>PAR</x:v>
      </x:c>
      <x:c r="F80" s="30" t="str">
        <x:v>Public Administration Review - 2010 - McGuire - What if Hurricane Katrina Hit in 2020  The Need for Strategic Management of.pdf</x:v>
      </x:c>
      <x:c r="G80" s="30" t="str">
        <x:v>Yes</x:v>
      </x:c>
      <x:c r="H80" s="40" t="n">
        <x:v>1</x:v>
      </x:c>
      <x:c r="I80" s="40" t="str">
        <x:v>Yes</x:v>
      </x:c>
      <x:c r="J80" s="40" t="n">
        <x:v>1</x:v>
      </x:c>
      <x:c r="K80" s="40" t="str">
        <x:v>Yes</x:v>
      </x:c>
      <x:c r="L80" s="40" t="str">
        <x:v>Yes</x:v>
      </x:c>
      <x:c r="M80" s="40"/>
      <x:c r="N80" s="40" t="str">
        <x:v>anmol</x:v>
      </x:c>
      <x:c r="O80" s="30" t="str">
        <x:v>Target: Laws &amp; Policies, Target: Misclleanous (culture, communication norms, or inter-agency coordination), Unlearning</x:v>
      </x:c>
      <x:c r="P80" s="30" t="str">
        <x:v>Identifies national response plan as problematic and long and indicates subtraction/consciness. Rejects govt led approach for more collaborataive approach.</x:v>
      </x:c>
      <x:c r="Q80" s="30" t="str">
        <x:v>AnmolRationale_August12!row 59 (Latest Anmol August 12 re-evaluation)</x:v>
      </x:c>
      <x:c r="R80" s="30" t="str">
        <x:v>AnmolRationale_August12!row 59</x:v>
      </x:c>
      <x:c r="S80" s="40" t="str">
        <x:v>No</x:v>
      </x:c>
      <x:c r="T80" s="30"/>
      <x:c r="U80" s="30"/>
      <x:c r="V80" s="30" t="str">
        <x:v>Exact annotation duplicate</x:v>
      </x:c>
      <x:c r="W80" s="30" t="str">
        <x:v>Consolidated exact duplicate annotations from multiple sheets into one passage row.</x:v>
      </x:c>
      <x:c r="X80" s="30" t="str">
        <x:v>Aligned to the complete source paragraph and repaired PDF ligature artifacts. PyMuPDF source unit: PAR-A014; raw blocks/lines: 3:2</x:v>
      </x:c>
      <x:c r="Y80" s="30" t="str">
        <x:v>AnmolRationale_August12!r59 (G034; anmol): Yes [SELECTED] | PAR_Prerana_July17!r4 (G034; prerana): Yes | PAR_Anmol_June27!r5 (G034; anmol): Yes</x:v>
      </x:c>
      <x:c r="Z80" s="30" t="str">
        <x:v>AnmolRationale_August12!r59[G034]; PAR_Anmol_June27!r5[G034]; PAR_Prerana_July17!r4[G034] PyMuPDF source unit PAR-A014 (3:2)</x:v>
      </x:c>
      <x:c r="AA80" s="30" t="str">
        <x:v>Clear — no codebook example passage retained</x:v>
      </x:c>
    </x:row>
    <x:row r="81" ht="54" customHeight="1">
      <x:c r="A81" s="30" t="str">
        <x:v>PAR-005</x:v>
      </x:c>
      <x:c r="B81" s="30"/>
      <x:c r="C81" s="30" t="str">
        <x:v>p 3</x:v>
      </x:c>
      <x:c r="D81" s="30" t="str">
        <x:v>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x:v>
      </x:c>
      <x:c r="E81" s="30" t="str">
        <x:v>PAR</x:v>
      </x:c>
      <x:c r="F81" s="30" t="str">
        <x:v>Public Administration Review - 2010 - McGuire - What if Hurricane Katrina Hit in 2020  The Need for Strategic Management of.pdf</x:v>
      </x:c>
      <x:c r="G81" s="30" t="str">
        <x:v>Yes</x:v>
      </x:c>
      <x:c r="H81" s="40" t="n">
        <x:v>1</x:v>
      </x:c>
      <x:c r="I81" s="40" t="str">
        <x:v>Yes</x:v>
      </x:c>
      <x:c r="J81" s="40" t="n">
        <x:v>1</x:v>
      </x:c>
      <x:c r="K81" s="40"/>
      <x:c r="L81" s="40" t="str">
        <x:v>Yes</x:v>
      </x:c>
      <x:c r="M81" s="40"/>
      <x:c r="N81" s="40" t="str">
        <x:v>prerana</x:v>
      </x:c>
      <x:c r="O81" s="30" t="str">
        <x:v>Unlearning; Target: Laws, Plans &amp; Policies; Agency: Department of Homeland Security</x:v>
      </x:c>
      <x:c r="P81" s="30" t="str">
        <x:v>Prior framework identified as problematic; deliberate revision and replacement with a new framework.</x:v>
      </x:c>
      <x:c r="Q81" s="30" t="str">
        <x:v>PAR_Prerana_July17!row 7 (Latest available record by sheet chronology)</x:v>
      </x:c>
      <x:c r="R81" s="30" t="str">
        <x:v>PAR_Prerana_July17!row 7</x:v>
      </x:c>
      <x:c r="S81" s="40" t="str">
        <x:v>No</x:v>
      </x:c>
      <x:c r="T81" s="30"/>
      <x:c r="U81" s="30"/>
      <x:c r="V81" s="30" t="str">
        <x:v>None</x:v>
      </x:c>
      <x:c r="W81" s="30"/>
      <x:c r="X81" s="30" t="str">
        <x:v>Aligned to the complete source paragraph and repaired PDF ligature artifacts. PyMuPDF source unit: PAR-A015; raw blocks/lines: 3:3</x:v>
      </x:c>
      <x:c r="Y81" s="30" t="str">
        <x:v>PAR_Prerana_July17!r7 (G030; prerana): Yes [SELECTED]</x:v>
      </x:c>
      <x:c r="Z81" s="30" t="str">
        <x:v>PAR_Prerana_July17!r7[G030] PyMuPDF source unit PAR-A015 (3:3)</x:v>
      </x:c>
      <x:c r="AA81" s="30" t="str">
        <x:v>Clear — no codebook example passage retained</x:v>
      </x:c>
    </x:row>
    <x:row r="82" ht="54" customHeight="1">
      <x:c r="A82" s="30" t="str">
        <x:v>PAR-006</x:v>
      </x:c>
      <x:c r="B82" s="30" t="str">
        <x:v>1:7</x:v>
      </x:c>
      <x:c r="C82" s="30" t="str">
        <x:v>p 4</x:v>
      </x:c>
      <x:c r="D82" s="30" t="str">
        <x:v>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x:v>
      </x:c>
      <x:c r="E82" s="30" t="str">
        <x:v>PAR</x:v>
      </x:c>
      <x:c r="F82" s="30" t="str">
        <x:v>Public Administration Review - 2010 - McGuire - What if Hurricane Katrina Hit in 2020  The Need for Strategic Management of.pdf</x:v>
      </x:c>
      <x:c r="G82" s="30" t="str">
        <x:v>Yes</x:v>
      </x:c>
      <x:c r="H82" s="40" t="n">
        <x:v>1</x:v>
      </x:c>
      <x:c r="I82" s="40" t="str">
        <x:v>Yes</x:v>
      </x:c>
      <x:c r="J82" s="40" t="n">
        <x:v>1</x:v>
      </x:c>
      <x:c r="K82" s="40" t="str">
        <x:v>Yes</x:v>
      </x:c>
      <x:c r="L82" s="40" t="str">
        <x:v>Yes</x:v>
      </x:c>
      <x:c r="M82" s="40"/>
      <x:c r="N82" s="40" t="str">
        <x:v>anmol</x:v>
      </x:c>
      <x:c r="O82" s="30" t="str">
        <x:v>Target: Laws &amp; Policies, Unlearning</x:v>
      </x:c>
      <x:c r="P82" s="30" t="str">
        <x:v>It identifies a clear fault in NRP and assumptions around stakeholder communication, capacity and responsibility. It asks for a change in thinking of strategic capacity.</x:v>
      </x:c>
      <x:c r="Q82" s="30" t="str">
        <x:v>AnmolRationale_August12!row 60 (Latest Anmol August 12 re-evaluation)</x:v>
      </x:c>
      <x:c r="R82" s="30" t="str">
        <x:v>AnmolRationale_August12!row 60</x:v>
      </x:c>
      <x:c r="S82" s="40" t="str">
        <x:v>No</x:v>
      </x:c>
      <x:c r="T82" s="30"/>
      <x:c r="U82" s="30"/>
      <x:c r="V82" s="30" t="str">
        <x:v>Exact annotation duplicate</x:v>
      </x:c>
      <x:c r="W82" s="30" t="str">
        <x:v>Consolidated exact duplicate annotations from multiple sheets into one passage row.</x:v>
      </x:c>
      <x:c r="X82" s="30" t="str">
        <x:v>Aligned to the complete source paragraph and repaired PDF ligature artifacts. PyMuPDF source unit: PAR-A018; raw blocks/lines: 4:7</x:v>
      </x:c>
      <x:c r="Y82" s="30" t="str">
        <x:v>AnmolRationale_August12!r60 (G035; anmol): Yes [SELECTED] | PAR_Prerana_July17!r11 (G035; prerana): Yes | PAR_Anmol_June27!r6 (G035; anmol): Yes</x:v>
      </x:c>
      <x:c r="Z82" s="30" t="str">
        <x:v>AnmolRationale_August12!r60[G035]; PAR_Anmol_June27!r6[G035]; PAR_Prerana_July17!r11[G035] PyMuPDF source unit PAR-A018 (4:7)</x:v>
      </x:c>
      <x:c r="AA82" s="30" t="str">
        <x:v>Clear — no codebook example passage retained</x:v>
      </x:c>
    </x:row>
    <x:row r="83" ht="54" customHeight="1">
      <x:c r="A83" s="30" t="str">
        <x:v>PAR-007</x:v>
      </x:c>
      <x:c r="B83" s="30" t="str">
        <x:v>1:8</x:v>
      </x:c>
      <x:c r="C83" s="30" t="str">
        <x:v>p 4</x:v>
      </x:c>
      <x:c r="D83" s="30" t="str">
        <x:v>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x:v>
      </x:c>
      <x:c r="E83" s="30" t="str">
        <x:v>PAR</x:v>
      </x:c>
      <x:c r="F83" s="30" t="str">
        <x:v>Public Administration Review - 2010 - McGuire - What if Hurricane Katrina Hit in 2020  The Need for Strategic Management of.pdf</x:v>
      </x:c>
      <x:c r="G83" s="30" t="str">
        <x:v>Yes</x:v>
      </x:c>
      <x:c r="H83" s="40" t="n">
        <x:v>1</x:v>
      </x:c>
      <x:c r="I83" s="40" t="str">
        <x:v>Yes</x:v>
      </x:c>
      <x:c r="J83" s="40" t="n">
        <x:v>1</x:v>
      </x:c>
      <x:c r="K83" s="40" t="str">
        <x:v>Yes</x:v>
      </x:c>
      <x:c r="L83" s="40"/>
      <x:c r="M83" s="40"/>
      <x:c r="N83" s="40" t="str">
        <x:v>anmol</x:v>
      </x:c>
      <x:c r="O83" s="30" t="str">
        <x:v>Target: Leadership, Target: Misclleanous (culture, communication norms, or inter-agency coordination), Unlearning</x:v>
      </x:c>
      <x:c r="P83" s="30" t="str">
        <x:v>It calls for abandoning or at least reforming top-down management for a more balanced and collborative networked approach.</x:v>
      </x:c>
      <x:c r="Q83" s="30" t="str">
        <x:v>AnmolRationale_August12!row 61 (Latest Anmol August 12 re-evaluation)</x:v>
      </x:c>
      <x:c r="R83" s="30" t="str">
        <x:v>AnmolRationale_August12!row 61</x:v>
      </x:c>
      <x:c r="S83" s="40" t="str">
        <x:v>No</x:v>
      </x:c>
      <x:c r="T83" s="30"/>
      <x:c r="U83" s="30"/>
      <x:c r="V83" s="30" t="str">
        <x:v>Exact annotation duplicate</x:v>
      </x:c>
      <x:c r="W83" s="30" t="str">
        <x:v>Consolidated exact duplicate annotations from multiple sheets into one passage row.</x:v>
      </x:c>
      <x:c r="X83" s="30" t="str">
        <x:v>Aligned to the complete source paragraph and repaired PDF ligature artifacts. PyMuPDF source unit: PAR-A022; raw blocks/lines: 4:3</x:v>
      </x:c>
      <x:c r="Y83" s="30" t="str">
        <x:v>AnmolRationale_August12!r61 (G036; anmol): Yes [SELECTED] | PAR_Anmol_June27!r7 (G036; anmol): Yes</x:v>
      </x:c>
      <x:c r="Z83" s="30" t="str">
        <x:v>AnmolRationale_August12!r61[G036]; PAR_Anmol_June27!r7[G036] PyMuPDF source unit PAR-A022 (4:3)</x:v>
      </x:c>
      <x:c r="AA83" s="30" t="str">
        <x:v>Clear — no codebook example passage retained</x:v>
      </x:c>
    </x:row>
    <x:row r="84" ht="54" customHeight="1">
      <x:c r="A84" s="30" t="str">
        <x:v>PAR-008</x:v>
      </x:c>
      <x:c r="B84" s="30" t="str">
        <x:v>1:9-P1</x:v>
      </x:c>
      <x:c r="C84" s="30" t="str">
        <x:v>p 5</x:v>
      </x:c>
      <x:c r="D84" s="30" t="str">
        <x:v>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x:v>
      </x:c>
      <x:c r="E84" s="30" t="str">
        <x:v>PAR</x:v>
      </x:c>
      <x:c r="F84" s="30" t="str">
        <x:v>Public Administration Review - 2010 - McGuire - What if Hurricane Katrina Hit in 2020  The Need for Strategic Management of.pdf</x:v>
      </x:c>
      <x:c r="G84" s="30"/>
      <x:c r="H84" s="40"/>
      <x:c r="I84" s="40" t="str">
        <x:v>Yes</x:v>
      </x:c>
      <x:c r="J84" s="40" t="n">
        <x:v>1</x:v>
      </x:c>
      <x:c r="K84" s="40"/>
      <x:c r="L84" s="40"/>
      <x:c r="M84" s="40"/>
      <x:c r="N84" s="40"/>
      <x:c r="O84" s="30" t="str">
        <x:v>Target: Capacity, Unlearning</x:v>
      </x:c>
      <x:c r="P84" s="30" t="str">
        <x:v>The passage rejects treating network collaboration as merely a soft skill and replaces that assumption with information-technology-enabled management, including an evacuation-registration example.</x:v>
      </x:c>
      <x:c r="Q84" s="30" t="str">
        <x:v>Paragraph-level source reconciliation and split adjudication (2026-08-14)</x:v>
      </x:c>
      <x:c r="R84" s="30" t="str">
        <x:v>Paragraph-level source reconciliation and split adjudication (2026-08-14)</x:v>
      </x:c>
      <x:c r="S84" s="40" t="str">
        <x:v>Yes</x:v>
      </x:c>
      <x:c r="T84" s="30" t="str">
        <x:v>The positive label is derived from the human-labeled parent span and depends on the old-versus-new 'soft skill' contrast; confirm during team adjudication.</x:v>
      </x:c>
      <x:c r="U84" s="30" t="str">
        <x:v>Parent span Yes → child Yes</x:v>
      </x:c>
      <x:c r="V84" s="30" t="str">
        <x:v>Split from multi-paragraph source span</x:v>
      </x:c>
      <x:c r="W84" s="30" t="str">
        <x:v>Replaced the human-labeled parent span with source-aligned paragraph/list-unit child rows.</x:v>
      </x:c>
      <x:c r="X84" s="30" t="str">
        <x:v>Split the two-paragraph parent span; grouped the lead-in with its displayed quotation as one list/quotation unit. PyMuPDF source unit: PAR-A025; raw blocks/lines: 5:7;5:8</x:v>
      </x:c>
      <x:c r="Y84" s="30" t="str">
        <x:v>AnmolRationale_August12!r62 (G037; anmol): Yes [SELECTED] | PAR_Anmol_June27!r8 (G037; anmol): Yes 2026-08-14 paragraph split: original parent PAR-008 (Yes) was divided into child 1/2 and adjudicated Yes; original coder decisions apply to the parent span, not independently to this child.</x:v>
      </x:c>
      <x:c r="Z84" s="30" t="str">
        <x:v>AnmolRationale_August12!r62[G037]; PAR_Anmol_June27!r8[G037] PyMuPDF source unit PAR-A025 (5:7;5:8)</x:v>
      </x:c>
      <x:c r="AA84" s="30" t="str">
        <x:v>Clear — no codebook example passage retained</x:v>
      </x:c>
    </x:row>
    <x:row r="85" ht="54" customHeight="1">
      <x:c r="A85" s="30" t="str">
        <x:v>PAR-009</x:v>
      </x:c>
      <x:c r="B85" s="30" t="str">
        <x:v>1:9-P2</x:v>
      </x:c>
      <x:c r="C85" s="30" t="str">
        <x:v>p 5</x:v>
      </x:c>
      <x:c r="D85" s="30" t="str">
        <x:v>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x:v>
      </x:c>
      <x:c r="E85" s="30" t="str">
        <x:v>PAR</x:v>
      </x:c>
      <x:c r="F85" s="30" t="str">
        <x:v>Public Administration Review - 2010 - McGuire - What if Hurricane Katrina Hit in 2020  The Need for Strategic Management of.pdf</x:v>
      </x:c>
      <x:c r="G85" s="30"/>
      <x:c r="H85" s="40"/>
      <x:c r="I85" s="40" t="str">
        <x:v>Yes</x:v>
      </x:c>
      <x:c r="J85" s="40" t="n">
        <x:v>1</x:v>
      </x:c>
      <x:c r="K85" s="40"/>
      <x:c r="L85" s="40"/>
      <x:c r="M85" s="40"/>
      <x:c r="N85" s="40"/>
      <x:c r="O85" s="30" t="str">
        <x:v>Target: Capacity, Unlearning</x:v>
      </x:c>
      <x:c r="P85" s="30" t="str">
        <x:v>The paragraph contrasts the prior need for a specialized GIS laboratory with tools now accessible to ordinary responders and extends that changed technical assumption to supply-chain management.</x:v>
      </x:c>
      <x:c r="Q85" s="30" t="str">
        <x:v>Paragraph-level source reconciliation and split adjudication (2026-08-14)</x:v>
      </x:c>
      <x:c r="R85" s="30" t="str">
        <x:v>Paragraph-level source reconciliation and split adjudication (2026-08-14)</x:v>
      </x:c>
      <x:c r="S85" s="40" t="str">
        <x:v>Yes</x:v>
      </x:c>
      <x:c r="T85" s="30" t="str">
        <x:v>The change is framed as a technology-accessibility shift rather than an explicit policy recommendation; confirm during team adjudication.</x:v>
      </x:c>
      <x:c r="U85" s="30" t="str">
        <x:v>Parent span Yes → child Yes</x:v>
      </x:c>
      <x:c r="V85" s="30" t="str">
        <x:v>Split from multi-paragraph source span</x:v>
      </x:c>
      <x:c r="W85" s="30" t="str">
        <x:v>Replaced the human-labeled parent span with source-aligned paragraph/list-unit child rows.</x:v>
      </x:c>
      <x:c r="X85" s="30" t="str">
        <x:v>Split the two-paragraph parent span; retained the GIS/supply-chain paragraph as a separate positive row. PyMuPDF source unit: PAR-A026; raw blocks/lines: 5:9</x:v>
      </x:c>
      <x:c r="Y85" s="30" t="str">
        <x:v>AnmolRationale_August12!r62 (G037; anmol): Yes [SELECTED] | PAR_Anmol_June27!r8 (G037; anmol): Yes 2026-08-14 paragraph split: original parent PAR-008 (Yes) was divided into child 2/2 and adjudicated Yes; original coder decisions apply to the parent span, not independently to this child.</x:v>
      </x:c>
      <x:c r="Z85" s="30" t="str">
        <x:v>AnmolRationale_August12!r62[G037]; PAR_Anmol_June27!r8[G037] PyMuPDF source unit PAR-A026 (5:9)</x:v>
      </x:c>
      <x:c r="AA85" s="30" t="str">
        <x:v>Clear — no codebook example passage retained</x:v>
      </x:c>
    </x:row>
  </x:sheetData>
  <x:mergeCells>
    <x:mergeCell ref="AC1:AJ1"/>
    <x:mergeCell ref="AF10:AJ12"/>
  </x:mergeCells>
  <x:conditionalFormatting sqref="I2:I85">
    <x:cfRule type="expression" dxfId="0" priority="1">
      <x:formula>I2="Yes"</x:formula>
    </x:cfRule>
    <x:cfRule type="expression" dxfId="1" priority="2">
      <x:formula>I2="No"</x:formula>
    </x:cfRule>
  </x:conditionalFormatting>
  <x:conditionalFormatting sqref="S2:S85">
    <x:cfRule type="expression" dxfId="2" priority="3">
      <x:formula>S2="Yes"</x:formula>
    </x:cfRule>
  </x:conditionalFormatting>
  <x:pageMargins left="0.7" right="0.7" top="0.75" bottom="0.75" header="0.3" footer="0.3"/>
  <x:tableParts count="1">
    <x:tablePart xmlns:r="http://schemas.openxmlformats.org/officeDocument/2006/relationships" r:id="R525f1a65b8b84469"/>
  </x:tableParts>
</x:worksheet>
</file>

<file path=xl/worksheets/sheet2.xml><?xml version="1.0" encoding="utf-8"?>
<x:worksheet xmlns:x="http://schemas.openxmlformats.org/spreadsheetml/2006/main">
  <x:sheetFormatPr defaultRowHeight="15"/>
  <x:cols>
    <x:col min="1" max="1" width="31" hidden="0" customWidth="1"/>
    <x:col min="2" max="2" width="48" hidden="0" customWidth="1"/>
    <x:col min="3" max="3" width="48" hidden="0" customWidth="1"/>
    <x:col min="4" max="4" width="48" hidden="0" customWidth="1"/>
    <x:col min="5" max="5" width="48" hidden="0" customWidth="1"/>
    <x:col min="6" max="6" width="48" hidden="0" customWidth="1"/>
  </x:cols>
  <x:sheetData>
    <x:row r="1" ht="110" customHeight="1">
      <x:c r="A1" s="44" t="str">
        <x:v>Objective: The key objective of this paper is "how to study unlearning?" This codebook supports this objective through the development of an empirical, and evidence-based understanding of how unlearning shows up in large U.S. government bureaucracies, particularly in the context of catastrophic disasters and climate-amplified risks. Additionally, to explore the utility of LLMs for the annotation of policy documents. The codebook enables this by: 
1. Differentiating unlearning from learning, reform, and innovation
2. Classifying unlearning into analytically distinct pillars
3. Assessing the depth and nature of unlearning
4. Identifying specific agencies, sub-units, procedures, and legal mechanisms requiring unlearning</x:v>
      </x:c>
      <x:c r="B1" s="44"/>
      <x:c r="C1" s="44"/>
      <x:c r="D1" s="44"/>
      <x:c r="E1" s="44"/>
      <x:c r="F1" s="44"/>
    </x:row>
    <x:row r="2" ht="32" customHeight="1">
      <x:c r="A2" s="35" t="str">
        <x:v>Code</x:v>
      </x:c>
      <x:c r="B2" s="35" t="str">
        <x:v>Definition</x:v>
      </x:c>
      <x:c r="C2" s="35" t="str">
        <x:v>Detection Logic</x:v>
      </x:c>
      <x:c r="D2" s="35" t="str">
        <x:v>Examples</x:v>
      </x:c>
      <x:c r="E2" s="35" t="str">
        <x:v>Positive Clarification</x:v>
      </x:c>
      <x:c r="F2" s="35" t="str">
        <x:v>Negative Clarification</x:v>
      </x:c>
    </x:row>
    <x:row r="3" ht="25" customHeight="1">
      <x:c r="A3" s="57" t="str">
        <x:v>Step 1 -- Binary classification based on unlearning definition</x:v>
      </x:c>
      <x:c r="B3" s="57"/>
      <x:c r="C3" s="57"/>
      <x:c r="D3" s="57"/>
      <x:c r="E3" s="57"/>
      <x:c r="F3" s="57"/>
    </x:row>
    <x:row r="4" ht="120" customHeight="1">
      <x:c r="A4" s="30" t="str">
        <x:v>Unlearning (Yes/No)</x:v>
      </x:c>
      <x:c r="B4" s="30" t="str">
        <x:v>Unlearning is the deliberate process by which a government agency discards misaligned assumptions, obsolete knowledge, or outdated routines in response to demonstrated failure — here, Hurricane Katrina. It becomes visible in discourse when institutions explicitly problematise a prior practice, justify its abandonment, and signal a departure from established norms. The three key attributes of unlarning are: Intentionality speaks to the motivation: unlearning is deliberate and purposeful, rather than passive forgetting. 
Subtraction speaks to the direction: unlearning focuses on reassessing or discarding what is already known or taken for granted, acknowledging that past knowledge is now obsolete. It removes rather than adds.
Discontinuity speaks to the magnitude: unlearning entails a fundamental departure from inherited assumptions, often involving shifts in worldview, norms, objectives and approaches. It's a rupture, not an adjustment.
</x:v>
      </x:c>
      <x:c r="C4" s="30" t="str">
        <x:v>Does the text explicitly identify a prior policy, assumption, practice, or technical system as inadequate or harmful — AND call for its removal, replacement, or fundamental rethinking?
If YES → code as Unlearning; proceed to Step 2.
If NO  → do not code; stop here.</x:v>
      </x:c>
      <x:c r="D4" s="30" t="str">
        <x:v>"[Keep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
— EPA Report
(Prior assumption explicitly rejected; new approach mandated.)</x:v>
      </x:c>
      <x:c r="E4" s="30" t="str">
        <x:v>Code when the text:
• Names a specific prior assumption, policy, practice, or system as the source of failure.
• Explicitly calls for abandoning, replacing, dismantling, or fundamentally rethinking it.
• Frames the departure from past practice as necessary — not merely aspirational.</x:v>
      </x:c>
      <x:c r="F4" s="30" t="str">
        <x:v>DO NOT code if:
• The text only documents what went wrong without calling for change ('the levees failed').
• The change is purely additive — new resources or capacity added without rejecting prior logic.
• The text uses 'lessons learned' language that implies improvement, not replacement.
• A new tool/software is adopted but the underlying governance assumption is unchanged.
BOUNDARY CASE: Problem diagnosis alone ≠ unlearning. 'The command structure was inadequate' is NOT unlearning unless the text also calls for dismantling or replacing that structure.</x:v>
      </x:c>
    </x:row>
    <x:row r="5" ht="120" customHeight="1">
      <x:c r="A5" s="66" t="str">
        <x:v>STEP 2 — TARGET OF UNLEARNING (assign one per passage)</x:v>
      </x:c>
      <x:c r="B5" s="66"/>
      <x:c r="C5" s="66"/>
      <x:c r="D5" s="66"/>
      <x:c r="E5" s="66"/>
      <x:c r="F5" s="66"/>
    </x:row>
    <x:row r="6" ht="120" customHeight="1">
      <x:c r="A6" s="30" t="str">
        <x:v>Target (Leadership)</x:v>
      </x:c>
      <x:c r="B6" s="30" t="str">
        <x:v>The text questions or redefines the role, authority, or responsibilities of a specific leadership position (e.g., DHS Secretary, FEMA Director, POTUS) in disaster management — not merely who occupies the role, but whether the role itself is fit for purpose.</x:v>
      </x:c>
      <x:c r="C6" s="30" t="str">
        <x:v>Does the text call for redefining or redistributing leadership authority — not just replacing the person in the role?</x:v>
      </x:c>
      <x:c r="D6" s="30" t="str">
        <x:v>"[A] single individual directly responsible and accountable to the President must be designated to act as the central focal point to lead and coordinate the overall federal response…"
 — GAO
 (Prior distributed-authority model is rejected in favour of unified accountability.)</x:v>
      </x:c>
      <x:c r="E6" s="30" t="str">
        <x:v>Code when the text:
 • Calls into question whether an existing leadership structure is capable of managing catastrophic events.
 • Proposes redistributing, consolidating, or redefining authority at the leadership level.
 • Frames past leadership arrangements as a root cause of failure.</x:v>
      </x:c>
      <x:c r="F6" s="30" t="str">
        <x:v>DO NOT code if:
 • The text recommends appointing a new person to an existing, unchanged role.
 • Minor reporting-line adjustments are proposed without questioning the underlying authority structure.
 • Leadership is mentioned only as context, not as the object of change.</x:v>
      </x:c>
    </x:row>
    <x:row r="7" ht="120" customHeight="1">
      <x:c r="A7" s="30" t="str">
        <x:v>Target (laws, plans and policies)</x:v>
      </x:c>
      <x:c r="B7" s="30" t="str">
        <x:v>The text calls for terminating, replacing, or fundamentally revising a law, regulation, plan, or formal policy that is now seen as harmful, unjust, or structurally inadequate.</x:v>
      </x:c>
      <x:c r="C7" s="30" t="str">
        <x:v>Does the text identify a specific law, plan, or policy as harmful or obsolete — and call for its elimination or replacement?</x:v>
      </x:c>
      <x:c r="D7" s="30" t="str">
        <x:v>"Removing statutory restrictions on DOD authority to activate Reserve units for catastrophic disaster relief."
 — GAO 
 (Existing statutory constraint identified as harmful; removal explicitly recommended.)</x:v>
      </x:c>
      <x:c r="E7" s="30" t="str">
        <x:v>Code when the text:
 • Calls for eliminating or replacing a specific statute, executive order, plan, or doctrine.
 • Frames an existing legal or policy arrangement as a root cause of failure.
 • Proposes dismantling a governance structure, not merely amending it at the margins.</x:v>
      </x:c>
      <x:c r="F7" s="30" t="str">
        <x:v>DO NOT code if:
 • The text proposes reform or better implementation of an existing policy without questioning its underlying logic.
 • A new plan is added alongside an old one, with no indication the old one is discarded.
 • The change is a routine policy update with no connection to Katrina-identified failure.</x:v>
      </x:c>
    </x:row>
    <x:row r="8" ht="120" customHeight="1">
      <x:c r="A8" s="30" t="str">
        <x:v>Target (capabilities)</x:v>
      </x:c>
      <x:c r="B8" s="30" t="str">
        <x:v>The text identifies a technical system — model, map, software, infrastructure, training protocol, or engineering standard, assessing damage, citizen service, communications, exercise  — as built on obsolete assumptions and calls for its recalibration or replacement.</x:v>
      </x:c>
      <x:c r="C8" s="30" t="str">
        <x:v>Does the text identify a specific technical system as misaligned with catastrophic or climate-amplified risk — and call for its revision or replacement?</x:v>
      </x:c>
      <x:c r="D8" s="30" t="str">
        <x:v>"We identified the need for the federal government to upgrade training and exercises for state and local governments specifically geared towards catastrophic disaster response."
 — GAO 
 (Existing training regime is identified as inadequate for catastrophic-scale events; replacement mandated.)</x:v>
      </x:c>
      <x:c r="E8" s="30" t="str">
        <x:v>Code when the text:
 • Identifies a technical system (model, protocol, map, standard) as based on outdated or inadequate assumptions.
 • Calls for replacing engineering standards, revising risk models, or overhauling training regimes.
 • Frames the technical failure as rooted in prior assumptions, not just under-resourcing.</x:v>
      </x:c>
      <x:c r="F8" s="30" t="str">
        <x:v>DO NOT code if:
 • The text describes routine maintenance or a standard equipment upgrade with no prior assumption rejected.
 • New technology is added as a supplement without any existing system being questioned.
 • The text identifies a gap without calling for the replacement of the system that created the gap.</x:v>
      </x:c>
    </x:row>
    <x:row r="9" ht="120" customHeight="1">
      <x:c r="A9" s="30" t="str">
        <x:v>Target (funds and resource allocation)</x:v>
      </x:c>
      <x:c r="B9" s="30" t="str">
        <x:v>The text calls for changing how disaster funds are allocated, distributed, or governed — not merely requesting more funding, but questioning the rules or structures that govern resource flow.</x:v>
      </x:c>
      <x:c r="C9" s="30" t="str">
        <x:v>Does the text identify the existing funds management structure as inadequate — and call for changing how resources are allocated or governed?</x:v>
      </x:c>
      <x:c r="D9" s="30" t="str">
        <x:v>"Federal agencies involved in managing international assistance were not prepared to coordinate, receive, distribute, or account for the assistance… agencies had not planned for the acceptance of international assistance for use in the United States."
 — GAO 
 (Absence of a resource-management framework identified; new procedures explicitly required.)</x:v>
      </x:c>
      <x:c r="E9" s="30" t="str">
        <x:v>Code when the text:
 • Calls for changing the rules, structures, or authorities governing funds distribution.
 • Identifies an existing allocation logic as a source of inequity or failure.
 • Proposes dismantling or replacing a resource governance mechanism.</x:v>
      </x:c>
      <x:c r="F9" s="30" t="str">
        <x:v>DO NOT code if:
 • The text only requests additional funding without questioning how existing funds are managed.
 • A new grant programme is added without any existing allocation logic being rejected.
 • Funds management approach remains substantively unchanged.</x:v>
      </x:c>
    </x:row>
    <x:row r="10" ht="120" customHeight="1">
      <x:c r="A10" s="30" t="str">
        <x:v>Target (misclleanous) organizational culture, communication norms, or inter-agency coordination logics, role of stakehodlers not captured above</x:v>
      </x:c>
      <x:c r="B10" s="30" t="str">
        <x:v>The text calls for unlearning in a domain not captured above — such as inter-agency coordination norms, communication protocols, or organisational culture — where a specific prior assumption or practice is explicitly rejected.</x:v>
      </x:c>
      <x:c r="C10" s="30" t="str">
        <x:v>Does the text call for discarding a prior assumption or practice in a domain not covered by the four targets above?</x:v>
      </x:c>
      <x:c r="D10" s="30" t="str">
        <x:v>Use sparingly. Flag for team discussion if used more than 10% of coded passages.</x:v>
      </x:c>
      <x:c r="E10" s="30" t="str">
        <x:v>Code when the text:
 • Explicitly rejects a prior norm or practice in coordination, culture, or communication.
 • Cannot reasonably be assigned to any of the four primary targets.</x:v>
      </x:c>
      <x:c r="F10" s="30" t="str">
        <x:v>DO NOT use as a default catch-all. If the passage is ambiguous across targets, assign the closest primary target and note the ambiguity. Reserve this code for genuinely novel domains.
 Flag all uses of this code for inter-coder discussion.</x:v>
      </x:c>
    </x:row>
    <x:row r="11" ht="120" customHeight="1">
      <x:c r="A11" s="66" t="str">
        <x:v>STEP 3 — STAKEHOLDER / AGENCY (assign one per passage)</x:v>
      </x:c>
      <x:c r="B11" s="66"/>
      <x:c r="C11" s="66"/>
      <x:c r="D11" s="66"/>
      <x:c r="E11" s="66"/>
      <x:c r="F11" s="66"/>
    </x:row>
    <x:row r="12" ht="120" customHeight="1">
      <x:c r="A12" s="30" t="str">
        <x:v>Government Agency</x:v>
      </x:c>
      <x:c r="B12" s="30" t="str">
        <x:v>The specific federal agency, sub-unit, or institutional actor identified in the passage as the subject of unlearning — i.e., the entity whose prior assumption or practice is being rejected.</x:v>
      </x:c>
      <x:c r="C12" s="30" t="str">
        <x:v>Does the text name a specific agency, office, or sub-unit as the actor whose prior practice must change?</x:v>
      </x:c>
      <x:c r="D12" s="30" t="str">
        <x:v>"[O]ther factors such as leadership and resources may be more important to FEMA future success than organizational placement."
 — GAO
 (FEMA named as the agency whose organisational logic is under scrutiny.)</x:v>
      </x:c>
      <x:c r="E12" s="30" t="str">
        <x:v>Code when the text:
 • Names a specific government agency, office, or legal mechanism as the subject of change.
 • Code at the most specific level mentioned (e.g., 'FEMA Operations Division', not just 'FEMA').</x:v>
      </x:c>
      <x:c r="F12" s="30" t="str">
        <x:v>DO NOT code the agency calling for change (e.g., GAO recommending FEMA reform) — code only the agency whose practices are the object of unlearning.</x:v>
      </x:c>
    </x:row>
    <x:row r="13" ht="120" customHeight="1">
      <x:c r="A13" s="66" t="str">
        <x:v>CODING PROCEDURE &amp; UNIT OF ANALYSIS</x:v>
      </x:c>
      <x:c r="B13" s="66"/>
      <x:c r="C13" s="66"/>
      <x:c r="D13" s="66"/>
      <x:c r="E13" s="66"/>
      <x:c r="F13" s="66"/>
    </x:row>
    <x:row r="14" ht="120" customHeight="1">
      <x:c r="A14" s="30" t="str">
        <x:v>Unit of Analysis</x:v>
      </x:c>
      <x:c r="B14" s="30" t="str">
        <x:v>Code at the paragraph level. Do not split a paragraph across multiple codes.</x:v>
      </x:c>
      <x:c r="C14" s="30" t="str">
        <x:v>Does the paragraph as a whole constitute an instance of unlearning?</x:v>
      </x:c>
      <x:c r="D14" s="30" t="str">
        <x:v>If a paragraph contains both diagnostic language and a call for change, code the paragraph as Unlearning (Yes).</x:v>
      </x:c>
      <x:c r="E14" s="30" t="str">
        <x:v>Code the entire paragraph — do not extract individual sentences.</x:v>
      </x:c>
      <x:c r="F14" s="30" t="str">
        <x:v>If the paragraph only diagnoses a problem without calling for change, do NOT code as unlearning.</x:v>
      </x:c>
    </x:row>
    <x:row r="15" ht="120" customHeight="1">
      <x:c r="A15" s="30" t="str">
        <x:v>ICA Protocol</x:v>
      </x:c>
      <x:c r="B15" s="30" t="str">
        <x:v>Each coder assigns: (1) Unlearning Yes/No, (2) Target, (3) Agency. Disagreements on any dimension are flagged and resolved by majority or adjudication.</x:v>
      </x:c>
      <x:c r="C15" s="30" t="str">
        <x:v>—</x:v>
      </x:c>
      <x:c r="D15" s="30" t="str">
        <x:v>Target: Miscellaneous and boundary-case passages should be flagged for team discussion before finalising.</x:v>
      </x:c>
      <x:c r="E15" s="30" t="str">
        <x:v>Record all disagreements and resolutions in the ICA log.</x:v>
      </x:c>
      <x:c r="F15" s="30" t="str">
        <x:v>Do not adjudicate privately — all boundary cases go to the full team.</x:v>
      </x:c>
    </x:row>
    <x:row r="16" ht="36" customHeight="1">
      <x:c r="A16" s="23" t="str">
        <x:v>Revised codebook — Pillars replaced by Targets | Depth &amp; Nature dimensions removed | Paragraph-level coding | Boundary cases flagged for team adjudication</x:v>
      </x:c>
      <x:c r="B16" s="23"/>
      <x:c r="C16" s="23"/>
      <x:c r="D16" s="23"/>
      <x:c r="E16" s="23"/>
      <x:c r="F16" s="23"/>
    </x:row>
  </x:sheetData>
  <x:mergeCells>
    <x:mergeCell ref="A1:F1"/>
    <x:mergeCell ref="A3:F3"/>
    <x:mergeCell ref="A5:F5"/>
    <x:mergeCell ref="A11:F11"/>
    <x:mergeCell ref="A13:F13"/>
    <x:mergeCell ref="A16:F16"/>
  </x:mergeCells>
  <x:pageMargins left="0.7" right="0.7" top="0.75" bottom="0.75" header="0.3" footer="0.3"/>
</x:worksheet>
</file>

<file path=xl/worksheets/sheet3.xml><?xml version="1.0" encoding="utf-8"?>
<x:worksheet xmlns:x="http://schemas.openxmlformats.org/spreadsheetml/2006/main">
  <x:sheetFormatPr defaultRowHeight="15"/>
  <x:cols>
    <x:col min="1" max="1" width="15" hidden="0" customWidth="1"/>
    <x:col min="2" max="2" width="11" hidden="0" customWidth="1"/>
    <x:col min="3" max="3" width="62" hidden="0" customWidth="1"/>
    <x:col min="4" max="4" width="28" hidden="0" customWidth="1"/>
    <x:col min="5" max="5" width="42" hidden="0" customWidth="1"/>
    <x:col min="6" max="6" width="16" hidden="0" customWidth="1"/>
    <x:col min="7" max="7" width="12" hidden="0" customWidth="1"/>
    <x:col min="8" max="8" width="30" hidden="0" customWidth="1"/>
    <x:col min="9" max="9" width="22" hidden="0" customWidth="1"/>
    <x:col min="10" max="10" width="25" hidden="0" customWidth="1"/>
    <x:col min="11" max="11" width="52" hidden="0" customWidth="1"/>
    <x:col min="12" max="12" width="58" hidden="0" customWidth="1"/>
    <x:col min="13" max="13" width="20" hidden="0" customWidth="1"/>
    <x:col min="14" max="14" width="17" hidden="0" customWidth="1"/>
    <x:col min="15" max="15" width="48" hidden="0" customWidth="1"/>
    <x:col min="16" max="16" width="48" hidden="0" customWidth="1"/>
    <x:col min="18" max="18" width="30" hidden="0" customWidth="1"/>
    <x:col min="19" max="19" width="14" hidden="0" customWidth="1"/>
    <x:col min="20" max="20" width="12" hidden="0" customWidth="1"/>
    <x:col min="21" max="21" width="12" hidden="0" customWidth="1"/>
    <x:col min="22" max="22" width="15" hidden="0" customWidth="1"/>
    <x:col min="23" max="23" width="12" hidden="0" customWidth="1"/>
  </x:cols>
  <x:sheetData>
    <x:row r="1" ht="34" customHeight="1">
      <x:c r="A1" s="35" t="str">
        <x:v>Passage_ID</x:v>
      </x:c>
      <x:c r="B1" s="35" t="str">
        <x:v>Reference</x:v>
      </x:c>
      <x:c r="C1" s="35" t="str">
        <x:v>Text_Content</x:v>
      </x:c>
      <x:c r="D1" s="35" t="str">
        <x:v>Document</x:v>
      </x:c>
      <x:c r="E1" s="35" t="str">
        <x:v>Source_File</x:v>
      </x:c>
      <x:c r="F1" s="35" t="str">
        <x:v>Gold_Unlearning</x:v>
      </x:c>
      <x:c r="G1" s="35" t="str">
        <x:v>Gold_Binary</x:v>
      </x:c>
      <x:c r="H1" s="35" t="str">
        <x:v>Human_Label_Status</x:v>
      </x:c>
      <x:c r="I1" s="35" t="str">
        <x:v>Human_Labelers</x:v>
      </x:c>
      <x:c r="J1" s="35" t="str">
        <x:v>Matched_GPT_Test_IDs</x:v>
      </x:c>
      <x:c r="K1" s="35" t="str">
        <x:v>Label_Basis</x:v>
      </x:c>
      <x:c r="L1" s="35" t="str">
        <x:v>Adjudication_Rationale</x:v>
      </x:c>
      <x:c r="M1" s="35" t="str">
        <x:v>Paragraph_Type</x:v>
      </x:c>
      <x:c r="N1" s="35" t="str">
        <x:v>Extraction_Review_Flag</x:v>
      </x:c>
      <x:c r="O1" s="35" t="str">
        <x:v>Extraction_Review_Issue</x:v>
      </x:c>
      <x:c r="P1" s="35" t="str">
        <x:v>Source_Raw_IDs</x:v>
      </x:c>
      <x:c r="R1" s="5" t="str">
        <x:v>GPT Test ALL - Extracted Paragraph/List Inventory</x:v>
      </x:c>
      <x:c r="S1" s="5"/>
      <x:c r="T1" s="5"/>
      <x:c r="U1" s="5"/>
      <x:c r="V1" s="5"/>
      <x:c r="W1" s="5"/>
    </x:row>
    <x:row r="2" ht="45" customHeight="1">
      <x:c r="A2" s="30" t="str">
        <x:v>ERP-A001</x:v>
      </x:c>
      <x:c r="B2" s="30" t="str">
        <x:v>p 5</x:v>
      </x:c>
      <x:c r="C2" s="30" t="str">
        <x:v>On the morning of August 29, 2005, Hurricane Katrina — one of the strongest storms ever to hit the coast of the United States — brought intense winds, high rainfall, waves, and storm surge to the Gulf of Mexico shores of Louisiana, Mississippi, and Alabama. Communities in all three states suffered damage, but this report focuses on the devastation to New Orleans and southeast Louisiana.</x:v>
      </x:c>
      <x:c r="D2" s="30" t="str">
        <x:v>ERP Report</x:v>
      </x:c>
      <x:c r="E2" s="30" t="str">
        <x:v>erpreport.pdf</x:v>
      </x:c>
      <x:c r="F2" s="40" t="str">
        <x:v>No</x:v>
      </x:c>
      <x:c r="G2" s="40" t="n">
        <x:v>0</x:v>
      </x:c>
      <x:c r="H2" s="40" t="str">
        <x:v>Unlabeled</x:v>
      </x:c>
      <x:c r="I2" s="40"/>
      <x:c r="J2" s="40"/>
      <x:c r="K2" s="30" t="str">
        <x:v>Default No — no retained human paragraph-level label in the curated GPT Test</x:v>
      </x:c>
      <x:c r="L2" s="30"/>
      <x:c r="M2" s="40" t="str">
        <x:v>paragraph</x:v>
      </x:c>
      <x:c r="N2" s="40" t="str">
        <x:v>No</x:v>
      </x:c>
      <x:c r="O2" s="30"/>
      <x:c r="P2" s="30" t="str">
        <x:v>5:2:0;5:3:0;5:4:0;5:5:0;5:6:0;5:7:0</x:v>
      </x:c>
    </x:row>
    <x:row r="3" ht="45" customHeight="1">
      <x:c r="A3" s="30" t="str">
        <x:v>ERP-A002</x:v>
      </x:c>
      <x:c r="B3" s="30" t="str">
        <x:v>p 5</x:v>
      </x:c>
      <x:c r="C3" s="30" t="str">
        <x:v>New Orleans was built on low-lying marshland along the Mississippi River. Levees and floodwalls were built around the city and adjacent parishes to protect against flooding. During and after Hurricane Katrina, many of those levees and floodwalls were overtopped and several were breached, allowing billions of gallons of water from the Gulf of Mexico, Lake Borgne, and Lake Pontchartrain to flow into New Orleans and flood major portions of the city.</x:v>
      </x:c>
      <x:c r="D3" s="30" t="str">
        <x:v>ERP Report</x:v>
      </x:c>
      <x:c r="E3" s="30" t="str">
        <x:v>erpreport.pdf</x:v>
      </x:c>
      <x:c r="F3" s="40" t="str">
        <x:v>No</x:v>
      </x:c>
      <x:c r="G3" s="40" t="n">
        <x:v>0</x:v>
      </x:c>
      <x:c r="H3" s="40" t="str">
        <x:v>Unlabeled</x:v>
      </x:c>
      <x:c r="I3" s="40"/>
      <x:c r="J3" s="40"/>
      <x:c r="K3" s="30" t="str">
        <x:v>Default No — no retained human paragraph-level label in the curated GPT Test</x:v>
      </x:c>
      <x:c r="L3" s="30"/>
      <x:c r="M3" s="40" t="str">
        <x:v>paragraph</x:v>
      </x:c>
      <x:c r="N3" s="40" t="str">
        <x:v>No</x:v>
      </x:c>
      <x:c r="O3" s="30"/>
      <x:c r="P3" s="30" t="str">
        <x:v>5:8:0;5:9:0;5:10:0;5:11:0;5:12:0;5:13:0</x:v>
      </x:c>
      <x:c r="R3" s="14" t="str">
        <x:v>Metric</x:v>
      </x:c>
      <x:c r="S3" s="14" t="str">
        <x:v>Value</x:v>
      </x:c>
    </x:row>
    <x:row r="4" ht="45" customHeight="1">
      <x:c r="A4" s="30" t="str">
        <x:v>ERP-A003</x:v>
      </x:c>
      <x:c r="B4" s="30" t="str">
        <x:v>p 5</x:v>
      </x:c>
      <x:c r="C4" s="30" t="str">
        <x:v>As of August 2, 2006, 1,118 people were confirmed dead in Louisiana as a result of Hurricane Katrina. Another 135 people are still missing and presumed dead. Thousands of homes were destroyed. Direct damage to residential and non-residential property is estimated at $21 billion, damage to public infrastructure another $6.7 billion. Nearly half the region’s population has not yet returned after evacuating. Nearly 124 thousand jobs were lost, and the region’s economy was crippled.</x:v>
      </x:c>
      <x:c r="D4" s="30" t="str">
        <x:v>ERP Report</x:v>
      </x:c>
      <x:c r="E4" s="30" t="str">
        <x:v>erpreport.pdf</x:v>
      </x:c>
      <x:c r="F4" s="40" t="str">
        <x:v>No</x:v>
      </x:c>
      <x:c r="G4" s="40" t="n">
        <x:v>0</x:v>
      </x:c>
      <x:c r="H4" s="40" t="str">
        <x:v>Unlabeled</x:v>
      </x:c>
      <x:c r="I4" s="40"/>
      <x:c r="J4" s="40"/>
      <x:c r="K4" s="30" t="str">
        <x:v>Default No — no retained human paragraph-level label in the curated GPT Test</x:v>
      </x:c>
      <x:c r="L4" s="30"/>
      <x:c r="M4" s="40" t="str">
        <x:v>paragraph</x:v>
      </x:c>
      <x:c r="N4" s="40" t="str">
        <x:v>No</x:v>
      </x:c>
      <x:c r="O4" s="30"/>
      <x:c r="P4" s="30" t="str">
        <x:v>5:14:0;5:15:0;5:16:0;5:17:0;5:18:0;5:19:0;5:20:0</x:v>
      </x:c>
      <x:c r="R4" t="str">
        <x:v>Body paragraph/list units</x:v>
      </x:c>
      <x:c r="S4" t="n">
        <x:f>COUNTA(A2:A678)</x:f>
        <x:v>677</x:v>
      </x:c>
    </x:row>
    <x:row r="5" ht="45" customHeight="1">
      <x:c r="A5" s="30" t="str">
        <x:v>ERP-A004</x:v>
      </x:c>
      <x:c r="B5" s="30" t="str">
        <x:v>p 5</x:v>
      </x:c>
      <x:c r="C5" s="30" t="str">
        <x:v>The catastrophic failure of New Orleans’s hurricane protection system represents one of the nation’s worst disasters ever. The members of the American Society of Civil Engineers (ASCE) Hurricane Katrina External Review Panel have conducted an in-depth review of the comprehensive work of the United States Army Corps of Engineers (USACE) Interagency Performance Evaluation Taskforce (IPET) — at the USACE’s request. The ASCE Hurricane Katrina External Review Panel’s findings and conclusions are presented in this report.</x:v>
      </x:c>
      <x:c r="D5" s="30" t="str">
        <x:v>ERP Report</x:v>
      </x:c>
      <x:c r="E5" s="30" t="str">
        <x:v>erpreport.pdf</x:v>
      </x:c>
      <x:c r="F5" s="40" t="str">
        <x:v>No</x:v>
      </x:c>
      <x:c r="G5" s="40" t="n">
        <x:v>0</x:v>
      </x:c>
      <x:c r="H5" s="40" t="str">
        <x:v>Unlabeled</x:v>
      </x:c>
      <x:c r="I5" s="40"/>
      <x:c r="J5" s="40"/>
      <x:c r="K5" s="30" t="str">
        <x:v>Default No — no retained human paragraph-level label in the curated GPT Test</x:v>
      </x:c>
      <x:c r="L5" s="30"/>
      <x:c r="M5" s="40" t="str">
        <x:v>paragraph</x:v>
      </x:c>
      <x:c r="N5" s="40" t="str">
        <x:v>No</x:v>
      </x:c>
      <x:c r="O5" s="30"/>
      <x:c r="P5" s="30" t="str">
        <x:v>5:21:0;5:22:0;5:23:0;5:24:0;5:25:0;5:26:0;5:27:0;5:28:0</x:v>
      </x:c>
      <x:c r="R5" t="str">
        <x:v>Gold Yes</x:v>
      </x:c>
      <x:c r="S5" t="n">
        <x:f>COUNTIF(F2:F678,"Yes")</x:f>
        <x:v>38</x:v>
      </x:c>
    </x:row>
    <x:row r="6" ht="45" customHeight="1">
      <x:c r="A6" s="30" t="str">
        <x:v>ERP-A005</x:v>
      </x:c>
      <x:c r="B6" s="30" t="str">
        <x:v>p 5</x:v>
      </x:c>
      <x:c r="C6" s="30" t="str">
        <x:v>A storm of Hurricane Katrina’s strength and intensity is expected to cause major flooding and damage. A large portion of the destruction from Hurricane Katrina was caused not only by the storm itself, however, but also by the storm’s exposure of engineering and engineering-related policy failures. The levees and floodwalls breached because of a combination of unfortunate choices and decisions, made over many years, at almost all levels of responsibility.</x:v>
      </x:c>
      <x:c r="D6" s="30" t="str">
        <x:v>ERP Report</x:v>
      </x:c>
      <x:c r="E6" s="30" t="str">
        <x:v>erpreport.pdf</x:v>
      </x:c>
      <x:c r="F6" s="40" t="str">
        <x:v>No</x:v>
      </x:c>
      <x:c r="G6" s="40" t="n">
        <x:v>0</x:v>
      </x:c>
      <x:c r="H6" s="40" t="str">
        <x:v>Unlabeled</x:v>
      </x:c>
      <x:c r="I6" s="40"/>
      <x:c r="J6" s="40"/>
      <x:c r="K6" s="30" t="str">
        <x:v>Default No — no retained human paragraph-level label in the curated GPT Test</x:v>
      </x:c>
      <x:c r="L6" s="30"/>
      <x:c r="M6" s="40" t="str">
        <x:v>paragraph</x:v>
      </x:c>
      <x:c r="N6" s="40" t="str">
        <x:v>No</x:v>
      </x:c>
      <x:c r="O6" s="30"/>
      <x:c r="P6" s="30" t="str">
        <x:v>5:29:0;5:30:0;5:31:0;5:32:0;5:33:0;5:34:0;5:35:0</x:v>
      </x:c>
      <x:c r="R6" t="str">
        <x:v>Gold No</x:v>
      </x:c>
      <x:c r="S6" t="n">
        <x:f>COUNTIF(F2:F678,"No")</x:f>
        <x:v>639</x:v>
      </x:c>
    </x:row>
    <x:row r="7" ht="45" customHeight="1">
      <x:c r="A7" s="30" t="str">
        <x:v>ERP-A006</x:v>
      </x:c>
      <x:c r="B7" s="30" t="str">
        <x:v>p 5</x:v>
      </x:c>
      <x:c r="C7" s="30" t="str">
        <x:v>There were two direct causes of the levee breaches: collapse of several levees with concrete floodwalls (called I-walls) because of the way they were designed, and overtopping, where water poured over the tops of the levees and floodwalls and eroded the structures away. Furthermore, the many existing pump stations that could have helped remove floodwaters were inoperable during and after the storm.</x:v>
      </x:c>
      <x:c r="D7" s="30" t="str">
        <x:v>ERP Report</x:v>
      </x:c>
      <x:c r="E7" s="30" t="str">
        <x:v>erpreport.pdf</x:v>
      </x:c>
      <x:c r="F7" s="40" t="str">
        <x:v>No</x:v>
      </x:c>
      <x:c r="G7" s="40" t="n">
        <x:v>0</x:v>
      </x:c>
      <x:c r="H7" s="40" t="str">
        <x:v>Unlabeled</x:v>
      </x:c>
      <x:c r="I7" s="40"/>
      <x:c r="J7" s="40"/>
      <x:c r="K7" s="30" t="str">
        <x:v>Default No — no retained human paragraph-level label in the curated GPT Test</x:v>
      </x:c>
      <x:c r="L7" s="30"/>
      <x:c r="M7" s="40" t="str">
        <x:v>paragraph</x:v>
      </x:c>
      <x:c r="N7" s="40" t="str">
        <x:v>No</x:v>
      </x:c>
      <x:c r="O7" s="30"/>
      <x:c r="P7" s="30" t="str">
        <x:v>5:36:0;5:37:0;5:38:0;5:39:0;5:40:0;5:41:0</x:v>
      </x:c>
      <x:c r="R7" t="str">
        <x:v>Default unlabeled No</x:v>
      </x:c>
      <x:c r="S7" t="n">
        <x:f>COUNTIF(H2:H678,"Unlabeled")</x:f>
        <x:v>598</x:v>
      </x:c>
    </x:row>
    <x:row r="8" ht="45" customHeight="1">
      <x:c r="A8" s="30" t="str">
        <x:v>ERP-A007</x:v>
      </x:c>
      <x:c r="B8" s="30" t="str">
        <x:v>p 6</x:v>
      </x:c>
      <x:c r="C8" s="30" t="str">
        <x:v>The I-walls failed because the margin of safety used in the design process was too low — especially considering that the hurricane protection system was a critical life-safety structure. The engineering design did not account for the variability in the strength of soft soils beneath and adjacent to the levees. The designers failed to take into account a water-filled gap that developed behind the I-walls as they bowed outward from the forces exerted by the floodwaters.</x:v>
      </x:c>
      <x:c r="D8" s="30" t="str">
        <x:v>ERP Report</x:v>
      </x:c>
      <x:c r="E8" s="30" t="str">
        <x:v>erpreport.pdf</x:v>
      </x:c>
      <x:c r="F8" s="40" t="str">
        <x:v>No</x:v>
      </x:c>
      <x:c r="G8" s="40" t="n">
        <x:v>0</x:v>
      </x:c>
      <x:c r="H8" s="40" t="str">
        <x:v>Unlabeled</x:v>
      </x:c>
      <x:c r="I8" s="40"/>
      <x:c r="J8" s="40"/>
      <x:c r="K8" s="30" t="str">
        <x:v>Default No — no retained human paragraph-level label in the curated GPT Test</x:v>
      </x:c>
      <x:c r="L8" s="30"/>
      <x:c r="M8" s="40" t="str">
        <x:v>paragraph</x:v>
      </x:c>
      <x:c r="N8" s="40" t="str">
        <x:v>No</x:v>
      </x:c>
      <x:c r="O8" s="30"/>
      <x:c r="P8" s="30" t="str">
        <x:v>6:1:0;6:2:0;6:3:0;6:4:0;6:5:0;6:6:0;6:7:0</x:v>
      </x:c>
      <x:c r="R8" t="str">
        <x:v>Matched to revised GPT Test</x:v>
      </x:c>
      <x:c r="S8" t="n">
        <x:f>COUNTIF(J2:J678,"&lt;&gt;")</x:f>
        <x:v>79</x:v>
      </x:c>
    </x:row>
    <x:row r="9" ht="45" customHeight="1">
      <x:c r="A9" s="30" t="str">
        <x:v>ERP-A008</x:v>
      </x:c>
      <x:c r="B9" s="30" t="str">
        <x:v>p 6</x:v>
      </x:c>
      <x:c r="C9" s="30" t="str">
        <x:v>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x:v>
      </x:c>
      <x:c r="D9" s="30" t="str">
        <x:v>ERP Report</x:v>
      </x:c>
      <x:c r="E9" s="30" t="str">
        <x:v>erpreport.pdf</x:v>
      </x:c>
      <x:c r="F9" s="40" t="str">
        <x:v>Yes</x:v>
      </x:c>
      <x:c r="G9" s="40" t="n">
        <x:v>1</x:v>
      </x:c>
      <x:c r="H9" s="40" t="str">
        <x:v>Direct human-labeled/adjudicated</x:v>
      </x:c>
      <x:c r="I9" s="40" t="str">
        <x:v>Anmol, Kyle</x:v>
      </x:c>
      <x:c r="J9" s="40" t="str">
        <x:v>ERP-001</x:v>
      </x:c>
      <x:c r="K9" s="30" t="str">
        <x:v>Retained human/adjudicated label from the curated GPT Test after PyMuPDF source reconciliation.</x:v>
      </x:c>
      <x:c r="L9" s="30" t="str">
        <x:v>It identifies an engineering problem and implicitly calls for armouring and a change in construction practice.</x:v>
      </x:c>
      <x:c r="M9" s="40" t="str">
        <x:v>paragraph</x:v>
      </x:c>
      <x:c r="N9" s="40" t="str">
        <x:v>No</x:v>
      </x:c>
      <x:c r="O9" s="30"/>
      <x:c r="P9" s="30" t="str">
        <x:v>6:8:0;6:9:0;6:10:0;6:11:0;6:12:0</x:v>
      </x:c>
      <x:c r="R9" t="str">
        <x:v>Extraction review flags</x:v>
      </x:c>
      <x:c r="S9" t="n">
        <x:f>COUNTIF(N2:N678,"Yes")</x:f>
        <x:v>35</x:v>
      </x:c>
    </x:row>
    <x:row r="10" ht="45" customHeight="1">
      <x:c r="A10" s="30" t="str">
        <x:v>ERP-A009</x:v>
      </x:c>
      <x:c r="B10" s="30" t="str">
        <x:v>p 6</x:v>
      </x:c>
      <x:c r="C10" s="30" t="str">
        <x:v>In addition to these direct causes of the levee breaches, a number of other factors also contributed to the catastrophe:</x:v>
      </x:c>
      <x:c r="D10" s="30" t="str">
        <x:v>ERP Report</x:v>
      </x:c>
      <x:c r="E10" s="30" t="str">
        <x:v>erpreport.pdf</x:v>
      </x:c>
      <x:c r="F10" s="40" t="str">
        <x:v>No</x:v>
      </x:c>
      <x:c r="G10" s="40" t="n">
        <x:v>0</x:v>
      </x:c>
      <x:c r="H10" s="40" t="str">
        <x:v>Unlabeled</x:v>
      </x:c>
      <x:c r="I10" s="40"/>
      <x:c r="J10" s="40"/>
      <x:c r="K10" s="30" t="str">
        <x:v>Default No — no retained human paragraph-level label in the curated GPT Test</x:v>
      </x:c>
      <x:c r="L10" s="30"/>
      <x:c r="M10" s="40" t="str">
        <x:v>paragraph</x:v>
      </x:c>
      <x:c r="N10" s="40" t="str">
        <x:v>No</x:v>
      </x:c>
      <x:c r="O10" s="30"/>
      <x:c r="P10" s="30" t="str">
        <x:v>6:13:0;6:14:0</x:v>
      </x:c>
    </x:row>
    <x:row r="11" ht="45" customHeight="1">
      <x:c r="A11" s="30" t="str">
        <x:v>ERP-A010</x:v>
      </x:c>
      <x:c r="B11" s="30" t="str">
        <x:v>p 6</x:v>
      </x:c>
      <x:c r="C11" s="30" t="str">
        <x:v>• The risk to New Orleanians (i.e., the probability of failure combined with the consequences to human health and safety if that failure were to occur) was much higher than many people are generally willing to accept. Because these risks were not well understood or communicated effectively to the public, the importance of evacuating people and protecting property was under-estimated.</x:v>
      </x:c>
      <x:c r="D11" s="30" t="str">
        <x:v>ERP Report</x:v>
      </x:c>
      <x:c r="E11" s="30" t="str">
        <x:v>erpreport.pdf</x:v>
      </x:c>
      <x:c r="F11" s="40" t="str">
        <x:v>No</x:v>
      </x:c>
      <x:c r="G11" s="40" t="n">
        <x:v>0</x:v>
      </x:c>
      <x:c r="H11" s="40" t="str">
        <x:v>Unlabeled</x:v>
      </x:c>
      <x:c r="I11" s="40"/>
      <x:c r="J11" s="40"/>
      <x:c r="K11" s="30" t="str">
        <x:v>Default No — no retained human paragraph-level label in the curated GPT Test</x:v>
      </x:c>
      <x:c r="L11" s="30"/>
      <x:c r="M11" s="40" t="str">
        <x:v>bullet</x:v>
      </x:c>
      <x:c r="N11" s="40" t="str">
        <x:v>No</x:v>
      </x:c>
      <x:c r="O11" s="30"/>
      <x:c r="P11" s="30" t="str">
        <x:v>6:15:0;6:16:0;6:17:0;6:18:0;6:19:0;6:20:0</x:v>
      </x:c>
      <x:c r="R11" s="14" t="str">
        <x:v>Document</x:v>
      </x:c>
      <x:c r="S11" s="14" t="str">
        <x:v>Units</x:v>
      </x:c>
      <x:c r="T11" s="14" t="str">
        <x:v>Yes</x:v>
      </x:c>
      <x:c r="U11" s="14" t="str">
        <x:v>No</x:v>
      </x:c>
      <x:c r="V11" s="14" t="str">
        <x:v>Default No</x:v>
      </x:c>
      <x:c r="W11" s="14" t="str">
        <x:v>Flags</x:v>
      </x:c>
    </x:row>
    <x:row r="12" ht="45" customHeight="1">
      <x:c r="A12" s="30" t="str">
        <x:v>ERP-A011</x:v>
      </x:c>
      <x:c r="B12" s="30" t="str">
        <x:v>p 6</x:v>
      </x:c>
      <x:c r="C12" s="30" t="str">
        <x:v>•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x:v>
      </x:c>
      <x:c r="D12" s="30" t="str">
        <x:v>ERP Report</x:v>
      </x:c>
      <x:c r="E12" s="30" t="str">
        <x:v>erpreport.pdf</x:v>
      </x:c>
      <x:c r="F12" s="40" t="str">
        <x:v>Yes</x:v>
      </x:c>
      <x:c r="G12" s="40" t="n">
        <x:v>1</x:v>
      </x:c>
      <x:c r="H12" s="40" t="str">
        <x:v>Direct human-labeled/adjudicated</x:v>
      </x:c>
      <x:c r="I12" s="40" t="str">
        <x:v>Anmol, Kyle</x:v>
      </x:c>
      <x:c r="J12" s="40" t="str">
        <x:v>ERP-002</x:v>
      </x:c>
      <x:c r="K12" s="30" t="str">
        <x:v>Retained human/adjudicated label from the curated GPT Test after PyMuPDF source reconciliation.</x:v>
      </x:c>
      <x:c r="L12" s="30" t="str">
        <x:v>It identifies an engineering problem and calls for an inter-connected system.</x:v>
      </x:c>
      <x:c r="M12" s="40" t="str">
        <x:v>bullet</x:v>
      </x:c>
      <x:c r="N12" s="40" t="str">
        <x:v>No</x:v>
      </x:c>
      <x:c r="O12" s="30"/>
      <x:c r="P12" s="30" t="str">
        <x:v>6:22:0;6:23:0;6:24:0;6:25:0;6:26:0;6:27:0</x:v>
      </x:c>
      <x:c r="R12" t="str">
        <x:v>ERP Report</x:v>
      </x:c>
      <x:c r="S12" t="n">
        <x:f>COUNTIF($D$2:$D$678,R12)</x:f>
        <x:v>307</x:v>
      </x:c>
      <x:c r="T12" t="n">
        <x:f>COUNTIFS($D$2:$D$678,R12,$F$2:$F$678,"Yes")</x:f>
        <x:v>22</x:v>
      </x:c>
      <x:c r="U12" t="n">
        <x:f>COUNTIFS($D$2:$D$678,R12,$F$2:$F$678,"No")</x:f>
        <x:v>285</x:v>
      </x:c>
      <x:c r="V12" t="n">
        <x:f>COUNTIFS($D$2:$D$678,R12,$H$2:$H$678,"Unlabeled")</x:f>
        <x:v>268</x:v>
      </x:c>
      <x:c r="W12" t="n">
        <x:f>COUNTIFS($D$2:$D$678,R12,$N$2:$N$678,"Yes")</x:f>
        <x:v>17</x:v>
      </x:c>
    </x:row>
    <x:row r="13" ht="45" customHeight="1">
      <x:c r="A13" s="30" t="str">
        <x:v>ERP-A012</x:v>
      </x:c>
      <x:c r="B13" s="30" t="str">
        <x:v>p 6</x:v>
      </x:c>
      <x:c r="C13" s="30" t="str">
        <x:v>• The hurricane protection system was designed for meteorological conditions (barometric pressure and wind speed, for example) that were not as severe as the Weather Bureau and National Weather Service listed as being characteristic of a major Gulf Coast hurricane.</x:v>
      </x:c>
      <x:c r="D13" s="30" t="str">
        <x:v>ERP Report</x:v>
      </x:c>
      <x:c r="E13" s="30" t="str">
        <x:v>erpreport.pdf</x:v>
      </x:c>
      <x:c r="F13" s="40" t="str">
        <x:v>No</x:v>
      </x:c>
      <x:c r="G13" s="40" t="n">
        <x:v>0</x:v>
      </x:c>
      <x:c r="H13" s="40" t="str">
        <x:v>Unlabeled</x:v>
      </x:c>
      <x:c r="I13" s="40"/>
      <x:c r="J13" s="40"/>
      <x:c r="K13" s="30" t="str">
        <x:v>Default No — no retained human paragraph-level label in the curated GPT Test</x:v>
      </x:c>
      <x:c r="L13" s="30"/>
      <x:c r="M13" s="40" t="str">
        <x:v>bullet</x:v>
      </x:c>
      <x:c r="N13" s="40" t="str">
        <x:v>No</x:v>
      </x:c>
      <x:c r="O13" s="30"/>
      <x:c r="P13" s="30" t="str">
        <x:v>6:28:0;6:29:0;6:30:0;6:31:0;6:32:0</x:v>
      </x:c>
      <x:c r="R13" t="str">
        <x:v>EPA</x:v>
      </x:c>
      <x:c r="S13" t="n">
        <x:f>COUNTIF($D$2:$D$678,R13)</x:f>
        <x:v>109</x:v>
      </x:c>
      <x:c r="T13" t="n">
        <x:f>COUNTIFS($D$2:$D$678,R13,$F$2:$F$678,"Yes")</x:f>
        <x:v>2</x:v>
      </x:c>
      <x:c r="U13" t="n">
        <x:f>COUNTIFS($D$2:$D$678,R13,$F$2:$F$678,"No")</x:f>
        <x:v>107</x:v>
      </x:c>
      <x:c r="V13" t="n">
        <x:f>COUNTIFS($D$2:$D$678,R13,$H$2:$H$678,"Unlabeled")</x:f>
        <x:v>89</x:v>
      </x:c>
      <x:c r="W13" t="n">
        <x:f>COUNTIFS($D$2:$D$678,R13,$N$2:$N$678,"Yes")</x:f>
        <x:v>8</x:v>
      </x:c>
    </x:row>
    <x:row r="14" ht="45" customHeight="1">
      <x:c r="A14" s="30" t="str">
        <x:v>ERP-A013</x:v>
      </x:c>
      <x:c r="B14" s="30" t="str">
        <x:v>p 6</x:v>
      </x:c>
      <x:c r="C14" s="30" t="str">
        <x:v>• Levee builders used an incorrect datum to measure levee elevations — resulting in many levees not being built high enough. Some levees were built 1 to 2 feet lower than the intended design elevation. Furthermore, despite the acknowledged fact that New Orleans is subsiding (sinking), no measures were taken into account in the design to compensate for the subsidence by monitoring the levees and raising them up to the pre-subsidence design elevation.</x:v>
      </x:c>
      <x:c r="D14" s="30" t="str">
        <x:v>ERP Report</x:v>
      </x:c>
      <x:c r="E14" s="30" t="str">
        <x:v>erpreport.pdf</x:v>
      </x:c>
      <x:c r="F14" s="40" t="str">
        <x:v>No</x:v>
      </x:c>
      <x:c r="G14" s="40" t="n">
        <x:v>0</x:v>
      </x:c>
      <x:c r="H14" s="40" t="str">
        <x:v>Unlabeled</x:v>
      </x:c>
      <x:c r="I14" s="40"/>
      <x:c r="J14" s="40"/>
      <x:c r="K14" s="30" t="str">
        <x:v>Default No — no retained human paragraph-level label in the curated GPT Test</x:v>
      </x:c>
      <x:c r="L14" s="30"/>
      <x:c r="M14" s="40" t="str">
        <x:v>bullet</x:v>
      </x:c>
      <x:c r="N14" s="40" t="str">
        <x:v>No</x:v>
      </x:c>
      <x:c r="O14" s="30"/>
      <x:c r="P14" s="30" t="str">
        <x:v>6:33:0;6:34:0;6:35:0;6:36:0;6:37:0;6:38:0;6:39:0;6:40:0</x:v>
      </x:c>
      <x:c r="R14" t="str">
        <x:v>Hurricane Katrina</x:v>
      </x:c>
      <x:c r="S14" t="n">
        <x:f>COUNTIF($D$2:$D$678,R14)</x:f>
        <x:v>146</x:v>
      </x:c>
      <x:c r="T14" t="n">
        <x:f>COUNTIFS($D$2:$D$678,R14,$F$2:$F$678,"Yes")</x:f>
        <x:v>5</x:v>
      </x:c>
      <x:c r="U14" t="n">
        <x:f>COUNTIFS($D$2:$D$678,R14,$F$2:$F$678,"No")</x:f>
        <x:v>141</x:v>
      </x:c>
      <x:c r="V14" t="n">
        <x:f>COUNTIFS($D$2:$D$678,R14,$H$2:$H$678,"Unlabeled")</x:f>
        <x:v>135</x:v>
      </x:c>
      <x:c r="W14" t="n">
        <x:f>COUNTIFS($D$2:$D$678,R14,$N$2:$N$678,"Yes")</x:f>
        <x:v>6</x:v>
      </x:c>
    </x:row>
    <x:row r="15" ht="45" customHeight="1">
      <x:c r="A15" s="30" t="str">
        <x:v>ERP-A014</x:v>
      </x:c>
      <x:c r="B15" s="30" t="str">
        <x:v>p 7</x:v>
      </x:c>
      <x:c r="C15" s="30" t="str">
        <x:v>•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x:v>
      </x:c>
      <x:c r="D15" s="30" t="str">
        <x:v>ERP Report</x:v>
      </x:c>
      <x:c r="E15" s="30" t="str">
        <x:v>erpreport.pdf</x:v>
      </x:c>
      <x:c r="F15" s="40" t="str">
        <x:v>Yes</x:v>
      </x:c>
      <x:c r="G15" s="40" t="n">
        <x:v>1</x:v>
      </x:c>
      <x:c r="H15" s="40" t="str">
        <x:v>Direct human-labeled/adjudicated</x:v>
      </x:c>
      <x:c r="I15" s="40" t="str">
        <x:v>Anmol, Kyle</x:v>
      </x:c>
      <x:c r="J15" s="40" t="str">
        <x:v>ERP-003</x:v>
      </x:c>
      <x:c r="K15" s="30" t="str">
        <x:v>Retained human/adjudicated label from the curated GPT Test after PyMuPDF source reconciliation.</x:v>
      </x:c>
      <x:c r="L15" s="30" t="str">
        <x:v>it identifies inter-agency coordination as a problem and implicitly calls for change.</x:v>
      </x:c>
      <x:c r="M15" s="40" t="str">
        <x:v>bullet</x:v>
      </x:c>
      <x:c r="N15" s="40" t="str">
        <x:v>No</x:v>
      </x:c>
      <x:c r="O15" s="30"/>
      <x:c r="P15" s="30" t="str">
        <x:v>7:1:0;7:2:0;7:3:0;7:4:0;7:5:0;7:6:0</x:v>
      </x:c>
      <x:c r="R15" t="str">
        <x:v>Post-Katrina Preparedness</x:v>
      </x:c>
      <x:c r="S15" t="n">
        <x:f>COUNTIF($D$2:$D$678,R15)</x:f>
        <x:v>84</x:v>
      </x:c>
      <x:c r="T15" t="n">
        <x:f>COUNTIFS($D$2:$D$678,R15,$F$2:$F$678,"Yes")</x:f>
        <x:v>0</x:v>
      </x:c>
      <x:c r="U15" t="n">
        <x:f>COUNTIFS($D$2:$D$678,R15,$F$2:$F$678,"No")</x:f>
        <x:v>84</x:v>
      </x:c>
      <x:c r="V15" t="n">
        <x:f>COUNTIFS($D$2:$D$678,R15,$H$2:$H$678,"Unlabeled")</x:f>
        <x:v>84</x:v>
      </x:c>
      <x:c r="W15" t="n">
        <x:f>COUNTIFS($D$2:$D$678,R15,$N$2:$N$678,"Yes")</x:f>
        <x:v>1</x:v>
      </x:c>
    </x:row>
    <x:row r="16" ht="45" customHeight="1">
      <x:c r="A16" s="30" t="str">
        <x:v>ERP-A015</x:v>
      </x:c>
      <x:c r="B16" s="30" t="str">
        <x:v>p 7</x:v>
      </x:c>
      <x:c r="C16" s="30" t="str">
        <x:v>• The hurricane protection system was funded on a project-by-project basis over many years. As a result, the system was constructed in a piecemeal fashion. In addition, there were pressures for tradeoffs and low-cost solutions that compromised quality, safety, and reliability.</x:v>
      </x:c>
      <x:c r="D16" s="30" t="str">
        <x:v>ERP Report</x:v>
      </x:c>
      <x:c r="E16" s="30" t="str">
        <x:v>erpreport.pdf</x:v>
      </x:c>
      <x:c r="F16" s="40" t="str">
        <x:v>Yes</x:v>
      </x:c>
      <x:c r="G16" s="40" t="n">
        <x:v>1</x:v>
      </x:c>
      <x:c r="H16" s="40" t="str">
        <x:v>Direct human-labeled/adjudicated</x:v>
      </x:c>
      <x:c r="I16" s="40" t="str">
        <x:v>Anmol, Kyle</x:v>
      </x:c>
      <x:c r="J16" s="40" t="str">
        <x:v>ERP-004</x:v>
      </x:c>
      <x:c r="K16" s="30" t="str">
        <x:v>Retained human/adjudicated label from the curated GPT Test after PyMuPDF source reconciliation.</x:v>
      </x:c>
      <x:c r="L16" s="30" t="str">
        <x:v>It identifies clear problems in project development and cost-cutting and implicitly calls for a fundamental change in the approach.</x:v>
      </x:c>
      <x:c r="M16" s="40" t="str">
        <x:v>bullet</x:v>
      </x:c>
      <x:c r="N16" s="40" t="str">
        <x:v>No</x:v>
      </x:c>
      <x:c r="O16" s="30"/>
      <x:c r="P16" s="30" t="str">
        <x:v>7:7:0;7:8:0;7:9:0;7:10:0;7:11:0</x:v>
      </x:c>
      <x:c r="R16" t="str">
        <x:v>PAR</x:v>
      </x:c>
      <x:c r="S16" t="n">
        <x:f>COUNTIF($D$2:$D$678,R16)</x:f>
        <x:v>31</x:v>
      </x:c>
      <x:c r="T16" t="n">
        <x:f>COUNTIFS($D$2:$D$678,R16,$F$2:$F$678,"Yes")</x:f>
        <x:v>9</x:v>
      </x:c>
      <x:c r="U16" t="n">
        <x:f>COUNTIFS($D$2:$D$678,R16,$F$2:$F$678,"No")</x:f>
        <x:v>22</x:v>
      </x:c>
      <x:c r="V16" t="n">
        <x:f>COUNTIFS($D$2:$D$678,R16,$H$2:$H$678,"Unlabeled")</x:f>
        <x:v>22</x:v>
      </x:c>
      <x:c r="W16" t="n">
        <x:f>COUNTIFS($D$2:$D$678,R16,$N$2:$N$678,"Yes")</x:f>
        <x:v>3</x:v>
      </x:c>
    </x:row>
    <x:row r="17" ht="45" customHeight="1">
      <x:c r="A17" s="30" t="str">
        <x:v>ERP-A016</x:v>
      </x:c>
      <x:c r="B17" s="30" t="str">
        <x:v>p 7</x:v>
      </x:c>
      <x:c r="C17" s="30" t="str">
        <x:v>• The design of the New Orleans hurricane protection system was not subject to the rigorous external review by senior experts that is often conducted for similar life-safety structures and systems.</x:v>
      </x:c>
      <x:c r="D17" s="30" t="str">
        <x:v>ERP Report</x:v>
      </x:c>
      <x:c r="E17" s="30" t="str">
        <x:v>erpreport.pdf</x:v>
      </x:c>
      <x:c r="F17" s="40" t="str">
        <x:v>Yes</x:v>
      </x:c>
      <x:c r="G17" s="40" t="n">
        <x:v>1</x:v>
      </x:c>
      <x:c r="H17" s="40" t="str">
        <x:v>Direct human-labeled/adjudicated</x:v>
      </x:c>
      <x:c r="I17" s="40" t="str">
        <x:v>Anmol, Kyle</x:v>
      </x:c>
      <x:c r="J17" s="40" t="str">
        <x:v>ERP-005</x:v>
      </x:c>
      <x:c r="K17" s="30" t="str">
        <x:v>Retained human/adjudicated label from the curated GPT Test after PyMuPDF source reconciliation.</x:v>
      </x:c>
      <x:c r="L17" s="30" t="str">
        <x:v>It identifies review mechanism as problemtaic and implicitly calls for external review system</x:v>
      </x:c>
      <x:c r="M17" s="40" t="str">
        <x:v>bullet</x:v>
      </x:c>
      <x:c r="N17" s="40" t="str">
        <x:v>No</x:v>
      </x:c>
      <x:c r="O17" s="30"/>
      <x:c r="P17" s="30" t="str">
        <x:v>7:13:0;7:14:0;7:15:0</x:v>
      </x:c>
    </x:row>
    <x:row r="18" ht="45" customHeight="1">
      <x:c r="A18" s="30" t="str">
        <x:v>ERP-A017</x:v>
      </x:c>
      <x:c r="B18" s="30" t="str">
        <x:v>p 7</x:v>
      </x:c>
      <x:c r="C18" s="30" t="str">
        <x:v>The first of ASCE’s Fundamental Canons in its Code of Ethics states, “Engineers shall hold paramount the safety, health and welfare of the public....” Serious deficiencies in the southeast Louisiana hurricane protection system must be corrected if the New Orleans area is to avoid a similar catastrophe when the next major hurricane strikes.</x:v>
      </x:c>
      <x:c r="D18" s="30" t="str">
        <x:v>ERP Report</x:v>
      </x:c>
      <x:c r="E18" s="30" t="str">
        <x:v>erpreport.pdf</x:v>
      </x:c>
      <x:c r="F18" s="40" t="str">
        <x:v>No</x:v>
      </x:c>
      <x:c r="G18" s="40" t="n">
        <x:v>0</x:v>
      </x:c>
      <x:c r="H18" s="40" t="str">
        <x:v>Unlabeled</x:v>
      </x:c>
      <x:c r="I18" s="40"/>
      <x:c r="J18" s="40"/>
      <x:c r="K18" s="30" t="str">
        <x:v>Default No — no retained human paragraph-level label in the curated GPT Test</x:v>
      </x:c>
      <x:c r="L18" s="30"/>
      <x:c r="M18" s="40" t="str">
        <x:v>paragraph</x:v>
      </x:c>
      <x:c r="N18" s="40" t="str">
        <x:v>No</x:v>
      </x:c>
      <x:c r="O18" s="30"/>
      <x:c r="P18" s="30" t="str">
        <x:v>7:16:0;7:17:0;7:18:0;7:19:0;7:20:0</x:v>
      </x:c>
      <x:c r="R18" s="23" t="str">
        <x:v>Every substantive paragraph or grammatical list unit extracted from the five supplied PDFs is included here. A unit that was not explicitly retained as a human-labeled paragraph in the curated test set is assigned No by default and marked Unlabeled. This default should not be interpreted as an independent human annotation.</x:v>
      </x:c>
      <x:c r="S18" s="23"/>
      <x:c r="T18" s="23"/>
      <x:c r="U18" s="23"/>
      <x:c r="V18" s="23"/>
      <x:c r="W18" s="23"/>
    </x:row>
    <x:row r="19" ht="45" customHeight="1">
      <x:c r="A19" s="30" t="str">
        <x:v>ERP-A018</x:v>
      </x:c>
      <x:c r="B19" s="30" t="str">
        <x:v>p 7</x:v>
      </x:c>
      <x:c r="C19" s="30" t="str">
        <x:v>The ASCE Hurricane Katrina External Review Panel strongly urges that organizations responsible for critical life-safety facilities be organized and operated to enable, not to inhibit, a focus on safety, and that engineers continually evaluate the appropriateness of design criteria, always considering how the performance of individual components affects the overall performance of a system. Specific recommendations include:</x:v>
      </x:c>
      <x:c r="D19" s="30" t="str">
        <x:v>ERP Report</x:v>
      </x:c>
      <x:c r="E19" s="30" t="str">
        <x:v>erpreport.pdf</x:v>
      </x:c>
      <x:c r="F19" s="40" t="str">
        <x:v>No</x:v>
      </x:c>
      <x:c r="G19" s="40" t="n">
        <x:v>0</x:v>
      </x:c>
      <x:c r="H19" s="40" t="str">
        <x:v>Unlabeled</x:v>
      </x:c>
      <x:c r="I19" s="40"/>
      <x:c r="J19" s="40"/>
      <x:c r="K19" s="30" t="str">
        <x:v>Default No — no retained human paragraph-level label in the curated GPT Test</x:v>
      </x:c>
      <x:c r="L19" s="30"/>
      <x:c r="M19" s="40" t="str">
        <x:v>paragraph</x:v>
      </x:c>
      <x:c r="N19" s="40" t="str">
        <x:v>No</x:v>
      </x:c>
      <x:c r="O19" s="30"/>
      <x:c r="P19" s="30" t="str">
        <x:v>7:21:0;7:22:0;7:23:0;7:24:0;7:25:0;7:26:0</x:v>
      </x:c>
      <x:c r="R19" s="23"/>
      <x:c r="S19" s="23"/>
      <x:c r="T19" s="23"/>
      <x:c r="U19" s="23"/>
      <x:c r="V19" s="23"/>
      <x:c r="W19" s="23"/>
    </x:row>
    <x:row r="20" ht="45" customHeight="1">
      <x:c r="A20" s="30" t="str">
        <x:v>ERP-A019</x:v>
      </x:c>
      <x:c r="B20" s="30" t="str">
        <x:v>p 7</x:v>
      </x:c>
      <x:c r="C20" s="30" t="str">
        <x:v>• Keep safety at the forefront of public priorities by having all responsible agencies re-evaluate their policies and practices to ensure that protection of public safety, health, and welfare is the top priority for infrequent but potentially devastating impacts from hurricanes and flooding. Also, encourage Congress to establish and fund a mechanism for a nationwide levee safety program, similar to that which is in place for dams.</x:v>
      </x:c>
      <x:c r="D20" s="30" t="str">
        <x:v>ERP Report</x:v>
      </x:c>
      <x:c r="E20" s="30" t="str">
        <x:v>erpreport.pdf</x:v>
      </x:c>
      <x:c r="F20" s="40" t="str">
        <x:v>No</x:v>
      </x:c>
      <x:c r="G20" s="40" t="n">
        <x:v>0</x:v>
      </x:c>
      <x:c r="H20" s="40" t="str">
        <x:v>Unlabeled</x:v>
      </x:c>
      <x:c r="I20" s="40"/>
      <x:c r="J20" s="40"/>
      <x:c r="K20" s="30" t="str">
        <x:v>Default No — no retained human paragraph-level label in the curated GPT Test</x:v>
      </x:c>
      <x:c r="L20" s="30"/>
      <x:c r="M20" s="40" t="str">
        <x:v>bullet</x:v>
      </x:c>
      <x:c r="N20" s="40" t="str">
        <x:v>No</x:v>
      </x:c>
      <x:c r="O20" s="30"/>
      <x:c r="P20" s="30" t="str">
        <x:v>7:27:0;7:28:0;7:29:0;7:30:0;7:31:0;7:32:0;7:33:0</x:v>
      </x:c>
      <x:c r="R20" s="23"/>
      <x:c r="S20" s="23"/>
      <x:c r="T20" s="23"/>
      <x:c r="U20" s="23"/>
      <x:c r="V20" s="23"/>
      <x:c r="W20" s="23"/>
    </x:row>
    <x:row r="21" ht="45" customHeight="1">
      <x:c r="A21" s="30" t="str">
        <x:v>ERP-A020</x:v>
      </x:c>
      <x:c r="B21" s="30" t="str">
        <x:v>p 7</x:v>
      </x:c>
      <x:c r="C21" s="30" t="str">
        <x:v>• Quantify and periodically update the assessment of risk. This approach should be extended to all areas in the United States that are vulnerable to major losses from hurricanes and flooding.</x:v>
      </x:c>
      <x:c r="D21" s="30" t="str">
        <x:v>ERP Report</x:v>
      </x:c>
      <x:c r="E21" s="30" t="str">
        <x:v>erpreport.pdf</x:v>
      </x:c>
      <x:c r="F21" s="40" t="str">
        <x:v>No</x:v>
      </x:c>
      <x:c r="G21" s="40" t="n">
        <x:v>0</x:v>
      </x:c>
      <x:c r="H21" s="40" t="str">
        <x:v>Direct human-labeled/adjudicated</x:v>
      </x:c>
      <x:c r="I21" s="40" t="str">
        <x:v>Anmol, Kyle</x:v>
      </x:c>
      <x:c r="J21" s="40" t="str">
        <x:v>ERP-006</x:v>
      </x:c>
      <x:c r="K21" s="30" t="str">
        <x:v>Retained human/adjudicated label from the curated GPT Test after PyMuPDF source reconciliation.</x:v>
      </x:c>
      <x:c r="L21" s="30" t="str">
        <x:v>not unlearning. Its not about fundamental rethingk or abandongin,b ut more of updating and extending.</x:v>
      </x:c>
      <x:c r="M21" s="40" t="str">
        <x:v>bullet</x:v>
      </x:c>
      <x:c r="N21" s="40" t="str">
        <x:v>No</x:v>
      </x:c>
      <x:c r="O21" s="30"/>
      <x:c r="P21" s="30" t="str">
        <x:v>7:34:0;7:35:0;7:36:0</x:v>
      </x:c>
      <x:c r="R21" s="23"/>
      <x:c r="S21" s="23"/>
      <x:c r="T21" s="23"/>
      <x:c r="U21" s="23"/>
      <x:c r="V21" s="23"/>
      <x:c r="W21" s="23"/>
    </x:row>
    <x:row r="22" ht="45" customHeight="1">
      <x:c r="A22" s="30" t="str">
        <x:v>ERP-A021</x:v>
      </x:c>
      <x:c r="B22" s="30" t="str">
        <x:v>pp 7-8</x:v>
      </x:c>
      <x:c r="C22" s="30" t="str">
        <x:v>• Determine the level of acceptable risk in the community through quality interactive public risk communication programs in New Orleans and other areas threatened by hurricanes and flooding. Once determined, manage the risks accordingly.</x:v>
      </x:c>
      <x:c r="D22" s="30" t="str">
        <x:v>ERP Report</x:v>
      </x:c>
      <x:c r="E22" s="30" t="str">
        <x:v>erpreport.pdf</x:v>
      </x:c>
      <x:c r="F22" s="40" t="str">
        <x:v>No</x:v>
      </x:c>
      <x:c r="G22" s="40" t="n">
        <x:v>0</x:v>
      </x:c>
      <x:c r="H22" s="40" t="str">
        <x:v>Direct human-labeled/adjudicated</x:v>
      </x:c>
      <x:c r="I22" s="40" t="str">
        <x:v>Anmol, Kyle</x:v>
      </x:c>
      <x:c r="J22" s="40" t="str">
        <x:v>ERP-007</x:v>
      </x:c>
      <x:c r="K22" s="30" t="str">
        <x:v>Retained human/adjudicated label from the curated GPT Test after PyMuPDF source reconciliation.</x:v>
      </x:c>
      <x:c r="L22" s="30" t="str">
        <x:v>Not unlearnign. This is a generic statement and doesnt identify what was broken and needs to be rethought.</x:v>
      </x:c>
      <x:c r="M22" s="40" t="str">
        <x:v>bullet</x:v>
      </x:c>
      <x:c r="N22" s="40" t="str">
        <x:v>No</x:v>
      </x:c>
      <x:c r="O22" s="30"/>
      <x:c r="P22" s="30" t="str">
        <x:v>7:37:0;7:38:0;8:1:0;8:2:0</x:v>
      </x:c>
      <x:c r="R22" s="23"/>
      <x:c r="S22" s="23"/>
      <x:c r="T22" s="23"/>
      <x:c r="U22" s="23"/>
      <x:c r="V22" s="23"/>
      <x:c r="W22" s="23"/>
    </x:row>
    <x:row r="23" ht="45" customHeight="1">
      <x:c r="A23" s="30" t="str">
        <x:v>ERP-A022</x:v>
      </x:c>
      <x:c r="B23" s="30" t="str">
        <x:v>p 8</x:v>
      </x:c>
      <x:c r="C23" s="30" t="str">
        <x:v>• Correct the system’s deficiencies by establishing mechanisms to incorporate changing information, making the levees survivable if overtopped, strengthening the I-walls and levees, and upgrading the pumping stations.</x:v>
      </x:c>
      <x:c r="D23" s="30" t="str">
        <x:v>ERP Report</x:v>
      </x:c>
      <x:c r="E23" s="30" t="str">
        <x:v>erpreport.pdf</x:v>
      </x:c>
      <x:c r="F23" s="40" t="str">
        <x:v>No</x:v>
      </x:c>
      <x:c r="G23" s="40" t="n">
        <x:v>0</x:v>
      </x:c>
      <x:c r="H23" s="40" t="str">
        <x:v>Direct human-labeled/adjudicated</x:v>
      </x:c>
      <x:c r="I23" s="40" t="str">
        <x:v>Anmol, Kyle</x:v>
      </x:c>
      <x:c r="J23" s="40" t="str">
        <x:v>ERP-008</x:v>
      </x:c>
      <x:c r="K23" s="30" t="str">
        <x:v>Retained human/adjudicated label from the curated GPT Test after PyMuPDF source reconciliation.</x:v>
      </x:c>
      <x:c r="L23" s="30" t="str">
        <x:v>This is not unlearning. It speaks to upgrades and coorective measures, not fundamental rethink.</x:v>
      </x:c>
      <x:c r="M23" s="40" t="str">
        <x:v>bullet</x:v>
      </x:c>
      <x:c r="N23" s="40" t="str">
        <x:v>No</x:v>
      </x:c>
      <x:c r="O23" s="30"/>
      <x:c r="P23" s="30" t="str">
        <x:v>8:3:0;8:4:0;8:5:0;8:6:0</x:v>
      </x:c>
    </x:row>
    <x:row r="24" ht="45" customHeight="1">
      <x:c r="A24" s="30" t="str">
        <x:v>ERP-A023</x:v>
      </x:c>
      <x:c r="B24" s="30" t="str">
        <x:v>p 8</x:v>
      </x:c>
      <x:c r="C24" s="30" t="str">
        <x:v>• Assign to a single entity or individual (a licensed engineer) the responsibility of managing critical hurricane and flood protection systems such as the one in New Orleans.</x:v>
      </x:c>
      <x:c r="D24" s="30" t="str">
        <x:v>ERP Report</x:v>
      </x:c>
      <x:c r="E24" s="30" t="str">
        <x:v>erpreport.pdf</x:v>
      </x:c>
      <x:c r="F24" s="40" t="str">
        <x:v>Yes</x:v>
      </x:c>
      <x:c r="G24" s="40" t="n">
        <x:v>1</x:v>
      </x:c>
      <x:c r="H24" s="40" t="str">
        <x:v>Direct human-labeled/adjudicated</x:v>
      </x:c>
      <x:c r="I24" s="40" t="str">
        <x:v>Anmol, Kyle</x:v>
      </x:c>
      <x:c r="J24" s="40" t="str">
        <x:v>ERP-009</x:v>
      </x:c>
      <x:c r="K24" s="30" t="str">
        <x:v>Retained human/adjudicated label from the curated GPT Test after PyMuPDF source reconciliation.</x:v>
      </x:c>
      <x:c r="L24" s="30" t="str">
        <x:v>This is unlearning. It doesnt identify a clear problem, but calls for fundamental rethink by assigning a single entity responsible managing criticl huyrricane.</x:v>
      </x:c>
      <x:c r="M24" s="40" t="str">
        <x:v>bullet</x:v>
      </x:c>
      <x:c r="N24" s="40" t="str">
        <x:v>No</x:v>
      </x:c>
      <x:c r="O24" s="30"/>
      <x:c r="P24" s="30" t="str">
        <x:v>8:7:0;8:8:0;8:9:0</x:v>
      </x:c>
    </x:row>
    <x:row r="25" ht="45" customHeight="1">
      <x:c r="A25" s="30" t="str">
        <x:v>ERP-A024</x:v>
      </x:c>
      <x:c r="B25" s="30" t="str">
        <x:v>p 8</x:v>
      </x:c>
      <x:c r="C25" s="30" t="str">
        <x:v>•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x:v>
      </x:c>
      <x:c r="D25" s="30" t="str">
        <x:v>ERP Report</x:v>
      </x:c>
      <x:c r="E25" s="30" t="str">
        <x:v>erpreport.pdf</x:v>
      </x:c>
      <x:c r="F25" s="40" t="str">
        <x:v>No</x:v>
      </x:c>
      <x:c r="G25" s="40" t="n">
        <x:v>0</x:v>
      </x:c>
      <x:c r="H25" s="40" t="str">
        <x:v>Direct human-labeled/adjudicated</x:v>
      </x:c>
      <x:c r="I25" s="40" t="str">
        <x:v>Anmol, Kyle</x:v>
      </x:c>
      <x:c r="J25" s="40" t="str">
        <x:v>ERP-010</x:v>
      </x:c>
      <x:c r="K25" s="30" t="str">
        <x:v>Retained human/adjudicated label from the curated GPT Test after PyMuPDF source reconciliation.</x:v>
      </x:c>
      <x:c r="L25" s="30" t="str">
        <x:v>This is not unlearnign. It doesnt exolicitly identify a clear problem and asks for more additive changes related to upgrading.</x:v>
      </x:c>
      <x:c r="M25" s="40" t="str">
        <x:v>bullet</x:v>
      </x:c>
      <x:c r="N25" s="40" t="str">
        <x:v>No</x:v>
      </x:c>
      <x:c r="O25" s="30"/>
      <x:c r="P25" s="30" t="str">
        <x:v>8:10:0;8:11:0;8:12:0;8:13:0;8:14:0</x:v>
      </x:c>
    </x:row>
    <x:row r="26" ht="45" customHeight="1">
      <x:c r="A26" s="30" t="str">
        <x:v>ERP-A025</x:v>
      </x:c>
      <x:c r="B26" s="30" t="str">
        <x:v>p 8</x:v>
      </x:c>
      <x:c r="C26" s="30" t="str">
        <x:v>• Upgrade engineering design procedures and practice to place greater emphasis on safety.</x:v>
      </x:c>
      <x:c r="D26" s="30" t="str">
        <x:v>ERP Report</x:v>
      </x:c>
      <x:c r="E26" s="30" t="str">
        <x:v>erpreport.pdf</x:v>
      </x:c>
      <x:c r="F26" s="40" t="str">
        <x:v>No</x:v>
      </x:c>
      <x:c r="G26" s="40" t="n">
        <x:v>0</x:v>
      </x:c>
      <x:c r="H26" s="40" t="str">
        <x:v>Unlabeled</x:v>
      </x:c>
      <x:c r="I26" s="40"/>
      <x:c r="J26" s="40"/>
      <x:c r="K26" s="30" t="str">
        <x:v>Default No — no retained human paragraph-level label in the curated GPT Test</x:v>
      </x:c>
      <x:c r="L26" s="30"/>
      <x:c r="M26" s="40" t="str">
        <x:v>bullet</x:v>
      </x:c>
      <x:c r="N26" s="40" t="str">
        <x:v>No</x:v>
      </x:c>
      <x:c r="O26" s="30"/>
      <x:c r="P26" s="30" t="str">
        <x:v>8:15:0;8:16:0</x:v>
      </x:c>
    </x:row>
    <x:row r="27" ht="45" customHeight="1">
      <x:c r="A27" s="30" t="str">
        <x:v>ERP-A026</x:v>
      </x:c>
      <x:c r="B27" s="30" t="str">
        <x:v>p 8</x:v>
      </x:c>
      <x:c r="C27" s="30" t="str">
        <x:v>• Engage independent experts in high-level reviews of all critical life-safety structures, including hurricane and flood-protection systems.</x:v>
      </x:c>
      <x:c r="D27" s="30" t="str">
        <x:v>ERP Report</x:v>
      </x:c>
      <x:c r="E27" s="30" t="str">
        <x:v>erpreport.pdf</x:v>
      </x:c>
      <x:c r="F27" s="40" t="str">
        <x:v>Yes</x:v>
      </x:c>
      <x:c r="G27" s="40" t="n">
        <x:v>1</x:v>
      </x:c>
      <x:c r="H27" s="40" t="str">
        <x:v>Direct human-labeled/adjudicated</x:v>
      </x:c>
      <x:c r="I27" s="40" t="str">
        <x:v>Anmol, Kyle</x:v>
      </x:c>
      <x:c r="J27" s="40" t="str">
        <x:v>ERP-011</x:v>
      </x:c>
      <x:c r="K27" s="30" t="str">
        <x:v>Retained human/adjudicated label from the curated GPT Test after PyMuPDF source reconciliation.</x:v>
      </x:c>
      <x:c r="L27" s="30" t="str">
        <x:v>This is unlearning. It doesn't identify the clear problem explicitly, but I can surmise that independent experts weren't part of the review, and it calls for a new approach where they are engaged.</x:v>
      </x:c>
      <x:c r="M27" s="40" t="str">
        <x:v>bullet</x:v>
      </x:c>
      <x:c r="N27" s="40" t="str">
        <x:v>No</x:v>
      </x:c>
      <x:c r="O27" s="30"/>
      <x:c r="P27" s="30" t="str">
        <x:v>8:17:0;8:18:0</x:v>
      </x:c>
    </x:row>
    <x:row r="28" ht="45" customHeight="1">
      <x:c r="A28" s="30" t="str">
        <x:v>ERP-A027</x:v>
      </x:c>
      <x:c r="B28" s="30" t="str">
        <x:v>p 8</x:v>
      </x:c>
      <x:c r="C28" s="30" t="str">
        <x:v>In a very real sense, the findings and conclusions in this report extend far beyond the New Orleans hurricane protection system. The lessons learned from the engineering and engineering-related policy failures triggered by Hurricane Katrina have profound implications for other American communities and a sobering message to people nationwide: we must place the protection of safety, health, and welfare at the forefront of our nation’s priorities. To do anything less could lead to a far greater tragedy than the one witnessed in New Orleans.</x:v>
      </x:c>
      <x:c r="D28" s="30" t="str">
        <x:v>ERP Report</x:v>
      </x:c>
      <x:c r="E28" s="30" t="str">
        <x:v>erpreport.pdf</x:v>
      </x:c>
      <x:c r="F28" s="40" t="str">
        <x:v>No</x:v>
      </x:c>
      <x:c r="G28" s="40" t="n">
        <x:v>0</x:v>
      </x:c>
      <x:c r="H28" s="40" t="str">
        <x:v>Unlabeled</x:v>
      </x:c>
      <x:c r="I28" s="40"/>
      <x:c r="J28" s="40"/>
      <x:c r="K28" s="30" t="str">
        <x:v>Default No — no retained human paragraph-level label in the curated GPT Test</x:v>
      </x:c>
      <x:c r="L28" s="30"/>
      <x:c r="M28" s="40" t="str">
        <x:v>paragraph</x:v>
      </x:c>
      <x:c r="N28" s="40" t="str">
        <x:v>No</x:v>
      </x:c>
      <x:c r="O28" s="30"/>
      <x:c r="P28" s="30" t="str">
        <x:v>8:19:0;8:20:0;8:21:0;8:22:0;8:23:0;8:24:0;8:25:0;8:26:0</x:v>
      </x:c>
    </x:row>
    <x:row r="29" ht="45" customHeight="1">
      <x:c r="A29" s="30" t="str">
        <x:v>ERP-A028</x:v>
      </x:c>
      <x:c r="B29" s="30" t="str">
        <x:v>p 9</x:v>
      </x:c>
      <x:c r="C29" s="30" t="str">
        <x:v>On the morning of August 29, 2005, Hurricane Katrina struck southeast Louisiana and triggered what would become one of the worst disasters ever to befall an American city. The storm overtopped levees and floodwalls throughout southeast Louisiana and also caused the levees and floodwalls in the New Orleans area to fail or breach in more than 50 locations. Water rushed into New Orleans and flooded over 80 percent of the city — more than 10 feet deep in some neighborhoods.</x:v>
      </x:c>
      <x:c r="D29" s="30" t="str">
        <x:v>ERP Report</x:v>
      </x:c>
      <x:c r="E29" s="30" t="str">
        <x:v>erpreport.pdf</x:v>
      </x:c>
      <x:c r="F29" s="40" t="str">
        <x:v>No</x:v>
      </x:c>
      <x:c r="G29" s="40" t="n">
        <x:v>0</x:v>
      </x:c>
      <x:c r="H29" s="40" t="str">
        <x:v>Unlabeled</x:v>
      </x:c>
      <x:c r="I29" s="40"/>
      <x:c r="J29" s="40"/>
      <x:c r="K29" s="30" t="str">
        <x:v>Default No — no retained human paragraph-level label in the curated GPT Test</x:v>
      </x:c>
      <x:c r="L29" s="30"/>
      <x:c r="M29" s="40" t="str">
        <x:v>paragraph</x:v>
      </x:c>
      <x:c r="N29" s="40" t="str">
        <x:v>No</x:v>
      </x:c>
      <x:c r="O29" s="30"/>
      <x:c r="P29" s="30" t="str">
        <x:v>9:3:0;9:4:0;9:5:0;9:6:0;9:7:0;9:8:0;9:9:0</x:v>
      </x:c>
    </x:row>
    <x:row r="30" ht="45" customHeight="1">
      <x:c r="A30" s="30" t="str">
        <x:v>ERP-A029</x:v>
      </x:c>
      <x:c r="B30" s="30" t="str">
        <x:v>p 9</x:v>
      </x:c>
      <x:c r="C30" s="30" t="str">
        <x:v>One thousand one hundred eighteen (1,118) people lost their lives in the New Orleans area, and 135 more are still missing and presumed dead. Tens of billions of dollars worth of property was damaged. More than 400,000 people fled the city. Many have not returned. The educational and health care systems of the New Orleans area have been crippled. The devastation was so extensive, and the residual risk looms so ominous, that, more than a year and a half later, the future of New Orleans remains clouded.</x:v>
      </x:c>
      <x:c r="D30" s="30" t="str">
        <x:v>ERP Report</x:v>
      </x:c>
      <x:c r="E30" s="30" t="str">
        <x:v>erpreport.pdf</x:v>
      </x:c>
      <x:c r="F30" s="40" t="str">
        <x:v>No</x:v>
      </x:c>
      <x:c r="G30" s="40" t="n">
        <x:v>0</x:v>
      </x:c>
      <x:c r="H30" s="40" t="str">
        <x:v>Unlabeled</x:v>
      </x:c>
      <x:c r="I30" s="40"/>
      <x:c r="J30" s="40"/>
      <x:c r="K30" s="30" t="str">
        <x:v>Default No — no retained human paragraph-level label in the curated GPT Test</x:v>
      </x:c>
      <x:c r="L30" s="30"/>
      <x:c r="M30" s="40" t="str">
        <x:v>paragraph</x:v>
      </x:c>
      <x:c r="N30" s="40" t="str">
        <x:v>No</x:v>
      </x:c>
      <x:c r="O30" s="30"/>
      <x:c r="P30" s="30" t="str">
        <x:v>9:10:0;9:11:0;9:12:0;9:13:0;9:14:0;9:15:0;9:16:0</x:v>
      </x:c>
    </x:row>
    <x:row r="31" ht="45" customHeight="1">
      <x:c r="A31" s="30" t="str">
        <x:v>ERP-A030</x:v>
      </x:c>
      <x:c r="B31" s="30" t="str">
        <x:v>p 9</x:v>
      </x:c>
      <x:c r="C31" s="30" t="str">
        <x:v>The members of the American Society of Civil Engineers (ASCE) extend their sincere condolences to the families and friends of those who lost their lives during and after Hurricane Katrina. Our heartfelt sympathy goes out to the people of the New Orleans area who are left without homes, communities, and jobs, and to those who face an uncertain future.</x:v>
      </x:c>
      <x:c r="D31" s="30" t="str">
        <x:v>ERP Report</x:v>
      </x:c>
      <x:c r="E31" s="30" t="str">
        <x:v>erpreport.pdf</x:v>
      </x:c>
      <x:c r="F31" s="40" t="str">
        <x:v>No</x:v>
      </x:c>
      <x:c r="G31" s="40" t="n">
        <x:v>0</x:v>
      </x:c>
      <x:c r="H31" s="40" t="str">
        <x:v>Unlabeled</x:v>
      </x:c>
      <x:c r="I31" s="40"/>
      <x:c r="J31" s="40"/>
      <x:c r="K31" s="30" t="str">
        <x:v>Default No — no retained human paragraph-level label in the curated GPT Test</x:v>
      </x:c>
      <x:c r="L31" s="30"/>
      <x:c r="M31" s="40" t="str">
        <x:v>paragraph</x:v>
      </x:c>
      <x:c r="N31" s="40" t="str">
        <x:v>No</x:v>
      </x:c>
      <x:c r="O31" s="30"/>
      <x:c r="P31" s="30" t="str">
        <x:v>9:17:0;9:18:0;9:19:0;9:20:0;9:21:0</x:v>
      </x:c>
    </x:row>
    <x:row r="32" ht="45" customHeight="1">
      <x:c r="A32" s="30" t="str">
        <x:v>ERP-A031</x:v>
      </x:c>
      <x:c r="B32" s="30" t="str">
        <x:v>p 9</x:v>
      </x:c>
      <x:c r="C32" s="30" t="str">
        <x:v>The members of the ASCE Hurricane Katrina External Review Panel have conducted an in-depth review of the comprehensive work of the United States Army Corps of Engineers (USACE) Interagency Performance Evaluation Taskforce (IPET). We are indebted to the dedicated efforts of more than 150 engineers and scientists who have, in the year and a half following Hurricane Katrina, evaluated the causes of the New Orleans area hurricane protection system failures.</x:v>
      </x:c>
      <x:c r="D32" s="30" t="str">
        <x:v>ERP Report</x:v>
      </x:c>
      <x:c r="E32" s="30" t="str">
        <x:v>erpreport.pdf</x:v>
      </x:c>
      <x:c r="F32" s="40" t="str">
        <x:v>No</x:v>
      </x:c>
      <x:c r="G32" s="40" t="n">
        <x:v>0</x:v>
      </x:c>
      <x:c r="H32" s="40" t="str">
        <x:v>Unlabeled</x:v>
      </x:c>
      <x:c r="I32" s="40"/>
      <x:c r="J32" s="40"/>
      <x:c r="K32" s="30" t="str">
        <x:v>Default No — no retained human paragraph-level label in the curated GPT Test</x:v>
      </x:c>
      <x:c r="L32" s="30"/>
      <x:c r="M32" s="40" t="str">
        <x:v>paragraph</x:v>
      </x:c>
      <x:c r="N32" s="40" t="str">
        <x:v>No</x:v>
      </x:c>
      <x:c r="O32" s="30"/>
      <x:c r="P32" s="30" t="str">
        <x:v>9:22:0;9:23:0;9:24:0;9:25:0;9:26:0;9:27:0;9:28:0</x:v>
      </x:c>
    </x:row>
    <x:row r="33" ht="45" customHeight="1">
      <x:c r="A33" s="30" t="str">
        <x:v>ERP-A032</x:v>
      </x:c>
      <x:c r="B33" s="30" t="str">
        <x:v>p 9</x:v>
      </x:c>
      <x:c r="C33" s="30" t="str">
        <x:v>As a result of this excellent work, we now better understand what went wrong and why. The ASCE Hurricane Katrina External Review Panel has an obligation to share its findings and insights, which go beyond the scope of the IPET review, so that others may learn from this tragedy and prevent similar disasters from happening again, not only in New Orleans, but in other communities throughout the United States that are also vulnerable to hurricanes and flooding.</x:v>
      </x:c>
      <x:c r="D33" s="30" t="str">
        <x:v>ERP Report</x:v>
      </x:c>
      <x:c r="E33" s="30" t="str">
        <x:v>erpreport.pdf</x:v>
      </x:c>
      <x:c r="F33" s="40" t="str">
        <x:v>No</x:v>
      </x:c>
      <x:c r="G33" s="40" t="n">
        <x:v>0</x:v>
      </x:c>
      <x:c r="H33" s="40" t="str">
        <x:v>Unlabeled</x:v>
      </x:c>
      <x:c r="I33" s="40"/>
      <x:c r="J33" s="40"/>
      <x:c r="K33" s="30" t="str">
        <x:v>Default No — no retained human paragraph-level label in the curated GPT Test</x:v>
      </x:c>
      <x:c r="L33" s="30"/>
      <x:c r="M33" s="40" t="str">
        <x:v>paragraph</x:v>
      </x:c>
      <x:c r="N33" s="40" t="str">
        <x:v>No</x:v>
      </x:c>
      <x:c r="O33" s="30"/>
      <x:c r="P33" s="30" t="str">
        <x:v>9:29:0;9:30:0;9:31:0;9:32:0;9:33:0;9:34:0;9:35:0</x:v>
      </x:c>
    </x:row>
    <x:row r="34" ht="45" customHeight="1">
      <x:c r="A34" s="30" t="str">
        <x:v>ERP-A033</x:v>
      </x:c>
      <x:c r="B34" s="30" t="str">
        <x:v>p 10</x:v>
      </x:c>
      <x:c r="C34" s="30" t="str">
        <x:v>In the aftermath of the storm and flooding, Lieutenant General Carl A. Strock, P.E., Chief of Engineers, USACE, ordered an investigation to provide credible, objective engineering and scientific answers to fundamental questions about the operation and performance of the hurricane protection system in southeast Louisiana. The results of the performance evaluation were intended to answer the following four questions:</x:v>
      </x:c>
      <x:c r="D34" s="30" t="str">
        <x:v>ERP Report</x:v>
      </x:c>
      <x:c r="E34" s="30" t="str">
        <x:v>erpreport.pdf</x:v>
      </x:c>
      <x:c r="F34" s="40" t="str">
        <x:v>No</x:v>
      </x:c>
      <x:c r="G34" s="40" t="n">
        <x:v>0</x:v>
      </x:c>
      <x:c r="H34" s="40" t="str">
        <x:v>Unlabeled</x:v>
      </x:c>
      <x:c r="I34" s="40"/>
      <x:c r="J34" s="40"/>
      <x:c r="K34" s="30" t="str">
        <x:v>Default No — no retained human paragraph-level label in the curated GPT Test</x:v>
      </x:c>
      <x:c r="L34" s="30"/>
      <x:c r="M34" s="40" t="str">
        <x:v>paragraph</x:v>
      </x:c>
      <x:c r="N34" s="40" t="str">
        <x:v>No</x:v>
      </x:c>
      <x:c r="O34" s="30"/>
      <x:c r="P34" s="30" t="str">
        <x:v>10:2:0;10:3:0;10:4:0;10:5:0;10:6:0;10:7:0</x:v>
      </x:c>
    </x:row>
    <x:row r="35" ht="45" customHeight="1">
      <x:c r="A35" s="30" t="str">
        <x:v>ERP-A034</x:v>
      </x:c>
      <x:c r="B35" s="30" t="str">
        <x:v>p 10</x:v>
      </x:c>
      <x:c r="C35" s="30" t="str">
        <x:v>1. What were the storm surges and waves generated by Hurricane Katrina</x:v>
      </x:c>
      <x:c r="D35" s="30" t="str">
        <x:v>ERP Report</x:v>
      </x:c>
      <x:c r="E35" s="30" t="str">
        <x:v>erpreport.pdf</x:v>
      </x:c>
      <x:c r="F35" s="40" t="str">
        <x:v>No</x:v>
      </x:c>
      <x:c r="G35" s="40" t="n">
        <x:v>0</x:v>
      </x:c>
      <x:c r="H35" s="40" t="str">
        <x:v>Unlabeled</x:v>
      </x:c>
      <x:c r="I35" s="40"/>
      <x:c r="J35" s="40"/>
      <x:c r="K35" s="30" t="str">
        <x:v>Default No — no retained human paragraph-level label in the curated GPT Test</x:v>
      </x:c>
      <x:c r="L35" s="30"/>
      <x:c r="M35" s="40" t="str">
        <x:v>numbered</x:v>
      </x:c>
      <x:c r="N35" s="40" t="str">
        <x:v>No</x:v>
      </x:c>
      <x:c r="O35" s="30"/>
      <x:c r="P35" s="30" t="str">
        <x:v>10:8:0</x:v>
      </x:c>
    </x:row>
    <x:row r="36" ht="45" customHeight="1">
      <x:c r="A36" s="30" t="str">
        <x:v>ERP-A035</x:v>
      </x:c>
      <x:c r="B36" s="30" t="str">
        <x:v>p 10</x:v>
      </x:c>
      <x:c r="C36" s="30" t="str">
        <x:v>2. How did the floodwalls, levees, and drainage canals, acting as an integrated</x:v>
      </x:c>
      <x:c r="D36" s="30" t="str">
        <x:v>ERP Report</x:v>
      </x:c>
      <x:c r="E36" s="30" t="str">
        <x:v>erpreport.pdf</x:v>
      </x:c>
      <x:c r="F36" s="40" t="str">
        <x:v>No</x:v>
      </x:c>
      <x:c r="G36" s="40" t="n">
        <x:v>0</x:v>
      </x:c>
      <x:c r="H36" s="40" t="str">
        <x:v>Unlabeled</x:v>
      </x:c>
      <x:c r="I36" s="40"/>
      <x:c r="J36" s="40"/>
      <x:c r="K36" s="30" t="str">
        <x:v>Default No — no retained human paragraph-level label in the curated GPT Test</x:v>
      </x:c>
      <x:c r="L36" s="30"/>
      <x:c r="M36" s="40" t="str">
        <x:v>numbered</x:v>
      </x:c>
      <x:c r="N36" s="40" t="str">
        <x:v>No</x:v>
      </x:c>
      <x:c r="O36" s="30"/>
      <x:c r="P36" s="30" t="str">
        <x:v>10:10:0</x:v>
      </x:c>
    </x:row>
    <x:row r="37" ht="45" customHeight="1">
      <x:c r="A37" s="30" t="str">
        <x:v>ERP-A036</x:v>
      </x:c>
      <x:c r="B37" s="30" t="str">
        <x:v>p 10</x:v>
      </x:c>
      <x:c r="C37" s="30" t="str">
        <x:v>system, perform and breach during and after Hurricane Katrina?</x:v>
      </x:c>
      <x:c r="D37" s="30" t="str">
        <x:v>ERP Report</x:v>
      </x:c>
      <x:c r="E37" s="30" t="str">
        <x:v>erpreport.pdf</x:v>
      </x:c>
      <x:c r="F37" s="40" t="str">
        <x:v>No</x:v>
      </x:c>
      <x:c r="G37" s="40" t="n">
        <x:v>0</x:v>
      </x:c>
      <x:c r="H37" s="40" t="str">
        <x:v>Unlabeled</x:v>
      </x:c>
      <x:c r="I37" s="40"/>
      <x:c r="J37" s="40"/>
      <x:c r="K37" s="30" t="str">
        <x:v>Default No — no retained human paragraph-level label in the curated GPT Test</x:v>
      </x:c>
      <x:c r="L37" s="30"/>
      <x:c r="M37" s="40" t="str">
        <x:v>paragraph</x:v>
      </x:c>
      <x:c r="N37" s="40" t="str">
        <x:v>No</x:v>
      </x:c>
      <x:c r="O37" s="30"/>
      <x:c r="P37" s="30" t="str">
        <x:v>10:11:0</x:v>
      </x:c>
    </x:row>
    <x:row r="38" ht="45" customHeight="1">
      <x:c r="A38" s="30" t="str">
        <x:v>ERP-A037</x:v>
      </x:c>
      <x:c r="B38" s="30" t="str">
        <x:v>p 10</x:v>
      </x:c>
      <x:c r="C38" s="30" t="str">
        <x:v>3. How did the pumping stations, canal gates, and road closures, acting as</x:v>
      </x:c>
      <x:c r="D38" s="30" t="str">
        <x:v>ERP Report</x:v>
      </x:c>
      <x:c r="E38" s="30" t="str">
        <x:v>erpreport.pdf</x:v>
      </x:c>
      <x:c r="F38" s="40" t="str">
        <x:v>No</x:v>
      </x:c>
      <x:c r="G38" s="40" t="n">
        <x:v>0</x:v>
      </x:c>
      <x:c r="H38" s="40" t="str">
        <x:v>Unlabeled</x:v>
      </x:c>
      <x:c r="I38" s="40"/>
      <x:c r="J38" s="40"/>
      <x:c r="K38" s="30" t="str">
        <x:v>Default No — no retained human paragraph-level label in the curated GPT Test</x:v>
      </x:c>
      <x:c r="L38" s="30"/>
      <x:c r="M38" s="40" t="str">
        <x:v>numbered</x:v>
      </x:c>
      <x:c r="N38" s="40" t="str">
        <x:v>No</x:v>
      </x:c>
      <x:c r="O38" s="30"/>
      <x:c r="P38" s="30" t="str">
        <x:v>10:12:0</x:v>
      </x:c>
    </x:row>
    <x:row r="39" ht="45" customHeight="1">
      <x:c r="A39" s="30" t="str">
        <x:v>ERP-A038</x:v>
      </x:c>
      <x:c r="B39" s="30" t="str">
        <x:v>p 10</x:v>
      </x:c>
      <x:c r="C39" s="30" t="str">
        <x:v>an integrated system, operate in preventing and evacuating the flooding due to Hurricane Katrina?</x:v>
      </x:c>
      <x:c r="D39" s="30" t="str">
        <x:v>ERP Report</x:v>
      </x:c>
      <x:c r="E39" s="30" t="str">
        <x:v>erpreport.pdf</x:v>
      </x:c>
      <x:c r="F39" s="40" t="str">
        <x:v>No</x:v>
      </x:c>
      <x:c r="G39" s="40" t="n">
        <x:v>0</x:v>
      </x:c>
      <x:c r="H39" s="40" t="str">
        <x:v>Unlabeled</x:v>
      </x:c>
      <x:c r="I39" s="40"/>
      <x:c r="J39" s="40"/>
      <x:c r="K39" s="30" t="str">
        <x:v>Default No — no retained human paragraph-level label in the curated GPT Test</x:v>
      </x:c>
      <x:c r="L39" s="30"/>
      <x:c r="M39" s="40" t="str">
        <x:v>paragraph</x:v>
      </x:c>
      <x:c r="N39" s="40" t="str">
        <x:v>No</x:v>
      </x:c>
      <x:c r="O39" s="30"/>
      <x:c r="P39" s="30" t="str">
        <x:v>10:13:0;10:14:0</x:v>
      </x:c>
    </x:row>
    <x:row r="40" ht="45" customHeight="1">
      <x:c r="A40" s="30" t="str">
        <x:v>ERP-A039</x:v>
      </x:c>
      <x:c r="B40" s="30" t="str">
        <x:v>p 10</x:v>
      </x:c>
      <x:c r="C40" s="30" t="str">
        <x:v>4. What was and what is the condition of the hurricane protection system</x:v>
      </x:c>
      <x:c r="D40" s="30" t="str">
        <x:v>ERP Report</x:v>
      </x:c>
      <x:c r="E40" s="30" t="str">
        <x:v>erpreport.pdf</x:v>
      </x:c>
      <x:c r="F40" s="40" t="str">
        <x:v>No</x:v>
      </x:c>
      <x:c r="G40" s="40" t="n">
        <x:v>0</x:v>
      </x:c>
      <x:c r="H40" s="40" t="str">
        <x:v>Unlabeled</x:v>
      </x:c>
      <x:c r="I40" s="40"/>
      <x:c r="J40" s="40"/>
      <x:c r="K40" s="30" t="str">
        <x:v>Default No — no retained human paragraph-level label in the curated GPT Test</x:v>
      </x:c>
      <x:c r="L40" s="30"/>
      <x:c r="M40" s="40" t="str">
        <x:v>numbered</x:v>
      </x:c>
      <x:c r="N40" s="40" t="str">
        <x:v>No</x:v>
      </x:c>
      <x:c r="O40" s="30"/>
      <x:c r="P40" s="30" t="str">
        <x:v>10:15:0</x:v>
      </x:c>
    </x:row>
    <x:row r="41" ht="45" customHeight="1">
      <x:c r="A41" s="30" t="str">
        <x:v>ERP-A040</x:v>
      </x:c>
      <x:c r="B41" s="30" t="str">
        <x:v>p 10</x:v>
      </x:c>
      <x:c r="C41" s="30" t="str">
        <x:v>before and after Hurricane Katrina and, as a result, is the New Orleans protection system more susceptible to flooding from future hurricanes and tropical storms?</x:v>
      </x:c>
      <x:c r="D41" s="30" t="str">
        <x:v>ERP Report</x:v>
      </x:c>
      <x:c r="E41" s="30" t="str">
        <x:v>erpreport.pdf</x:v>
      </x:c>
      <x:c r="F41" s="40" t="str">
        <x:v>No</x:v>
      </x:c>
      <x:c r="G41" s="40" t="n">
        <x:v>0</x:v>
      </x:c>
      <x:c r="H41" s="40" t="str">
        <x:v>Unlabeled</x:v>
      </x:c>
      <x:c r="I41" s="40"/>
      <x:c r="J41" s="40"/>
      <x:c r="K41" s="30" t="str">
        <x:v>Default No — no retained human paragraph-level label in the curated GPT Test</x:v>
      </x:c>
      <x:c r="L41" s="30"/>
      <x:c r="M41" s="40" t="str">
        <x:v>paragraph</x:v>
      </x:c>
      <x:c r="N41" s="40" t="str">
        <x:v>No</x:v>
      </x:c>
      <x:c r="O41" s="30"/>
      <x:c r="P41" s="30" t="str">
        <x:v>10:16:0;10:17:0;10:18:0</x:v>
      </x:c>
    </x:row>
    <x:row r="42" ht="45" customHeight="1">
      <x:c r="A42" s="30" t="str">
        <x:v>ERP-A041</x:v>
      </x:c>
      <x:c r="B42" s="30" t="str">
        <x:v>p 10</x:v>
      </x:c>
      <x:c r="C42" s="30" t="str">
        <x:v>The objectives of the IPET work included identifying lessons learned and ways to potentially improve the performance of the existing hurricane protection system at the authorized level of protection. The IPET’s work is documented in a comprehensive final report that is available at https://ipet. wes.army.mil/.</x:v>
      </x:c>
      <x:c r="D42" s="30" t="str">
        <x:v>ERP Report</x:v>
      </x:c>
      <x:c r="E42" s="30" t="str">
        <x:v>erpreport.pdf</x:v>
      </x:c>
      <x:c r="F42" s="40" t="str">
        <x:v>No</x:v>
      </x:c>
      <x:c r="G42" s="40" t="n">
        <x:v>0</x:v>
      </x:c>
      <x:c r="H42" s="40" t="str">
        <x:v>Unlabeled</x:v>
      </x:c>
      <x:c r="I42" s="40"/>
      <x:c r="J42" s="40"/>
      <x:c r="K42" s="30" t="str">
        <x:v>Default No — no retained human paragraph-level label in the curated GPT Test</x:v>
      </x:c>
      <x:c r="L42" s="30"/>
      <x:c r="M42" s="40" t="str">
        <x:v>paragraph</x:v>
      </x:c>
      <x:c r="N42" s="40" t="str">
        <x:v>No</x:v>
      </x:c>
      <x:c r="O42" s="30"/>
      <x:c r="P42" s="30" t="str">
        <x:v>10:19:0;10:20:0;10:21:0;10:22:0;10:23:0</x:v>
      </x:c>
    </x:row>
    <x:row r="43" ht="45" customHeight="1">
      <x:c r="A43" s="30" t="str">
        <x:v>ERP-A042</x:v>
      </x:c>
      <x:c r="B43" s="30" t="str">
        <x:v>p 10</x:v>
      </x:c>
      <x:c r="C43" s="30" t="str">
        <x:v>The Chief of Engineers requested that ASCE form an external review panel to review and comment on IPET’s work. ASCE brought together 14 experts in the key engineering and scientific disciplines related to the hurricane protection system failure to form the ASCE Hurricane Katrina External Review Panel.</x:v>
      </x:c>
      <x:c r="D43" s="30" t="str">
        <x:v>ERP Report</x:v>
      </x:c>
      <x:c r="E43" s="30" t="str">
        <x:v>erpreport.pdf</x:v>
      </x:c>
      <x:c r="F43" s="40" t="str">
        <x:v>No</x:v>
      </x:c>
      <x:c r="G43" s="40" t="n">
        <x:v>0</x:v>
      </x:c>
      <x:c r="H43" s="40" t="str">
        <x:v>Unlabeled</x:v>
      </x:c>
      <x:c r="I43" s="40"/>
      <x:c r="J43" s="40"/>
      <x:c r="K43" s="30" t="str">
        <x:v>Default No — no retained human paragraph-level label in the curated GPT Test</x:v>
      </x:c>
      <x:c r="L43" s="30"/>
      <x:c r="M43" s="40" t="str">
        <x:v>paragraph</x:v>
      </x:c>
      <x:c r="N43" s="40" t="str">
        <x:v>No</x:v>
      </x:c>
      <x:c r="O43" s="30"/>
      <x:c r="P43" s="30" t="str">
        <x:v>10:25:0;10:26:0;10:27:0;10:28:0</x:v>
      </x:c>
    </x:row>
    <x:row r="44" ht="45" customHeight="1">
      <x:c r="A44" s="30" t="str">
        <x:v>ERP-A043</x:v>
      </x:c>
      <x:c r="B44" s="30" t="str">
        <x:v>p 10</x:v>
      </x:c>
      <x:c r="C44" s="30" t="str">
        <x:v>The ASCE Hurricane Katrina External Review Panel’s scope of work was to provide an ongoing, real-time, and objective technical review of the IPET report findings on the performance of the hurricane protection system in New Orleans and surrounding areas. ASCE Hurricane Katrina External Review Panel members visited New Orleans, examined the damaged areas, and had access to large amounts of information about the catastrophe and its causes. Beginning with the formulation of IPET’s scope of work, the ASCE Hurricane Katrina External Review Panel members have been in close contact with IPET investigators, have actively submitted informal comments to the IPET, and have reviewed each IPET report in detail.</x:v>
      </x:c>
      <x:c r="D44" s="30" t="str">
        <x:v>ERP Report</x:v>
      </x:c>
      <x:c r="E44" s="30" t="str">
        <x:v>erpreport.pdf</x:v>
      </x:c>
      <x:c r="F44" s="40" t="str">
        <x:v>No</x:v>
      </x:c>
      <x:c r="G44" s="40" t="n">
        <x:v>0</x:v>
      </x:c>
      <x:c r="H44" s="40" t="str">
        <x:v>Unlabeled</x:v>
      </x:c>
      <x:c r="I44" s="40"/>
      <x:c r="J44" s="40"/>
      <x:c r="K44" s="30" t="str">
        <x:v>Default No — no retained human paragraph-level label in the curated GPT Test</x:v>
      </x:c>
      <x:c r="L44" s="30"/>
      <x:c r="M44" s="40" t="str">
        <x:v>paragraph</x:v>
      </x:c>
      <x:c r="N44" s="40" t="str">
        <x:v>No</x:v>
      </x:c>
      <x:c r="O44" s="30"/>
      <x:c r="P44" s="30" t="str">
        <x:v>10:29:0;10:30:0;10:31:0;10:32:0;10:33:0;10:34:0;10:35:0;10:36:0;10:37:0;10:38:0</x:v>
      </x:c>
    </x:row>
    <x:row r="45" ht="45" customHeight="1">
      <x:c r="A45" s="30" t="str">
        <x:v>ERP-A044</x:v>
      </x:c>
      <x:c r="B45" s="30" t="str">
        <x:v>p 11</x:v>
      </x:c>
      <x:c r="C45" s="30" t="str">
        <x:v>The factual and technical foundation for the findings presented in this report is the extensive work by IPET, although this report also draws from ideas expressed by others. Even though IPET’s work formed the basis of the technical analysis, this report was prepared independently of IPET and the USACE, and solely reflects the views of the ASCE Hurricane Katrina External Review Panel members.</x:v>
      </x:c>
      <x:c r="D45" s="30" t="str">
        <x:v>ERP Report</x:v>
      </x:c>
      <x:c r="E45" s="30" t="str">
        <x:v>erpreport.pdf</x:v>
      </x:c>
      <x:c r="F45" s="40" t="str">
        <x:v>No</x:v>
      </x:c>
      <x:c r="G45" s="40" t="n">
        <x:v>0</x:v>
      </x:c>
      <x:c r="H45" s="40" t="str">
        <x:v>Unlabeled</x:v>
      </x:c>
      <x:c r="I45" s="40"/>
      <x:c r="J45" s="40"/>
      <x:c r="K45" s="30" t="str">
        <x:v>Default No — no retained human paragraph-level label in the curated GPT Test</x:v>
      </x:c>
      <x:c r="L45" s="30"/>
      <x:c r="M45" s="40" t="str">
        <x:v>paragraph</x:v>
      </x:c>
      <x:c r="N45" s="40" t="str">
        <x:v>No</x:v>
      </x:c>
      <x:c r="O45" s="30"/>
      <x:c r="P45" s="30" t="str">
        <x:v>11:1:0;11:2:0;11:3:0;11:4:0;11:5:0;11:6:0</x:v>
      </x:c>
    </x:row>
    <x:row r="46" ht="45" customHeight="1">
      <x:c r="A46" s="30" t="str">
        <x:v>ERP-A045</x:v>
      </x:c>
      <x:c r="B46" s="30" t="str">
        <x:v>p 11</x:v>
      </x:c>
      <x:c r="C46" s="30" t="str">
        <x:v>Among the first groups of engineers to visit New Orleans after Hurricane Katrina was a levee assessment team from ASCE. This team examined and documented post-flood conditions to aid in investigating the causes of the failure. The results are presented in Report No. UCB/CITRIS–05/01, “Preliminary Report on the Performance of the New Orleans Levee Systems in Hurricane Katrina on August 29, 2005,” November 17, 2005. Two of the members of the ASCE levee assessment team are members of the ASCE Hurricane Katrina External Review Panel.</x:v>
      </x:c>
      <x:c r="D46" s="30" t="str">
        <x:v>ERP Report</x:v>
      </x:c>
      <x:c r="E46" s="30" t="str">
        <x:v>erpreport.pdf</x:v>
      </x:c>
      <x:c r="F46" s="40" t="str">
        <x:v>No</x:v>
      </x:c>
      <x:c r="G46" s="40" t="n">
        <x:v>0</x:v>
      </x:c>
      <x:c r="H46" s="40" t="str">
        <x:v>Unlabeled</x:v>
      </x:c>
      <x:c r="I46" s="40"/>
      <x:c r="J46" s="40"/>
      <x:c r="K46" s="30" t="str">
        <x:v>Default No — no retained human paragraph-level label in the curated GPT Test</x:v>
      </x:c>
      <x:c r="L46" s="30"/>
      <x:c r="M46" s="40" t="str">
        <x:v>paragraph</x:v>
      </x:c>
      <x:c r="N46" s="40" t="str">
        <x:v>No</x:v>
      </x:c>
      <x:c r="O46" s="30"/>
      <x:c r="P46" s="30" t="str">
        <x:v>11:8:0;11:9:0;11:10:0;11:11:0;11:12:0;11:13:0;11:14:0;11:15:0</x:v>
      </x:c>
    </x:row>
    <x:row r="47" ht="45" customHeight="1">
      <x:c r="A47" s="30" t="str">
        <x:v>ERP-A046</x:v>
      </x:c>
      <x:c r="B47" s="30" t="str">
        <x:v>p 11</x:v>
      </x:c>
      <x:c r="C47" s="30" t="str">
        <x:v>The National Research Council of the National Academies performed a review of both IPET’s and the ASCE Hurricane Katrina External Review Panel’s work under NRC/NAE project DEPS-L-05-02-A, “New Orleans Regional Hurricane Protection Projects.” The scope of the National Academies review was:</x:v>
      </x:c>
      <x:c r="D47" s="30" t="str">
        <x:v>ERP Report</x:v>
      </x:c>
      <x:c r="E47" s="30" t="str">
        <x:v>erpreport.pdf</x:v>
      </x:c>
      <x:c r="F47" s="40" t="str">
        <x:v>No</x:v>
      </x:c>
      <x:c r="G47" s="40" t="n">
        <x:v>0</x:v>
      </x:c>
      <x:c r="H47" s="40" t="str">
        <x:v>Unlabeled</x:v>
      </x:c>
      <x:c r="I47" s="40"/>
      <x:c r="J47" s="40"/>
      <x:c r="K47" s="30" t="str">
        <x:v>Default No — no retained human paragraph-level label in the curated GPT Test</x:v>
      </x:c>
      <x:c r="L47" s="30"/>
      <x:c r="M47" s="40" t="str">
        <x:v>paragraph</x:v>
      </x:c>
      <x:c r="N47" s="40" t="str">
        <x:v>No</x:v>
      </x:c>
      <x:c r="O47" s="30"/>
      <x:c r="P47" s="30" t="str">
        <x:v>11:16:0;11:17:0;11:18:0;11:19:0;11:20:0</x:v>
      </x:c>
    </x:row>
    <x:row r="48" ht="45" customHeight="1">
      <x:c r="A48" s="30" t="str">
        <x:v>ERP-A047</x:v>
      </x:c>
      <x:c r="B48" s="30" t="str">
        <x:v>p 11</x:v>
      </x:c>
      <x:c r="C48" s="30" t="str">
        <x:v>1. Review the data gathered by the IPET and the ASCE teams and provide</x:v>
      </x:c>
      <x:c r="D48" s="30" t="str">
        <x:v>ERP Report</x:v>
      </x:c>
      <x:c r="E48" s="30" t="str">
        <x:v>erpreport.pdf</x:v>
      </x:c>
      <x:c r="F48" s="40" t="str">
        <x:v>No</x:v>
      </x:c>
      <x:c r="G48" s="40" t="n">
        <x:v>0</x:v>
      </x:c>
      <x:c r="H48" s="40" t="str">
        <x:v>Unlabeled</x:v>
      </x:c>
      <x:c r="I48" s="40"/>
      <x:c r="J48" s="40"/>
      <x:c r="K48" s="30" t="str">
        <x:v>Default No — no retained human paragraph-level label in the curated GPT Test</x:v>
      </x:c>
      <x:c r="L48" s="30"/>
      <x:c r="M48" s="40" t="str">
        <x:v>numbered</x:v>
      </x:c>
      <x:c r="N48" s="40" t="str">
        <x:v>No</x:v>
      </x:c>
      <x:c r="O48" s="30"/>
      <x:c r="P48" s="30" t="str">
        <x:v>11:21:0</x:v>
      </x:c>
    </x:row>
    <x:row r="49" ht="45" customHeight="1">
      <x:c r="A49" s="30" t="str">
        <x:v>ERP-A048</x:v>
      </x:c>
      <x:c r="B49" s="30" t="str">
        <x:v>p 11</x:v>
      </x:c>
      <x:c r="C49" s="30" t="str">
        <x:v>recommendations regarding the adequacy of those data, as well as additional data that will be important to the IPET study and which should be gathered.</x:v>
      </x:c>
      <x:c r="D49" s="30" t="str">
        <x:v>ERP Report</x:v>
      </x:c>
      <x:c r="E49" s="30" t="str">
        <x:v>erpreport.pdf</x:v>
      </x:c>
      <x:c r="F49" s="40" t="str">
        <x:v>No</x:v>
      </x:c>
      <x:c r="G49" s="40" t="n">
        <x:v>0</x:v>
      </x:c>
      <x:c r="H49" s="40" t="str">
        <x:v>Unlabeled</x:v>
      </x:c>
      <x:c r="I49" s="40"/>
      <x:c r="J49" s="40"/>
      <x:c r="K49" s="30" t="str">
        <x:v>Default No — no retained human paragraph-level label in the curated GPT Test</x:v>
      </x:c>
      <x:c r="L49" s="30"/>
      <x:c r="M49" s="40" t="str">
        <x:v>paragraph</x:v>
      </x:c>
      <x:c r="N49" s="40" t="str">
        <x:v>No</x:v>
      </x:c>
      <x:c r="O49" s="30"/>
      <x:c r="P49" s="30" t="str">
        <x:v>11:22:0;11:23:0;11:24:0</x:v>
      </x:c>
    </x:row>
    <x:row r="50" ht="45" customHeight="1">
      <x:c r="A50" s="30" t="str">
        <x:v>ERP-A049</x:v>
      </x:c>
      <x:c r="B50" s="30" t="str">
        <x:v>p 11</x:v>
      </x:c>
      <x:c r="C50" s="30" t="str">
        <x:v>2. Review the analyses performed by the IPET and ASCE to ensure their</x:v>
      </x:c>
      <x:c r="D50" s="30" t="str">
        <x:v>ERP Report</x:v>
      </x:c>
      <x:c r="E50" s="30" t="str">
        <x:v>erpreport.pdf</x:v>
      </x:c>
      <x:c r="F50" s="40" t="str">
        <x:v>No</x:v>
      </x:c>
      <x:c r="G50" s="40" t="n">
        <x:v>0</x:v>
      </x:c>
      <x:c r="H50" s="40" t="str">
        <x:v>Unlabeled</x:v>
      </x:c>
      <x:c r="I50" s="40"/>
      <x:c r="J50" s="40"/>
      <x:c r="K50" s="30" t="str">
        <x:v>Default No — no retained human paragraph-level label in the curated GPT Test</x:v>
      </x:c>
      <x:c r="L50" s="30"/>
      <x:c r="M50" s="40" t="str">
        <x:v>numbered</x:v>
      </x:c>
      <x:c r="N50" s="40" t="str">
        <x:v>No</x:v>
      </x:c>
      <x:c r="O50" s="30"/>
      <x:c r="P50" s="30" t="str">
        <x:v>11:25:0</x:v>
      </x:c>
    </x:row>
    <x:row r="51" ht="45" customHeight="1">
      <x:c r="A51" s="30" t="str">
        <x:v>ERP-A050</x:v>
      </x:c>
      <x:c r="B51" s="30" t="str">
        <x:v>p 11</x:v>
      </x:c>
      <x:c r="C51" s="30" t="str">
        <x:v>consistency with accepted engineering approaches and practices.</x:v>
      </x:c>
      <x:c r="D51" s="30" t="str">
        <x:v>ERP Report</x:v>
      </x:c>
      <x:c r="E51" s="30" t="str">
        <x:v>erpreport.pdf</x:v>
      </x:c>
      <x:c r="F51" s="40" t="str">
        <x:v>No</x:v>
      </x:c>
      <x:c r="G51" s="40" t="n">
        <x:v>0</x:v>
      </x:c>
      <x:c r="H51" s="40" t="str">
        <x:v>Unlabeled</x:v>
      </x:c>
      <x:c r="I51" s="40"/>
      <x:c r="J51" s="40"/>
      <x:c r="K51" s="30" t="str">
        <x:v>Default No — no retained human paragraph-level label in the curated GPT Test</x:v>
      </x:c>
      <x:c r="L51" s="30"/>
      <x:c r="M51" s="40" t="str">
        <x:v>paragraph</x:v>
      </x:c>
      <x:c r="N51" s="40" t="str">
        <x:v>No</x:v>
      </x:c>
      <x:c r="O51" s="30"/>
      <x:c r="P51" s="30" t="str">
        <x:v>11:26:0</x:v>
      </x:c>
    </x:row>
    <x:row r="52" ht="45" customHeight="1">
      <x:c r="A52" s="30" t="str">
        <x:v>ERP-A051</x:v>
      </x:c>
      <x:c r="B52" s="30" t="str">
        <x:v>p 11</x:v>
      </x:c>
      <x:c r="C52" s="30" t="str">
        <x:v>3. Review and comment upon the conclusions reached by the IPET and ASCE</x:v>
      </x:c>
      <x:c r="D52" s="30" t="str">
        <x:v>ERP Report</x:v>
      </x:c>
      <x:c r="E52" s="30" t="str">
        <x:v>erpreport.pdf</x:v>
      </x:c>
      <x:c r="F52" s="40" t="str">
        <x:v>No</x:v>
      </x:c>
      <x:c r="G52" s="40" t="n">
        <x:v>0</x:v>
      </x:c>
      <x:c r="H52" s="40" t="str">
        <x:v>Unlabeled</x:v>
      </x:c>
      <x:c r="I52" s="40"/>
      <x:c r="J52" s="40"/>
      <x:c r="K52" s="30" t="str">
        <x:v>Default No — no retained human paragraph-level label in the curated GPT Test</x:v>
      </x:c>
      <x:c r="L52" s="30"/>
      <x:c r="M52" s="40" t="str">
        <x:v>numbered</x:v>
      </x:c>
      <x:c r="N52" s="40" t="str">
        <x:v>No</x:v>
      </x:c>
      <x:c r="O52" s="30"/>
      <x:c r="P52" s="30" t="str">
        <x:v>11:27:0</x:v>
      </x:c>
    </x:row>
    <x:row r="53" ht="45" customHeight="1">
      <x:c r="A53" s="30" t="str">
        <x:v>ERP-A052</x:v>
      </x:c>
      <x:c r="B53" s="30" t="str">
        <x:v>p 11</x:v>
      </x:c>
      <x:c r="C53" s="30" t="str">
        <x:v>4. Seek to determine lessons learned from the Katrina experience and</x:v>
      </x:c>
      <x:c r="D53" s="30" t="str">
        <x:v>ERP Report</x:v>
      </x:c>
      <x:c r="E53" s="30" t="str">
        <x:v>erpreport.pdf</x:v>
      </x:c>
      <x:c r="F53" s="40" t="str">
        <x:v>No</x:v>
      </x:c>
      <x:c r="G53" s="40" t="n">
        <x:v>0</x:v>
      </x:c>
      <x:c r="H53" s="40" t="str">
        <x:v>Unlabeled</x:v>
      </x:c>
      <x:c r="I53" s="40"/>
      <x:c r="J53" s="40"/>
      <x:c r="K53" s="30" t="str">
        <x:v>Default No — no retained human paragraph-level label in the curated GPT Test</x:v>
      </x:c>
      <x:c r="L53" s="30"/>
      <x:c r="M53" s="40" t="str">
        <x:v>numbered</x:v>
      </x:c>
      <x:c r="N53" s="40" t="str">
        <x:v>No</x:v>
      </x:c>
      <x:c r="O53" s="30"/>
      <x:c r="P53" s="30" t="str">
        <x:v>11:29:0</x:v>
      </x:c>
    </x:row>
    <x:row r="54" ht="45" customHeight="1">
      <x:c r="A54" s="30" t="str">
        <x:v>ERP-A053</x:v>
      </x:c>
      <x:c r="B54" s="30" t="str">
        <x:v>p 11</x:v>
      </x:c>
      <x:c r="C54" s="30" t="str">
        <x:v>identify ways that hurricane protection system performance can be improved in the future at the authorized level of protection.</x:v>
      </x:c>
      <x:c r="D54" s="30" t="str">
        <x:v>ERP Report</x:v>
      </x:c>
      <x:c r="E54" s="30" t="str">
        <x:v>erpreport.pdf</x:v>
      </x:c>
      <x:c r="F54" s="40" t="str">
        <x:v>No</x:v>
      </x:c>
      <x:c r="G54" s="40" t="n">
        <x:v>0</x:v>
      </x:c>
      <x:c r="H54" s="40" t="str">
        <x:v>Unlabeled</x:v>
      </x:c>
      <x:c r="I54" s="40"/>
      <x:c r="J54" s="40"/>
      <x:c r="K54" s="30" t="str">
        <x:v>Default No — no retained human paragraph-level label in the curated GPT Test</x:v>
      </x:c>
      <x:c r="L54" s="30"/>
      <x:c r="M54" s="40" t="str">
        <x:v>paragraph</x:v>
      </x:c>
      <x:c r="N54" s="40" t="str">
        <x:v>No</x:v>
      </x:c>
      <x:c r="O54" s="30"/>
      <x:c r="P54" s="30" t="str">
        <x:v>11:30:0;11:31:0</x:v>
      </x:c>
    </x:row>
    <x:row r="55" ht="45" customHeight="1">
      <x:c r="A55" s="30" t="str">
        <x:v>ERP-A054</x:v>
      </x:c>
      <x:c r="B55" s="30" t="str">
        <x:v>pp 11-12</x:v>
      </x:c>
      <x:c r="C55" s="30" t="str">
        <x:v>Through this report, the ASCE Hurricane Katrina External Review Panel offers an assessment of what happened to the New Orleans hurricane protection system as a result of Hurricane Katrina — and why it happened. This report focuses on the direct physical causes and contributing factors to the hurricane protection system failures. This report was developed not to repeat the IPET information but, rather, to interpret the broader significance of the findings. In the broadest sense, the lessons learned from this catastrophe are not limited to New Orleans or to levees and floodwalls: they are applicable to all engineering projects where public health, safety, and welfare are at risk. Issues pertaining to pre- or post-hurricane evacuation, rescue operations, or recovery efforts were not part of the scope of this study, although all of these issues have an impact on the ultimate consequences of the hurricane protection system failures.</x:v>
      </x:c>
      <x:c r="D55" s="30" t="str">
        <x:v>ERP Report</x:v>
      </x:c>
      <x:c r="E55" s="30" t="str">
        <x:v>erpreport.pdf</x:v>
      </x:c>
      <x:c r="F55" s="40" t="str">
        <x:v>No</x:v>
      </x:c>
      <x:c r="G55" s="40" t="n">
        <x:v>0</x:v>
      </x:c>
      <x:c r="H55" s="40" t="str">
        <x:v>Unlabeled</x:v>
      </x:c>
      <x:c r="I55" s="40"/>
      <x:c r="J55" s="40"/>
      <x:c r="K55" s="30" t="str">
        <x:v>Default No — no retained human paragraph-level label in the curated GPT Test</x:v>
      </x:c>
      <x:c r="L55" s="30"/>
      <x:c r="M55" s="40" t="str">
        <x:v>paragraph</x:v>
      </x:c>
      <x:c r="N55" s="40" t="str">
        <x:v>No</x:v>
      </x:c>
      <x:c r="O55" s="30"/>
      <x:c r="P55" s="30" t="str">
        <x:v>11:33:0;11:34:0;11:35:0;11:36:0;11:37:0;11:38:0;11:39:0;12:1:0;12:2:0;12:3:0;12:4:0;12:5:0;12:6:0</x:v>
      </x:c>
    </x:row>
    <x:row r="56" ht="45" customHeight="1">
      <x:c r="A56" s="30" t="str">
        <x:v>ERP-A055</x:v>
      </x:c>
      <x:c r="B56" s="30" t="str">
        <x:v>p 12</x:v>
      </x:c>
      <x:c r="C56" s="30" t="str">
        <x:v>The report is written for both the scientist/engineer and the layperson. The scientist/engineer will glean valuable information related to the science and technology of hurricane flood protection. The layperson will gain a broad understanding of exactly what caused the disaster.</x:v>
      </x:c>
      <x:c r="D56" s="30" t="str">
        <x:v>ERP Report</x:v>
      </x:c>
      <x:c r="E56" s="30" t="str">
        <x:v>erpreport.pdf</x:v>
      </x:c>
      <x:c r="F56" s="40" t="str">
        <x:v>No</x:v>
      </x:c>
      <x:c r="G56" s="40" t="n">
        <x:v>0</x:v>
      </x:c>
      <x:c r="H56" s="40" t="str">
        <x:v>Unlabeled</x:v>
      </x:c>
      <x:c r="I56" s="40"/>
      <x:c r="J56" s="40"/>
      <x:c r="K56" s="30" t="str">
        <x:v>Default No — no retained human paragraph-level label in the curated GPT Test</x:v>
      </x:c>
      <x:c r="L56" s="30"/>
      <x:c r="M56" s="40" t="str">
        <x:v>paragraph</x:v>
      </x:c>
      <x:c r="N56" s="40" t="str">
        <x:v>No</x:v>
      </x:c>
      <x:c r="O56" s="30"/>
      <x:c r="P56" s="30" t="str">
        <x:v>12:7:0;12:8:0;12:9:0;12:10:0</x:v>
      </x:c>
    </x:row>
    <x:row r="57" ht="45" customHeight="1">
      <x:c r="A57" s="30" t="str">
        <x:v>ERP-A056</x:v>
      </x:c>
      <x:c r="B57" s="30" t="str">
        <x:v>p 12</x:v>
      </x:c>
      <x:c r="C57" s="30" t="str">
        <x:v>Perhaps the most difficult question is not so much “What went wrong and why?” but “What must we do next?” to avoid a similar catastrophe in the future — in New Orleans and in other hurricane- and flood-prone areas of the country. The ASCE Hurricane Katrina External Review Panel believes strongly that if lives and public safety are to be protected, significant changes will be required in the way hurricane and flood protection systems are funded, designed, managed, and maintained.</x:v>
      </x:c>
      <x:c r="D57" s="30" t="str">
        <x:v>ERP Report</x:v>
      </x:c>
      <x:c r="E57" s="30" t="str">
        <x:v>erpreport.pdf</x:v>
      </x:c>
      <x:c r="F57" s="40" t="str">
        <x:v>No</x:v>
      </x:c>
      <x:c r="G57" s="40" t="n">
        <x:v>0</x:v>
      </x:c>
      <x:c r="H57" s="40" t="str">
        <x:v>Unlabeled</x:v>
      </x:c>
      <x:c r="I57" s="40"/>
      <x:c r="J57" s="40"/>
      <x:c r="K57" s="30" t="str">
        <x:v>Default No — no retained human paragraph-level label in the curated GPT Test</x:v>
      </x:c>
      <x:c r="L57" s="30"/>
      <x:c r="M57" s="40" t="str">
        <x:v>paragraph</x:v>
      </x:c>
      <x:c r="N57" s="40" t="str">
        <x:v>No</x:v>
      </x:c>
      <x:c r="O57" s="30"/>
      <x:c r="P57" s="30" t="str">
        <x:v>12:11:0;12:12:0;12:13:0;12:14:0;12:15:0;12:16:0;12:17:0</x:v>
      </x:c>
    </x:row>
    <x:row r="58" ht="45" customHeight="1">
      <x:c r="A58" s="30" t="str">
        <x:v>ERP-A057</x:v>
      </x:c>
      <x:c r="B58" s="30" t="str">
        <x:v>p 13</x:v>
      </x:c>
      <x:c r="C58" s="30" t="str">
        <x:v>New Orleans is located in southeastern Louisiana near where the Mississippi River flows into the Gulf of Mexico (Figure 2.1). The busy Port of New Orleans provides a gateway for imports including petroleum, steel, copper, rubber, cement, coffee, and containerized goods. The chief exports are grain and other foods from the midwestern United States and petroleum products. Thousands of ocean vessels from Europe, Asia, Latin America, and Africa move through New Orleans on the Mississippi River every year.</x:v>
      </x:c>
      <x:c r="D58" s="30" t="str">
        <x:v>ERP Report</x:v>
      </x:c>
      <x:c r="E58" s="30" t="str">
        <x:v>erpreport.pdf</x:v>
      </x:c>
      <x:c r="F58" s="40" t="str">
        <x:v>No</x:v>
      </x:c>
      <x:c r="G58" s="40" t="n">
        <x:v>0</x:v>
      </x:c>
      <x:c r="H58" s="40" t="str">
        <x:v>Unlabeled</x:v>
      </x:c>
      <x:c r="I58" s="40"/>
      <x:c r="J58" s="40"/>
      <x:c r="K58" s="30" t="str">
        <x:v>Default No — no retained human paragraph-level label in the curated GPT Test</x:v>
      </x:c>
      <x:c r="L58" s="30"/>
      <x:c r="M58" s="40" t="str">
        <x:v>paragraph</x:v>
      </x:c>
      <x:c r="N58" s="40" t="str">
        <x:v>No</x:v>
      </x:c>
      <x:c r="O58" s="30"/>
      <x:c r="P58" s="30" t="str">
        <x:v>13:3:0;13:4:0;13:5:0;13:6:0;13:7:0;13:8:0;13:9:0</x:v>
      </x:c>
    </x:row>
    <x:row r="59" ht="45" customHeight="1">
      <x:c r="A59" s="30" t="str">
        <x:v>ERP-A058</x:v>
      </x:c>
      <x:c r="B59" s="30" t="str">
        <x:v>p 13</x:v>
      </x:c>
      <x:c r="C59" s="30" t="str">
        <x:v>From New Orleans, products reach Americans either via a 14,500mile inland waterways network including the Mississippi, Missouri, and Ohio Rivers, or via other transportation modes, including six railroad lines, 50 ocean carriers, 16 barge lines, and 75 truck lines with access to the port. In addition to cargo, cruise ships and riverboats transport more than 700,000 passengers through the port annually.</x:v>
      </x:c>
      <x:c r="D59" s="30" t="str">
        <x:v>ERP Report</x:v>
      </x:c>
      <x:c r="E59" s="30" t="str">
        <x:v>erpreport.pdf</x:v>
      </x:c>
      <x:c r="F59" s="40" t="str">
        <x:v>No</x:v>
      </x:c>
      <x:c r="G59" s="40" t="n">
        <x:v>0</x:v>
      </x:c>
      <x:c r="H59" s="40" t="str">
        <x:v>Unlabeled</x:v>
      </x:c>
      <x:c r="I59" s="40"/>
      <x:c r="J59" s="40"/>
      <x:c r="K59" s="30" t="str">
        <x:v>Default No — no retained human paragraph-level label in the curated GPT Test</x:v>
      </x:c>
      <x:c r="L59" s="30"/>
      <x:c r="M59" s="40" t="str">
        <x:v>paragraph</x:v>
      </x:c>
      <x:c r="N59" s="40" t="str">
        <x:v>No</x:v>
      </x:c>
      <x:c r="O59" s="30"/>
      <x:c r="P59" s="30" t="str">
        <x:v>13:13:0;13:14:0;13:15:0;13:16:0;13:17:0;13:18:0</x:v>
      </x:c>
    </x:row>
    <x:row r="60" ht="45" customHeight="1">
      <x:c r="A60" s="30" t="str">
        <x:v>ERP-A059</x:v>
      </x:c>
      <x:c r="B60" s="30" t="str">
        <x:v>p 13</x:v>
      </x:c>
      <x:c r="C60" s="30" t="str">
        <x:v>New Orleans is a part of Louisiana’s extensive petroleum infrastructure that provides oil and other petroleum products to the nation. Louisiana ranks fifth in United States oil production, and is home to a network of pipelines and storage facilities plus 17 petroleum refineries, as well as to two of the nation’s four Strategic Petroleum Reserves, which encompass the world’s largest business center supply of emergency crude oil (Figure 2.2). New Orleans also serves as a business center for energy companies such as BP, Shell Oil, Chevron, and ConocoPhillips.</x:v>
      </x:c>
      <x:c r="D60" s="30" t="str">
        <x:v>ERP Report</x:v>
      </x:c>
      <x:c r="E60" s="30" t="str">
        <x:v>erpreport.pdf</x:v>
      </x:c>
      <x:c r="F60" s="40" t="str">
        <x:v>No</x:v>
      </x:c>
      <x:c r="G60" s="40" t="n">
        <x:v>0</x:v>
      </x:c>
      <x:c r="H60" s="40" t="str">
        <x:v>Unlabeled</x:v>
      </x:c>
      <x:c r="I60" s="40"/>
      <x:c r="J60" s="40"/>
      <x:c r="K60" s="30" t="str">
        <x:v>Default No — no retained human paragraph-level label in the curated GPT Test</x:v>
      </x:c>
      <x:c r="L60" s="30"/>
      <x:c r="M60" s="40" t="str">
        <x:v>paragraph</x:v>
      </x:c>
      <x:c r="N60" s="40" t="str">
        <x:v>No</x:v>
      </x:c>
      <x:c r="O60" s="30"/>
      <x:c r="P60" s="30" t="str">
        <x:v>13:19:0;13:20:0;13:21:0;13:22:0;13:23:0;13:24:0;13:25:0;13:26:0</x:v>
      </x:c>
    </x:row>
    <x:row r="61" ht="45" customHeight="1">
      <x:c r="A61" s="30" t="str">
        <x:v>ERP-A060</x:v>
      </x:c>
      <x:c r="B61" s="30" t="str">
        <x:v>p 14</x:v>
      </x:c>
      <x:c r="C61" s="30" t="str">
        <x:v>Over the millennia, the Mississippi River has carried billions of tons of sediment from its headwaters toward the Gulf of Mexico. As the water flowed into the gulf, the sediment was deposited in the river delta, creating the land on which New Orleans and surrounding areas is now built. Within the river delta, high ground tends to be close to the Mississippi River due to natural river processes. New Orleans was established in the early 1700s on high ground adjacent to the Mississippi River.</x:v>
      </x:c>
      <x:c r="D61" s="30" t="str">
        <x:v>ERP Report</x:v>
      </x:c>
      <x:c r="E61" s="30" t="str">
        <x:v>erpreport.pdf</x:v>
      </x:c>
      <x:c r="F61" s="40" t="str">
        <x:v>No</x:v>
      </x:c>
      <x:c r="G61" s="40" t="n">
        <x:v>0</x:v>
      </x:c>
      <x:c r="H61" s="40" t="str">
        <x:v>Unlabeled</x:v>
      </x:c>
      <x:c r="I61" s="40"/>
      <x:c r="J61" s="40"/>
      <x:c r="K61" s="30" t="str">
        <x:v>Default No — no retained human paragraph-level label in the curated GPT Test</x:v>
      </x:c>
      <x:c r="L61" s="30"/>
      <x:c r="M61" s="40" t="str">
        <x:v>paragraph</x:v>
      </x:c>
      <x:c r="N61" s="40" t="str">
        <x:v>No</x:v>
      </x:c>
      <x:c r="O61" s="30"/>
      <x:c r="P61" s="30" t="str">
        <x:v>14:6:0;14:7:0;14:8:0;14:9:0;14:10:0;14:11:0;14:12:0</x:v>
      </x:c>
    </x:row>
    <x:row r="62" ht="45" customHeight="1">
      <x:c r="A62" s="30" t="str">
        <x:v>ERP-A061</x:v>
      </x:c>
      <x:c r="B62" s="30" t="str">
        <x:v>p 14</x:v>
      </x:c>
      <x:c r="C62" s="30" t="str">
        <x:v>When floods occur on a major river, water mixed with sediment spills over the banks. The coarsest sediments (sand and gravel) settle out first, close to the river, forming natural levees near the river banks. Fine sediments (silt and clay) settle out further away into the swampland.</x:v>
      </x:c>
      <x:c r="D62" s="30" t="str">
        <x:v>ERP Report</x:v>
      </x:c>
      <x:c r="E62" s="30" t="str">
        <x:v>erpreport.pdf</x:v>
      </x:c>
      <x:c r="F62" s="40" t="str">
        <x:v>No</x:v>
      </x:c>
      <x:c r="G62" s="40" t="n">
        <x:v>0</x:v>
      </x:c>
      <x:c r="H62" s="40" t="str">
        <x:v>Unlabeled</x:v>
      </x:c>
      <x:c r="I62" s="40"/>
      <x:c r="J62" s="40"/>
      <x:c r="K62" s="30" t="str">
        <x:v>Default No — no retained human paragraph-level label in the curated GPT Test</x:v>
      </x:c>
      <x:c r="L62" s="30"/>
      <x:c r="M62" s="40" t="str">
        <x:v>paragraph</x:v>
      </x:c>
      <x:c r="N62" s="40" t="str">
        <x:v>No</x:v>
      </x:c>
      <x:c r="O62" s="30"/>
      <x:c r="P62" s="30" t="str">
        <x:v>14:13:0;14:14:0;14:15:0;14:16:0</x:v>
      </x:c>
    </x:row>
    <x:row r="63" ht="45" customHeight="1">
      <x:c r="A63" s="30" t="str">
        <x:v>ERP-A062</x:v>
      </x:c>
      <x:c r="B63" s="30" t="str">
        <x:v>p 14</x:v>
      </x:c>
      <x:c r="C63" s="30" t="str">
        <x:v>Over many floods and many alterations in the course of the river channel, this natural process has created a complex, highly variable geology. Layers of gravel, sand, silt, and clay are inter-fingered with layers of organic marsh deposits (often called peat) at various locations.</x:v>
      </x:c>
      <x:c r="D63" s="30" t="str">
        <x:v>ERP Report</x:v>
      </x:c>
      <x:c r="E63" s="30" t="str">
        <x:v>erpreport.pdf</x:v>
      </x:c>
      <x:c r="F63" s="40" t="str">
        <x:v>No</x:v>
      </x:c>
      <x:c r="G63" s="40" t="n">
        <x:v>0</x:v>
      </x:c>
      <x:c r="H63" s="40" t="str">
        <x:v>Unlabeled</x:v>
      </x:c>
      <x:c r="I63" s="40"/>
      <x:c r="J63" s="40"/>
      <x:c r="K63" s="30" t="str">
        <x:v>Default No — no retained human paragraph-level label in the curated GPT Test</x:v>
      </x:c>
      <x:c r="L63" s="30"/>
      <x:c r="M63" s="40" t="str">
        <x:v>paragraph</x:v>
      </x:c>
      <x:c r="N63" s="40" t="str">
        <x:v>No</x:v>
      </x:c>
      <x:c r="O63" s="30"/>
      <x:c r="P63" s="30" t="str">
        <x:v>14:17:0;14:18:0;14:19:0;14:20:0</x:v>
      </x:c>
    </x:row>
    <x:row r="64" ht="45" customHeight="1">
      <x:c r="A64" s="30" t="str">
        <x:v>ERP-A063</x:v>
      </x:c>
      <x:c r="B64" s="30" t="str">
        <x:v>p 15</x:v>
      </x:c>
      <x:c r="C64" s="30" t="str">
        <x:v>A map of the east bank of New Orleans from 1849 (Figure 2.3) shows developed areas adjacent to the river, with cypress swamps, marshes, and bayous flanking the city to the north and east. The bayous naturally flowed northward into Lake Pontchartrain and eastward into Lake Borgne; Lake Borgne opens directly to the Gulf of Mexico. As New Orleans grew and prospered, levee systems were built around segments of the low swamplands to the north of the city, and the land was drained and developed.</x:v>
      </x:c>
      <x:c r="D64" s="30" t="str">
        <x:v>ERP Report</x:v>
      </x:c>
      <x:c r="E64" s="30" t="str">
        <x:v>erpreport.pdf</x:v>
      </x:c>
      <x:c r="F64" s="40" t="str">
        <x:v>No</x:v>
      </x:c>
      <x:c r="G64" s="40" t="n">
        <x:v>0</x:v>
      </x:c>
      <x:c r="H64" s="40" t="str">
        <x:v>Unlabeled</x:v>
      </x:c>
      <x:c r="I64" s="40"/>
      <x:c r="J64" s="40"/>
      <x:c r="K64" s="30" t="str">
        <x:v>Default No — no retained human paragraph-level label in the curated GPT Test</x:v>
      </x:c>
      <x:c r="L64" s="30"/>
      <x:c r="M64" s="40" t="str">
        <x:v>paragraph</x:v>
      </x:c>
      <x:c r="N64" s="40" t="str">
        <x:v>No</x:v>
      </x:c>
      <x:c r="O64" s="30"/>
      <x:c r="P64" s="30" t="str">
        <x:v>15:2:0;15:3:0;15:4:0;15:5:0;15:6:0;15:7:0;15:8:0</x:v>
      </x:c>
    </x:row>
    <x:row r="65" ht="45" customHeight="1">
      <x:c r="A65" s="30" t="str">
        <x:v>ERP-A064</x:v>
      </x:c>
      <x:c r="B65" s="30" t="str">
        <x:v>p 15</x:v>
      </x:c>
      <x:c r="C65" s="30" t="str">
        <x:v>The parishes of New Orleans and the neighborhoods within the parishes are shown in Figure 2.4. (Parishes are equivalent to counties in other parts of the United States.) Of primary significance to this report are Orleans and St. Bernard parishes. Significant flooding occurred in both due to failures in New Orleans’s hurricane protection system.</x:v>
      </x:c>
      <x:c r="D65" s="30" t="str">
        <x:v>ERP Report</x:v>
      </x:c>
      <x:c r="E65" s="30" t="str">
        <x:v>erpreport.pdf</x:v>
      </x:c>
      <x:c r="F65" s="40" t="str">
        <x:v>No</x:v>
      </x:c>
      <x:c r="G65" s="40" t="n">
        <x:v>0</x:v>
      </x:c>
      <x:c r="H65" s="40" t="str">
        <x:v>Unlabeled</x:v>
      </x:c>
      <x:c r="I65" s="40"/>
      <x:c r="J65" s="40"/>
      <x:c r="K65" s="30" t="str">
        <x:v>Default No — no retained human paragraph-level label in the curated GPT Test</x:v>
      </x:c>
      <x:c r="L65" s="30"/>
      <x:c r="M65" s="40" t="str">
        <x:v>paragraph</x:v>
      </x:c>
      <x:c r="N65" s="40" t="str">
        <x:v>No</x:v>
      </x:c>
      <x:c r="O65" s="30"/>
      <x:c r="P65" s="30" t="str">
        <x:v>15:13:0;15:14:0;15:15:0;15:16:0;15:17:0</x:v>
      </x:c>
    </x:row>
    <x:row r="66" ht="45" customHeight="1">
      <x:c r="A66" s="30" t="str">
        <x:v>ERP-A065</x:v>
      </x:c>
      <x:c r="B66" s="30" t="str">
        <x:v>p 16</x:v>
      </x:c>
      <x:c r="C66" s="30" t="str">
        <x:v>Levees and floodwalls were also built on the banks of several of the former bayous from Lake Pontchartrain into New Orleans. Waterways of significance to this report (as shown in Figure 2.5) include:</x:v>
      </x:c>
      <x:c r="D66" s="30" t="str">
        <x:v>ERP Report</x:v>
      </x:c>
      <x:c r="E66" s="30" t="str">
        <x:v>erpreport.pdf</x:v>
      </x:c>
      <x:c r="F66" s="40" t="str">
        <x:v>No</x:v>
      </x:c>
      <x:c r="G66" s="40" t="n">
        <x:v>0</x:v>
      </x:c>
      <x:c r="H66" s="40" t="str">
        <x:v>Unlabeled</x:v>
      </x:c>
      <x:c r="I66" s="40"/>
      <x:c r="J66" s="40"/>
      <x:c r="K66" s="30" t="str">
        <x:v>Default No — no retained human paragraph-level label in the curated GPT Test</x:v>
      </x:c>
      <x:c r="L66" s="30"/>
      <x:c r="M66" s="40" t="str">
        <x:v>paragraph</x:v>
      </x:c>
      <x:c r="N66" s="40" t="str">
        <x:v>No</x:v>
      </x:c>
      <x:c r="O66" s="30"/>
      <x:c r="P66" s="30" t="str">
        <x:v>16:4:0;16:5:0;16:6:0</x:v>
      </x:c>
    </x:row>
    <x:row r="67" ht="45" customHeight="1">
      <x:c r="A67" s="30" t="str">
        <x:v>ERP-A066</x:v>
      </x:c>
      <x:c r="B67" s="30" t="str">
        <x:v>p 16</x:v>
      </x:c>
      <x:c r="C67" s="30" t="str">
        <x:v>• Inner Harbor Navigation Canal (also called the Industrial Canal)</x:v>
      </x:c>
      <x:c r="D67" s="30" t="str">
        <x:v>ERP Report</x:v>
      </x:c>
      <x:c r="E67" s="30" t="str">
        <x:v>erpreport.pdf</x:v>
      </x:c>
      <x:c r="F67" s="40" t="str">
        <x:v>No</x:v>
      </x:c>
      <x:c r="G67" s="40" t="n">
        <x:v>0</x:v>
      </x:c>
      <x:c r="H67" s="40" t="str">
        <x:v>Unlabeled</x:v>
      </x:c>
      <x:c r="I67" s="40"/>
      <x:c r="J67" s="40"/>
      <x:c r="K67" s="30" t="str">
        <x:v>Default No — no retained human paragraph-level label in the curated GPT Test</x:v>
      </x:c>
      <x:c r="L67" s="30"/>
      <x:c r="M67" s="40" t="str">
        <x:v>bullet</x:v>
      </x:c>
      <x:c r="N67" s="40" t="str">
        <x:v>No</x:v>
      </x:c>
      <x:c r="O67" s="30"/>
      <x:c r="P67" s="30" t="str">
        <x:v>16:10:0;16:10:1</x:v>
      </x:c>
    </x:row>
    <x:row r="68" ht="45" customHeight="1">
      <x:c r="A68" s="30" t="str">
        <x:v>ERP-A067</x:v>
      </x:c>
      <x:c r="B68" s="30" t="str">
        <x:v>p 16</x:v>
      </x:c>
      <x:c r="C68" s="30" t="str">
        <x:v>• Mississippi River Gulf Outlet</x:v>
      </x:c>
      <x:c r="D68" s="30" t="str">
        <x:v>ERP Report</x:v>
      </x:c>
      <x:c r="E68" s="30" t="str">
        <x:v>erpreport.pdf</x:v>
      </x:c>
      <x:c r="F68" s="40" t="str">
        <x:v>No</x:v>
      </x:c>
      <x:c r="G68" s="40" t="n">
        <x:v>0</x:v>
      </x:c>
      <x:c r="H68" s="40" t="str">
        <x:v>Unlabeled</x:v>
      </x:c>
      <x:c r="I68" s="40"/>
      <x:c r="J68" s="40"/>
      <x:c r="K68" s="30" t="str">
        <x:v>Default No — no retained human paragraph-level label in the curated GPT Test</x:v>
      </x:c>
      <x:c r="L68" s="30"/>
      <x:c r="M68" s="40" t="str">
        <x:v>bullet</x:v>
      </x:c>
      <x:c r="N68" s="40" t="str">
        <x:v>No</x:v>
      </x:c>
      <x:c r="O68" s="30"/>
      <x:c r="P68" s="30" t="str">
        <x:v>16:12:0;16:12:1</x:v>
      </x:c>
    </x:row>
    <x:row r="69" ht="45" customHeight="1">
      <x:c r="A69" s="30" t="str">
        <x:v>ERP-A068</x:v>
      </x:c>
      <x:c r="B69" s="30" t="str">
        <x:v>p 16</x:v>
      </x:c>
      <x:c r="C69" s="30" t="str">
        <x:v>Large portions of Orleans, St. Bernard, and Jefferson parishes are currently below sea level — and continue to sink. New Orleans is built on thousands of feet of soft sand, silt, and clay. Subsidence, or settling of the ground surface, occurs naturally due to the consolidation and oxidation of organic soils (called “marsh” in New Orleans) and local groundwater pumping. In the past, flooding and deposition of sediments from the Mississippi River counterbalanced the natural subsidence, leaving southeast Louisiana at or above sea level.</x:v>
      </x:c>
      <x:c r="D69" s="30" t="str">
        <x:v>ERP Report</x:v>
      </x:c>
      <x:c r="E69" s="30" t="str">
        <x:v>erpreport.pdf</x:v>
      </x:c>
      <x:c r="F69" s="40" t="str">
        <x:v>No</x:v>
      </x:c>
      <x:c r="G69" s="40" t="n">
        <x:v>0</x:v>
      </x:c>
      <x:c r="H69" s="40" t="str">
        <x:v>Unlabeled</x:v>
      </x:c>
      <x:c r="I69" s="40"/>
      <x:c r="J69" s="40"/>
      <x:c r="K69" s="30" t="str">
        <x:v>Default No — no retained human paragraph-level label in the curated GPT Test</x:v>
      </x:c>
      <x:c r="L69" s="30"/>
      <x:c r="M69" s="40" t="str">
        <x:v>paragraph</x:v>
      </x:c>
      <x:c r="N69" s="40" t="str">
        <x:v>No</x:v>
      </x:c>
      <x:c r="O69" s="30"/>
      <x:c r="P69" s="30" t="str">
        <x:v>16:14:0;16:15:0;16:16:0;16:17:0;16:18:0;16:19:0;16:20:0</x:v>
      </x:c>
    </x:row>
    <x:row r="70" ht="45" customHeight="1">
      <x:c r="A70" s="30" t="str">
        <x:v>ERP-A069</x:v>
      </x:c>
      <x:c r="B70" s="30" t="str">
        <x:v>p 16</x:v>
      </x:c>
      <x:c r="C70" s="30" t="str">
        <x:v>However, due to major flood control structures being built upstream on the Mississippi River and levees being built around New Orleans, fresh layers of sediment are not replenishing the ground lost by subsidence. The natural subsidence has also been exacerbated by groundwater withdrawals, petroleum production, development, and other factors. Based on data collected by the United States Geological Survey from benchmarks located primarily in Orleans Parish (1951-1995), subsidence has been estimated to occur at an average rate of about 0.15 to 0.2 inches per year, although rates in excess of 1 inch per year occur in some locations.</x:v>
      </x:c>
      <x:c r="D70" s="30" t="str">
        <x:v>ERP Report</x:v>
      </x:c>
      <x:c r="E70" s="30" t="str">
        <x:v>erpreport.pdf</x:v>
      </x:c>
      <x:c r="F70" s="40" t="str">
        <x:v>No</x:v>
      </x:c>
      <x:c r="G70" s="40" t="n">
        <x:v>0</x:v>
      </x:c>
      <x:c r="H70" s="40" t="str">
        <x:v>Unlabeled</x:v>
      </x:c>
      <x:c r="I70" s="40"/>
      <x:c r="J70" s="40"/>
      <x:c r="K70" s="30" t="str">
        <x:v>Default No — no retained human paragraph-level label in the curated GPT Test</x:v>
      </x:c>
      <x:c r="L70" s="30"/>
      <x:c r="M70" s="40" t="str">
        <x:v>paragraph</x:v>
      </x:c>
      <x:c r="N70" s="40" t="str">
        <x:v>No</x:v>
      </x:c>
      <x:c r="O70" s="30"/>
      <x:c r="P70" s="30" t="str">
        <x:v>16:21:0;16:22:0;16:23:0;16:24:0;16:25:0;16:26:0;16:27:0;16:28:0;16:29:0</x:v>
      </x:c>
    </x:row>
    <x:row r="71" ht="45" customHeight="1">
      <x:c r="A71" s="30" t="str">
        <x:v>ERP-A070</x:v>
      </x:c>
      <x:c r="B71" s="30" t="str">
        <x:v>p 17</x:v>
      </x:c>
      <x:c r="C71" s="30" t="str">
        <x:v>According to the 2004 United States Census, the population of the greater New Orleans metropolitan area affected most by Hurricane Katrina was approximately one million — 67 percent African American, 28 percent Caucasian, and small percentages of Hispanics and Asians (3 percent and 2 percent, respectively). Studies attempting to estimate the city’s post-Katrina population have set the 2006 population at around 580,000 — a 44 percent decrease (Figure 2.6).</x:v>
      </x:c>
      <x:c r="D71" s="30" t="str">
        <x:v>ERP Report</x:v>
      </x:c>
      <x:c r="E71" s="30" t="str">
        <x:v>erpreport.pdf</x:v>
      </x:c>
      <x:c r="F71" s="40" t="str">
        <x:v>No</x:v>
      </x:c>
      <x:c r="G71" s="40" t="n">
        <x:v>0</x:v>
      </x:c>
      <x:c r="H71" s="40" t="str">
        <x:v>Unlabeled</x:v>
      </x:c>
      <x:c r="I71" s="40"/>
      <x:c r="J71" s="40"/>
      <x:c r="K71" s="30" t="str">
        <x:v>Default No — no retained human paragraph-level label in the curated GPT Test</x:v>
      </x:c>
      <x:c r="L71" s="30"/>
      <x:c r="M71" s="40" t="str">
        <x:v>paragraph</x:v>
      </x:c>
      <x:c r="N71" s="40" t="str">
        <x:v>No</x:v>
      </x:c>
      <x:c r="O71" s="30"/>
      <x:c r="P71" s="30" t="str">
        <x:v>17:5:0;17:6:0;17:7:0;17:8:0;17:9:0;17:10:0;17:11:0</x:v>
      </x:c>
    </x:row>
    <x:row r="72" ht="45" customHeight="1">
      <x:c r="A72" s="30" t="str">
        <x:v>ERP-A071</x:v>
      </x:c>
      <x:c r="B72" s="30" t="str">
        <x:v>p 18</x:v>
      </x:c>
      <x:c r="C72" s="30" t="str">
        <x:v>New Orleans fell under French, Spanish, and — following the Louisiana Purchase — American control, all within 100 years. Influences from the ruling nations blended with contributions from others entering the port city: African slaves, Caribbean islanders, and several waves of Italians, Germans, and Irish fleeing famine or simply seeking a new life in America. As a result, celebrations of Mardi Gras, St. Patrick’s Day, St. Joseph’s Day, and voodoo rituals all find a welcome home in New Orleans. The blend of languages also created words and phrases unheard in any other part of the country.</x:v>
      </x:c>
      <x:c r="D72" s="30" t="str">
        <x:v>ERP Report</x:v>
      </x:c>
      <x:c r="E72" s="30" t="str">
        <x:v>erpreport.pdf</x:v>
      </x:c>
      <x:c r="F72" s="40" t="str">
        <x:v>No</x:v>
      </x:c>
      <x:c r="G72" s="40" t="n">
        <x:v>0</x:v>
      </x:c>
      <x:c r="H72" s="40" t="str">
        <x:v>Unlabeled</x:v>
      </x:c>
      <x:c r="I72" s="40"/>
      <x:c r="J72" s="40"/>
      <x:c r="K72" s="30" t="str">
        <x:v>Default No — no retained human paragraph-level label in the curated GPT Test</x:v>
      </x:c>
      <x:c r="L72" s="30"/>
      <x:c r="M72" s="40" t="str">
        <x:v>paragraph</x:v>
      </x:c>
      <x:c r="N72" s="40" t="str">
        <x:v>No</x:v>
      </x:c>
      <x:c r="O72" s="30"/>
      <x:c r="P72" s="30" t="str">
        <x:v>18:2:0;18:3:0;18:4:0;18:5:0;18:6:0;18:7:0;18:8:0;18:9:0</x:v>
      </x:c>
    </x:row>
    <x:row r="73" ht="45" customHeight="1">
      <x:c r="A73" s="30" t="str">
        <x:v>ERP-A072</x:v>
      </x:c>
      <x:c r="B73" s="30" t="str">
        <x:v>p 18</x:v>
      </x:c>
      <x:c r="C73" s="30" t="str">
        <x:v>Some of the nation’s oldest and most historic structures are located in New Orleans. Lacy ironwork and French- and Spanish-style architecture lend the city a European flavor. New Orleans’s most famous export, jazz, also grew out of the city’s mesh of cultures as European music styles gradually fused with ragtime, blues, and gospel (Figure 2.7).</x:v>
      </x:c>
      <x:c r="D73" s="30" t="str">
        <x:v>ERP Report</x:v>
      </x:c>
      <x:c r="E73" s="30" t="str">
        <x:v>erpreport.pdf</x:v>
      </x:c>
      <x:c r="F73" s="40" t="str">
        <x:v>No</x:v>
      </x:c>
      <x:c r="G73" s="40" t="n">
        <x:v>0</x:v>
      </x:c>
      <x:c r="H73" s="40" t="str">
        <x:v>Unlabeled</x:v>
      </x:c>
      <x:c r="I73" s="40"/>
      <x:c r="J73" s="40"/>
      <x:c r="K73" s="30" t="str">
        <x:v>Default No — no retained human paragraph-level label in the curated GPT Test</x:v>
      </x:c>
      <x:c r="L73" s="30"/>
      <x:c r="M73" s="40" t="str">
        <x:v>paragraph</x:v>
      </x:c>
      <x:c r="N73" s="40" t="str">
        <x:v>No</x:v>
      </x:c>
      <x:c r="O73" s="30"/>
      <x:c r="P73" s="30" t="str">
        <x:v>18:10:0;18:11:0;18:12:0;18:13:0;18:14:0</x:v>
      </x:c>
    </x:row>
    <x:row r="74" ht="45" customHeight="1">
      <x:c r="A74" s="30" t="str">
        <x:v>ERP-A073</x:v>
      </x:c>
      <x:c r="B74" s="30" t="str">
        <x:v>p 18</x:v>
      </x:c>
      <x:c r="C74" s="30" t="str">
        <x:v>Creole cuisine, essentially classic French cooking incorporating local ingredients, is served in homes and restaurants, as is Cajun food, which was introduced to New Orleans by French-Canadian settlers in Louisiana.</x:v>
      </x:c>
      <x:c r="D74" s="30" t="str">
        <x:v>ERP Report</x:v>
      </x:c>
      <x:c r="E74" s="30" t="str">
        <x:v>erpreport.pdf</x:v>
      </x:c>
      <x:c r="F74" s="40" t="str">
        <x:v>No</x:v>
      </x:c>
      <x:c r="G74" s="40" t="n">
        <x:v>0</x:v>
      </x:c>
      <x:c r="H74" s="40" t="str">
        <x:v>Unlabeled</x:v>
      </x:c>
      <x:c r="I74" s="40"/>
      <x:c r="J74" s="40"/>
      <x:c r="K74" s="30" t="str">
        <x:v>Default No — no retained human paragraph-level label in the curated GPT Test</x:v>
      </x:c>
      <x:c r="L74" s="30"/>
      <x:c r="M74" s="40" t="str">
        <x:v>paragraph</x:v>
      </x:c>
      <x:c r="N74" s="40" t="str">
        <x:v>No</x:v>
      </x:c>
      <x:c r="O74" s="30"/>
      <x:c r="P74" s="30" t="str">
        <x:v>18:15:0;18:16:0;18:17:0</x:v>
      </x:c>
    </x:row>
    <x:row r="75" ht="45" customHeight="1">
      <x:c r="A75" s="30" t="str">
        <x:v>ERP-A074</x:v>
      </x:c>
      <x:c r="B75" s="30" t="str">
        <x:v>p 19</x:v>
      </x:c>
      <x:c r="C75" s="30" t="str">
        <x:v>Hurricane Katrina was one of the strongest storms ever to hit the coast of the United States; New Orleans was directly in Hurricane Katrina’s path. Hurricane Katrina brought intense winds, rainfall, waves, and storm surges that caused widespread devastation in New Orleans and along the coasts of Louisiana, Mississippi, and Alabama.</x:v>
      </x:c>
      <x:c r="D75" s="30" t="str">
        <x:v>ERP Report</x:v>
      </x:c>
      <x:c r="E75" s="30" t="str">
        <x:v>erpreport.pdf</x:v>
      </x:c>
      <x:c r="F75" s="40" t="str">
        <x:v>No</x:v>
      </x:c>
      <x:c r="G75" s="40" t="n">
        <x:v>0</x:v>
      </x:c>
      <x:c r="H75" s="40" t="str">
        <x:v>Unlabeled</x:v>
      </x:c>
      <x:c r="I75" s="40"/>
      <x:c r="J75" s="40"/>
      <x:c r="K75" s="30" t="str">
        <x:v>Default No — no retained human paragraph-level label in the curated GPT Test</x:v>
      </x:c>
      <x:c r="L75" s="30"/>
      <x:c r="M75" s="40" t="str">
        <x:v>paragraph</x:v>
      </x:c>
      <x:c r="N75" s="40" t="str">
        <x:v>No</x:v>
      </x:c>
      <x:c r="O75" s="30"/>
      <x:c r="P75" s="30" t="str">
        <x:v>19:3:0;19:4:0;19:5:0;19:6:0;19:7:0</x:v>
      </x:c>
    </x:row>
    <x:row r="76" ht="45" customHeight="1">
      <x:c r="A76" s="30" t="str">
        <x:v>ERP-A075</x:v>
      </x:c>
      <x:c r="B76" s="30" t="str">
        <x:v>p 19</x:v>
      </x:c>
      <x:c r="C76" s="30" t="str">
        <x:v>Hurricanes are not new to the Gulf Coast. Major hurricanes to have hit the Gulf Coast in the vicinity of southeast Louisiana are listed in Table 3.1:</x:v>
      </x:c>
      <x:c r="D76" s="30" t="str">
        <x:v>ERP Report</x:v>
      </x:c>
      <x:c r="E76" s="30" t="str">
        <x:v>erpreport.pdf</x:v>
      </x:c>
      <x:c r="F76" s="40" t="str">
        <x:v>No</x:v>
      </x:c>
      <x:c r="G76" s="40" t="n">
        <x:v>0</x:v>
      </x:c>
      <x:c r="H76" s="40" t="str">
        <x:v>Unlabeled</x:v>
      </x:c>
      <x:c r="I76" s="40"/>
      <x:c r="J76" s="40"/>
      <x:c r="K76" s="30" t="str">
        <x:v>Default No — no retained human paragraph-level label in the curated GPT Test</x:v>
      </x:c>
      <x:c r="L76" s="30"/>
      <x:c r="M76" s="40" t="str">
        <x:v>paragraph</x:v>
      </x:c>
      <x:c r="N76" s="40" t="str">
        <x:v>No</x:v>
      </x:c>
      <x:c r="O76" s="30"/>
      <x:c r="P76" s="30" t="str">
        <x:v>19:8:0;19:9:0</x:v>
      </x:c>
    </x:row>
    <x:row r="77" ht="45" customHeight="1">
      <x:c r="A77" s="30" t="str">
        <x:v>ERP-A076</x:v>
      </x:c>
      <x:c r="B77" s="30" t="str">
        <x:v>p 19</x:v>
      </x:c>
      <x:c r="C77" s="30" t="str">
        <x:v>1969 5 909 2005 3 920 1992 5* 922 1915 4 931 1856 4 934 1947 4 940 1957 4 945 1893 3 948 1965 3 948 1855 3 950 1860 3 950 1879 3 950 1909 3 952</x:v>
      </x:c>
      <x:c r="D77" s="30" t="str">
        <x:v>ERP Report</x:v>
      </x:c>
      <x:c r="E77" s="30" t="str">
        <x:v>erpreport.pdf</x:v>
      </x:c>
      <x:c r="F77" s="40" t="str">
        <x:v>No</x:v>
      </x:c>
      <x:c r="G77" s="40" t="n">
        <x:v>0</x:v>
      </x:c>
      <x:c r="H77" s="40" t="str">
        <x:v>Unlabeled</x:v>
      </x:c>
      <x:c r="I77" s="40"/>
      <x:c r="J77" s="40"/>
      <x:c r="K77" s="30" t="str">
        <x:v>Default No — no retained human paragraph-level label in the curated GPT Test</x:v>
      </x:c>
      <x:c r="L77" s="30"/>
      <x:c r="M77" s="40" t="str">
        <x:v>paragraph</x:v>
      </x:c>
      <x:c r="N77" s="40" t="str">
        <x:v>No</x:v>
      </x:c>
      <x:c r="O77" s="30"/>
      <x:c r="P77" s="30" t="str">
        <x:v>19:29:1;19:29:2;19:29:3;19:30:1;19:30:2;19:30:3;19:31:1;19:31:2;19:31:3;19:32:1;19:32:2;19:32:3;19:33:1;19:33:2;19:33:3;19:34:1;19:34:2;19:34:3;19:35:1;19:35:2;19:35:3;19:36:1;19:36:2;19:36:3;19:37:1;19:37:2;19:37:3;19:38:1;19:38:2;19:38:3;19:39:1;19:39:2;19:39:3;19:40:1;19:40:2;19:40:3;19:41:1;19:41:2;19:41:3</x:v>
      </x:c>
    </x:row>
    <x:row r="78" ht="45" customHeight="1">
      <x:c r="A78" s="30" t="str">
        <x:v>ERP-A077</x:v>
      </x:c>
      <x:c r="B78" s="30" t="str">
        <x:v>pp 19-20</x:v>
      </x:c>
      <x:c r="C78" s="30" t="str">
        <x:v>Hurricanes are intense low-pressure areas that form over warm ocean waters in the summer and early fall. As warm, moist air rises from the ocean surface into cooler air above, the water vapor condenses to form droplets and clouds. This condensation releases heat, boosting the rise of the air, lowering the central pressure, and drawing more warm, moist air into the storm. In this manner, the energy builds up and the wind speed increases. The low pressure causes wind to spiral inward toward the center of the low-pressure area, creating the hurricane. In the northern hemisphere, hurricane wind rotation around the eye of a hurricane is counter-clockwise. Hurricanes are categorized based on maximum wind speed according to the Saffir-Simpson Hurricane Scale, as summarized in Table 3.2.</x:v>
      </x:c>
      <x:c r="D78" s="30" t="str">
        <x:v>ERP Report</x:v>
      </x:c>
      <x:c r="E78" s="30" t="str">
        <x:v>erpreport.pdf</x:v>
      </x:c>
      <x:c r="F78" s="40" t="str">
        <x:v>No</x:v>
      </x:c>
      <x:c r="G78" s="40" t="n">
        <x:v>0</x:v>
      </x:c>
      <x:c r="H78" s="40" t="str">
        <x:v>Unlabeled</x:v>
      </x:c>
      <x:c r="I78" s="40"/>
      <x:c r="J78" s="40"/>
      <x:c r="K78" s="30" t="str">
        <x:v>Default No — no retained human paragraph-level label in the curated GPT Test</x:v>
      </x:c>
      <x:c r="L78" s="30"/>
      <x:c r="M78" s="40" t="str">
        <x:v>paragraph</x:v>
      </x:c>
      <x:c r="N78" s="40" t="str">
        <x:v>No</x:v>
      </x:c>
      <x:c r="O78" s="30"/>
      <x:c r="P78" s="30" t="str">
        <x:v>19:17:0;19:18:0;19:19:0;19:20:0;19:21:0;19:22:0;19:23:0;19:24:0;20:1:0;20:2:0;20:3:0</x:v>
      </x:c>
    </x:row>
    <x:row r="79" ht="45" customHeight="1">
      <x:c r="A79" s="30" t="str">
        <x:v>ERP-A078</x:v>
      </x:c>
      <x:c r="B79" s="30" t="str">
        <x:v>p 20</x:v>
      </x:c>
      <x:c r="C79" s="30" t="str">
        <x:v>1 74 - 95 4 - 5 2 96 - 110 6 - 8 3 111 - 130 9 - 12 4 131 - 155 13 - 18 5 &gt; 155 &gt; 18</x:v>
      </x:c>
      <x:c r="D79" s="30" t="str">
        <x:v>ERP Report</x:v>
      </x:c>
      <x:c r="E79" s="30" t="str">
        <x:v>erpreport.pdf</x:v>
      </x:c>
      <x:c r="F79" s="40" t="str">
        <x:v>No</x:v>
      </x:c>
      <x:c r="G79" s="40" t="n">
        <x:v>0</x:v>
      </x:c>
      <x:c r="H79" s="40" t="str">
        <x:v>Unlabeled</x:v>
      </x:c>
      <x:c r="I79" s="40"/>
      <x:c r="J79" s="40"/>
      <x:c r="K79" s="30" t="str">
        <x:v>Default No — no retained human paragraph-level label in the curated GPT Test</x:v>
      </x:c>
      <x:c r="L79" s="30"/>
      <x:c r="M79" s="40" t="str">
        <x:v>paragraph</x:v>
      </x:c>
      <x:c r="N79" s="40" t="str">
        <x:v>No</x:v>
      </x:c>
      <x:c r="O79" s="30"/>
      <x:c r="P79" s="30" t="str">
        <x:v>20:16:0;20:16:1;20:16:2;20:17:0;20:17:1;20:17:2;20:18:0;20:18:1;20:18:2;20:19:0;20:19:1;20:19:2;20:20:0;20:20:1;20:20:2</x:v>
      </x:c>
    </x:row>
    <x:row r="80" ht="45" customHeight="1">
      <x:c r="A80" s="30" t="str">
        <x:v>ERP-A079</x:v>
      </x:c>
      <x:c r="B80" s="30" t="str">
        <x:v>p 20</x:v>
      </x:c>
      <x:c r="C80" s="30" t="str">
        <x:v>The path of and intensity history of Hurricane Katrina are shown in Figure 3.1. The storm started as a tropical depression in the Bahamas on August 23, 2005. It crossed south Florida on August 25 as a Category 1 hurricane, and then entered the Gulf of Mexico. The storm intensified as it tracked westward.</x:v>
      </x:c>
      <x:c r="D80" s="30" t="str">
        <x:v>ERP Report</x:v>
      </x:c>
      <x:c r="E80" s="30" t="str">
        <x:v>erpreport.pdf</x:v>
      </x:c>
      <x:c r="F80" s="40" t="str">
        <x:v>No</x:v>
      </x:c>
      <x:c r="G80" s="40" t="n">
        <x:v>0</x:v>
      </x:c>
      <x:c r="H80" s="40" t="str">
        <x:v>Unlabeled</x:v>
      </x:c>
      <x:c r="I80" s="40"/>
      <x:c r="J80" s="40"/>
      <x:c r="K80" s="30" t="str">
        <x:v>Default No — no retained human paragraph-level label in the curated GPT Test</x:v>
      </x:c>
      <x:c r="L80" s="30"/>
      <x:c r="M80" s="40" t="str">
        <x:v>paragraph</x:v>
      </x:c>
      <x:c r="N80" s="40" t="str">
        <x:v>No</x:v>
      </x:c>
      <x:c r="O80" s="30"/>
      <x:c r="P80" s="30" t="str">
        <x:v>20:5:0;20:5:1;20:6:0;20:7:0;20:8:0</x:v>
      </x:c>
    </x:row>
    <x:row r="81" ht="45" customHeight="1">
      <x:c r="A81" s="30" t="str">
        <x:v>ERP-A080</x:v>
      </x:c>
      <x:c r="B81" s="30" t="str">
        <x:v>p 21</x:v>
      </x:c>
      <x:c r="C81" s="30" t="str">
        <x:v>On August 28, the storm began tracking toward the northwest, and intensified from a Category 2 to a Category 5 storm in just 12 hours. As it approached land, the warm, moist air and energy that Hurricane Katrina could draw from the Gulf of Mexico decreased, and Hurricane Katrina was degraded to a Category 3 storm. The path of the storm as it crossed into Louisiana is shown in Figure 3.2.</x:v>
      </x:c>
      <x:c r="D81" s="30" t="str">
        <x:v>ERP Report</x:v>
      </x:c>
      <x:c r="E81" s="30" t="str">
        <x:v>erpreport.pdf</x:v>
      </x:c>
      <x:c r="F81" s="40" t="str">
        <x:v>No</x:v>
      </x:c>
      <x:c r="G81" s="40" t="n">
        <x:v>0</x:v>
      </x:c>
      <x:c r="H81" s="40" t="str">
        <x:v>Unlabeled</x:v>
      </x:c>
      <x:c r="I81" s="40"/>
      <x:c r="J81" s="40"/>
      <x:c r="K81" s="30" t="str">
        <x:v>Default No — no retained human paragraph-level label in the curated GPT Test</x:v>
      </x:c>
      <x:c r="L81" s="30"/>
      <x:c r="M81" s="40" t="str">
        <x:v>paragraph</x:v>
      </x:c>
      <x:c r="N81" s="40" t="str">
        <x:v>No</x:v>
      </x:c>
      <x:c r="O81" s="30"/>
      <x:c r="P81" s="30" t="str">
        <x:v>21:1:0;21:2:0;21:3:0;21:4:0;21:5:0;21:6:0</x:v>
      </x:c>
    </x:row>
    <x:row r="82" ht="45" customHeight="1">
      <x:c r="A82" s="30" t="str">
        <x:v>ERP-A081</x:v>
      </x:c>
      <x:c r="B82" s="30" t="str">
        <x:v>p 21</x:v>
      </x:c>
      <x:c r="C82" s="30" t="str">
        <x:v>The strong wind and low atmospheric pressure of a hurricane causes storm surges. Storm surges typically cause the most damage near the coast, whereas winds cause the most damage away from the coast. Three factors contribute to the formation and intensity of a storm surge:</x:v>
      </x:c>
      <x:c r="D82" s="30" t="str">
        <x:v>ERP Report</x:v>
      </x:c>
      <x:c r="E82" s="30" t="str">
        <x:v>erpreport.pdf</x:v>
      </x:c>
      <x:c r="F82" s="40" t="str">
        <x:v>No</x:v>
      </x:c>
      <x:c r="G82" s="40" t="n">
        <x:v>0</x:v>
      </x:c>
      <x:c r="H82" s="40" t="str">
        <x:v>Unlabeled</x:v>
      </x:c>
      <x:c r="I82" s="40"/>
      <x:c r="J82" s="40"/>
      <x:c r="K82" s="30" t="str">
        <x:v>Default No — no retained human paragraph-level label in the curated GPT Test</x:v>
      </x:c>
      <x:c r="L82" s="30"/>
      <x:c r="M82" s="40" t="str">
        <x:v>paragraph</x:v>
      </x:c>
      <x:c r="N82" s="40" t="str">
        <x:v>No</x:v>
      </x:c>
      <x:c r="O82" s="30"/>
      <x:c r="P82" s="30" t="str">
        <x:v>21:11:0;21:12:0;21:13:0;21:14:0</x:v>
      </x:c>
    </x:row>
    <x:row r="83" ht="45" customHeight="1">
      <x:c r="A83" s="30" t="str">
        <x:v>ERP-A082</x:v>
      </x:c>
      <x:c r="B83" s="30" t="str">
        <x:v>p 21</x:v>
      </x:c>
      <x:c r="C83" s="30" t="str">
        <x:v>1. Wind-induced motion of water. The wind drags along the ocean’s surface</x:v>
      </x:c>
      <x:c r="D83" s="30" t="str">
        <x:v>ERP Report</x:v>
      </x:c>
      <x:c r="E83" s="30" t="str">
        <x:v>erpreport.pdf</x:v>
      </x:c>
      <x:c r="F83" s="40" t="str">
        <x:v>No</x:v>
      </x:c>
      <x:c r="G83" s="40" t="n">
        <x:v>0</x:v>
      </x:c>
      <x:c r="H83" s="40" t="str">
        <x:v>Unlabeled</x:v>
      </x:c>
      <x:c r="I83" s="40"/>
      <x:c r="J83" s="40"/>
      <x:c r="K83" s="30" t="str">
        <x:v>Default No — no retained human paragraph-level label in the curated GPT Test</x:v>
      </x:c>
      <x:c r="L83" s="30"/>
      <x:c r="M83" s="40" t="str">
        <x:v>numbered</x:v>
      </x:c>
      <x:c r="N83" s="40" t="str">
        <x:v>No</x:v>
      </x:c>
      <x:c r="O83" s="30"/>
      <x:c r="P83" s="30" t="str">
        <x:v>21:15:0</x:v>
      </x:c>
    </x:row>
    <x:row r="84" ht="45" customHeight="1">
      <x:c r="A84" s="30" t="str">
        <x:v>ERP-A083</x:v>
      </x:c>
      <x:c r="B84" s="30" t="str">
        <x:v>pp 21-22</x:v>
      </x:c>
      <x:c r="C84" s="30" t="str">
        <x:v>and causes the water to pile up as a surge higher than tide level. This is the main contributor to high water from a major hurricane. As the water and waves reach the shore, flooding typically occurs. Wind also generates waves on the water’s surface, increasing the momentum of the surge toward land and adding to the water height on top of the surge. As Katrina crossed the Gulf, easterly winds blowing for several days caused water to pile up against the east bank of the Mississippi River that juts out into the Gulf.</x:v>
      </x:c>
      <x:c r="D84" s="30" t="str">
        <x:v>ERP Report</x:v>
      </x:c>
      <x:c r="E84" s="30" t="str">
        <x:v>erpreport.pdf</x:v>
      </x:c>
      <x:c r="F84" s="40" t="str">
        <x:v>No</x:v>
      </x:c>
      <x:c r="G84" s="40" t="n">
        <x:v>0</x:v>
      </x:c>
      <x:c r="H84" s="40" t="str">
        <x:v>Unlabeled</x:v>
      </x:c>
      <x:c r="I84" s="40"/>
      <x:c r="J84" s="40"/>
      <x:c r="K84" s="30" t="str">
        <x:v>Default No — no retained human paragraph-level label in the curated GPT Test</x:v>
      </x:c>
      <x:c r="L84" s="30"/>
      <x:c r="M84" s="40" t="str">
        <x:v>paragraph</x:v>
      </x:c>
      <x:c r="N84" s="40" t="str">
        <x:v>No</x:v>
      </x:c>
      <x:c r="O84" s="30"/>
      <x:c r="P84" s="30" t="str">
        <x:v>21:16:0;21:17:0;21:18:0;21:19:0;21:20:0;21:21:0;22:1:0;22:2:0</x:v>
      </x:c>
    </x:row>
    <x:row r="85" ht="45" customHeight="1">
      <x:c r="A85" s="30" t="str">
        <x:v>ERP-A084</x:v>
      </x:c>
      <x:c r="B85" s="30" t="str">
        <x:v>p 22</x:v>
      </x:c>
      <x:c r="C85" s="30" t="str">
        <x:v>2. Reduced pressure from the storm. Atmospheric pressure is roughly</x:v>
      </x:c>
      <x:c r="D85" s="30" t="str">
        <x:v>ERP Report</x:v>
      </x:c>
      <x:c r="E85" s="30" t="str">
        <x:v>erpreport.pdf</x:v>
      </x:c>
      <x:c r="F85" s="40" t="str">
        <x:v>No</x:v>
      </x:c>
      <x:c r="G85" s="40" t="n">
        <x:v>0</x:v>
      </x:c>
      <x:c r="H85" s="40" t="str">
        <x:v>Unlabeled</x:v>
      </x:c>
      <x:c r="I85" s="40"/>
      <x:c r="J85" s="40"/>
      <x:c r="K85" s="30" t="str">
        <x:v>Default No — no retained human paragraph-level label in the curated GPT Test</x:v>
      </x:c>
      <x:c r="L85" s="30"/>
      <x:c r="M85" s="40" t="str">
        <x:v>numbered</x:v>
      </x:c>
      <x:c r="N85" s="40" t="str">
        <x:v>No</x:v>
      </x:c>
      <x:c r="O85" s="30"/>
      <x:c r="P85" s="30" t="str">
        <x:v>22:3:0</x:v>
      </x:c>
    </x:row>
    <x:row r="86" ht="45" customHeight="1">
      <x:c r="A86" s="30" t="str">
        <x:v>ERP-A085</x:v>
      </x:c>
      <x:c r="B86" s="30" t="str">
        <x:v>p 22</x:v>
      </x:c>
      <x:c r="C86" s="30" t="str">
        <x:v>30 inches of mercury. Hurricane Katrina had a minimum central pressure of about 27 inches, or 3 inches below atmospheric pressure. Typically, water will rise about 1 foot of water for every inch drop of mercury. Therefore, sea level was about 3 feet above normal because of the low pressures of Hurricane Katrina.</x:v>
      </x:c>
      <x:c r="D86" s="30" t="str">
        <x:v>ERP Report</x:v>
      </x:c>
      <x:c r="E86" s="30" t="str">
        <x:v>erpreport.pdf</x:v>
      </x:c>
      <x:c r="F86" s="40" t="str">
        <x:v>No</x:v>
      </x:c>
      <x:c r="G86" s="40" t="n">
        <x:v>0</x:v>
      </x:c>
      <x:c r="H86" s="40" t="str">
        <x:v>Unlabeled</x:v>
      </x:c>
      <x:c r="I86" s="40"/>
      <x:c r="J86" s="40"/>
      <x:c r="K86" s="30" t="str">
        <x:v>Default No — no retained human paragraph-level label in the curated GPT Test</x:v>
      </x:c>
      <x:c r="L86" s="30"/>
      <x:c r="M86" s="40" t="str">
        <x:v>paragraph</x:v>
      </x:c>
      <x:c r="N86" s="40" t="str">
        <x:v>No</x:v>
      </x:c>
      <x:c r="O86" s="30"/>
      <x:c r="P86" s="30" t="str">
        <x:v>22:4:0;22:5:0;22:6:0;22:7:0;22:8:0</x:v>
      </x:c>
    </x:row>
    <x:row r="87" ht="45" customHeight="1">
      <x:c r="A87" s="30" t="str">
        <x:v>ERP-A086</x:v>
      </x:c>
      <x:c r="B87" s="30" t="str">
        <x:v>p 22</x:v>
      </x:c>
      <x:c r="C87" s="30" t="str">
        <x:v>3. Favorable or unfavorable timing with high and low ocean tides. The</x:v>
      </x:c>
      <x:c r="D87" s="30" t="str">
        <x:v>ERP Report</x:v>
      </x:c>
      <x:c r="E87" s="30" t="str">
        <x:v>erpreport.pdf</x:v>
      </x:c>
      <x:c r="F87" s="40" t="str">
        <x:v>No</x:v>
      </x:c>
      <x:c r="G87" s="40" t="n">
        <x:v>0</x:v>
      </x:c>
      <x:c r="H87" s="40" t="str">
        <x:v>Unlabeled</x:v>
      </x:c>
      <x:c r="I87" s="40"/>
      <x:c r="J87" s="40"/>
      <x:c r="K87" s="30" t="str">
        <x:v>Default No — no retained human paragraph-level label in the curated GPT Test</x:v>
      </x:c>
      <x:c r="L87" s="30"/>
      <x:c r="M87" s="40" t="str">
        <x:v>numbered</x:v>
      </x:c>
      <x:c r="N87" s="40" t="str">
        <x:v>No</x:v>
      </x:c>
      <x:c r="O87" s="30"/>
      <x:c r="P87" s="30" t="str">
        <x:v>22:9:0</x:v>
      </x:c>
    </x:row>
    <x:row r="88" ht="45" customHeight="1">
      <x:c r="A88" s="30" t="str">
        <x:v>ERP-A087</x:v>
      </x:c>
      <x:c r="B88" s="30" t="str">
        <x:v>p 22</x:v>
      </x:c>
      <x:c r="C88" s="30" t="str">
        <x:v>worst combination is when a hurricane-induced storm surge occurs during high tide which was, indeed, the case when Hurricane Katrina hit land.</x:v>
      </x:c>
      <x:c r="D88" s="30" t="str">
        <x:v>ERP Report</x:v>
      </x:c>
      <x:c r="E88" s="30" t="str">
        <x:v>erpreport.pdf</x:v>
      </x:c>
      <x:c r="F88" s="40" t="str">
        <x:v>No</x:v>
      </x:c>
      <x:c r="G88" s="40" t="n">
        <x:v>0</x:v>
      </x:c>
      <x:c r="H88" s="40" t="str">
        <x:v>Unlabeled</x:v>
      </x:c>
      <x:c r="I88" s="40"/>
      <x:c r="J88" s="40"/>
      <x:c r="K88" s="30" t="str">
        <x:v>Default No — no retained human paragraph-level label in the curated GPT Test</x:v>
      </x:c>
      <x:c r="L88" s="30"/>
      <x:c r="M88" s="40" t="str">
        <x:v>paragraph</x:v>
      </x:c>
      <x:c r="N88" s="40" t="str">
        <x:v>No</x:v>
      </x:c>
      <x:c r="O88" s="30"/>
      <x:c r="P88" s="30" t="str">
        <x:v>22:10:0;22:11:0</x:v>
      </x:c>
    </x:row>
    <x:row r="89" ht="45" customHeight="1">
      <x:c r="A89" s="30" t="str">
        <x:v>ERP-A088</x:v>
      </x:c>
      <x:c r="B89" s="30" t="str">
        <x:v>p 22</x:v>
      </x:c>
      <x:c r="C89" s="30" t="str">
        <x:v>A satellite view of Hurricane Katrina taken at 10:15am on August 29, 2005 is shown in Figure 3.3. At its peak strength about 200 miles off the Louisiana coast (24 hours prior to landfall), Hurricane Katrina generated winds with speeds of up to 160 miles per hour (mph) (1-minute average). Hurricane Katrina also reached a minimum central pressure of 902 millibars (27 inches of mercury) at its peak, ranking fourth lowest on record for all Atlantic basin hurricanes, and produced offshore individual waves approximately 100 feet high in the Gulf of Mexico, which are some of the largest waves for any hurricane over the past century.</x:v>
      </x:c>
      <x:c r="D89" s="30" t="str">
        <x:v>ERP Report</x:v>
      </x:c>
      <x:c r="E89" s="30" t="str">
        <x:v>erpreport.pdf</x:v>
      </x:c>
      <x:c r="F89" s="40" t="str">
        <x:v>No</x:v>
      </x:c>
      <x:c r="G89" s="40" t="n">
        <x:v>0</x:v>
      </x:c>
      <x:c r="H89" s="40" t="str">
        <x:v>Unlabeled</x:v>
      </x:c>
      <x:c r="I89" s="40"/>
      <x:c r="J89" s="40"/>
      <x:c r="K89" s="30" t="str">
        <x:v>Default No — no retained human paragraph-level label in the curated GPT Test</x:v>
      </x:c>
      <x:c r="L89" s="30"/>
      <x:c r="M89" s="40" t="str">
        <x:v>paragraph</x:v>
      </x:c>
      <x:c r="N89" s="40" t="str">
        <x:v>No</x:v>
      </x:c>
      <x:c r="O89" s="30"/>
      <x:c r="P89" s="30" t="str">
        <x:v>22:12:0;22:13:0;22:14:0;22:15:0;22:16:0;22:17:0;22:18:0;22:19:0;22:20:0</x:v>
      </x:c>
    </x:row>
    <x:row r="90" ht="45" customHeight="1">
      <x:c r="A90" s="30" t="str">
        <x:v>ERP-A089</x:v>
      </x:c>
      <x:c r="B90" s="30" t="str">
        <x:v>p 23</x:v>
      </x:c>
      <x:c r="C90" s="30" t="str">
        <x:v>The leading edge of Hurricane Katrina made landfall at Buras, Louisiana, at 6:10am, August 29, 2005. The central pressure at landfall was 920 millibars, which ranked third lowest on record for United States landfalling storms. Although Katrina struck Louisiana as a Category 3 storm, its earlier status as a massive Category 5 storm added to the magnitude of the storm surge as Katrina approached the coast withever greater intensity. When the eye of Hurricane Katrina struck at Buras at 6:30am, winds were approximately 127 mph.</x:v>
      </x:c>
      <x:c r="D90" s="30" t="str">
        <x:v>ERP Report</x:v>
      </x:c>
      <x:c r="E90" s="30" t="str">
        <x:v>erpreport.pdf</x:v>
      </x:c>
      <x:c r="F90" s="40" t="str">
        <x:v>No</x:v>
      </x:c>
      <x:c r="G90" s="40" t="n">
        <x:v>0</x:v>
      </x:c>
      <x:c r="H90" s="40" t="str">
        <x:v>Unlabeled</x:v>
      </x:c>
      <x:c r="I90" s="40"/>
      <x:c r="J90" s="40"/>
      <x:c r="K90" s="30" t="str">
        <x:v>Default No — no retained human paragraph-level label in the curated GPT Test</x:v>
      </x:c>
      <x:c r="L90" s="30"/>
      <x:c r="M90" s="40" t="str">
        <x:v>paragraph</x:v>
      </x:c>
      <x:c r="N90" s="40" t="str">
        <x:v>No</x:v>
      </x:c>
      <x:c r="O90" s="30"/>
      <x:c r="P90" s="30" t="str">
        <x:v>23:1:0;23:2:0;23:3:0;23:4:0;23:5:0;23:6:0;23:7:0;23:8:0</x:v>
      </x:c>
    </x:row>
    <x:row r="91" ht="45" customHeight="1">
      <x:c r="A91" s="30" t="str">
        <x:v>ERP-A090</x:v>
      </x:c>
      <x:c r="B91" s="30" t="str">
        <x:v>p 23</x:v>
      </x:c>
      <x:c r="C91" s="30" t="str">
        <x:v>Figure 3.4 shows wind vectors and storm surge elevation at about 7:30am on August 29, when the eye of the storm was just southeast of downtown New Orleans. The eastern edge of the New Orleans area was pounded by wind and water from the east. The northern edge of the New Orleans area along Lake Pontchartrain was pounded by wind and waves from the north. An enormous storm surge of water from the Gulf of Mexico built up in Lake Borgne.</x:v>
      </x:c>
      <x:c r="D91" s="30" t="str">
        <x:v>ERP Report</x:v>
      </x:c>
      <x:c r="E91" s="30" t="str">
        <x:v>erpreport.pdf</x:v>
      </x:c>
      <x:c r="F91" s="40" t="str">
        <x:v>No</x:v>
      </x:c>
      <x:c r="G91" s="40" t="n">
        <x:v>0</x:v>
      </x:c>
      <x:c r="H91" s="40" t="str">
        <x:v>Unlabeled</x:v>
      </x:c>
      <x:c r="I91" s="40"/>
      <x:c r="J91" s="40"/>
      <x:c r="K91" s="30" t="str">
        <x:v>Default No — no retained human paragraph-level label in the curated GPT Test</x:v>
      </x:c>
      <x:c r="L91" s="30"/>
      <x:c r="M91" s="40" t="str">
        <x:v>paragraph</x:v>
      </x:c>
      <x:c r="N91" s="40" t="str">
        <x:v>No</x:v>
      </x:c>
      <x:c r="O91" s="30"/>
      <x:c r="P91" s="30" t="str">
        <x:v>23:9:0;23:10:0;23:11:0;23:12:0;23:13:0;23:14:0;23:15:0</x:v>
      </x:c>
    </x:row>
    <x:row r="92" ht="45" customHeight="1">
      <x:c r="A92" s="30" t="str">
        <x:v>ERP-A091</x:v>
      </x:c>
      <x:c r="B92" s="30" t="str">
        <x:v>p 23</x:v>
      </x:c>
      <x:c r="C92" s="30" t="str">
        <x:v>The Mississippi River delta, which juts out to the southeast of New Orleans, created a barrier of land just to the west of the eye against which the massive storm surge also piled up. In south Plaquemines Parish, peak water levels reached 20 feet above mean sea level along the hurricane protection levees.</x:v>
      </x:c>
      <x:c r="D92" s="30" t="str">
        <x:v>ERP Report</x:v>
      </x:c>
      <x:c r="E92" s="30" t="str">
        <x:v>erpreport.pdf</x:v>
      </x:c>
      <x:c r="F92" s="40" t="str">
        <x:v>No</x:v>
      </x:c>
      <x:c r="G92" s="40" t="n">
        <x:v>0</x:v>
      </x:c>
      <x:c r="H92" s="40" t="str">
        <x:v>Unlabeled</x:v>
      </x:c>
      <x:c r="I92" s="40"/>
      <x:c r="J92" s="40"/>
      <x:c r="K92" s="30" t="str">
        <x:v>Default No — no retained human paragraph-level label in the curated GPT Test</x:v>
      </x:c>
      <x:c r="L92" s="30"/>
      <x:c r="M92" s="40" t="str">
        <x:v>paragraph</x:v>
      </x:c>
      <x:c r="N92" s="40" t="str">
        <x:v>No</x:v>
      </x:c>
      <x:c r="O92" s="30"/>
      <x:c r="P92" s="30" t="str">
        <x:v>23:16:0;23:17:0;23:18:0;23:19:0;23:20:0</x:v>
      </x:c>
    </x:row>
    <x:row r="93" ht="45" customHeight="1">
      <x:c r="A93" s="30" t="str">
        <x:v>ERP-A092</x:v>
      </x:c>
      <x:c r="B93" s="30" t="str">
        <x:v>p 24</x:v>
      </x:c>
      <x:c r="C93" s="30" t="str">
        <x:v>The wind on Lake Pontchartrain was out of the north, piling up water along the southern shore of the lake. Peak water levels at the entrances to canals along the lakeshore of New Orleans were nearly 12 feet above sea level.</x:v>
      </x:c>
      <x:c r="D93" s="30" t="str">
        <x:v>ERP Report</x:v>
      </x:c>
      <x:c r="E93" s="30" t="str">
        <x:v>erpreport.pdf</x:v>
      </x:c>
      <x:c r="F93" s="40" t="str">
        <x:v>No</x:v>
      </x:c>
      <x:c r="G93" s="40" t="n">
        <x:v>0</x:v>
      </x:c>
      <x:c r="H93" s="40" t="str">
        <x:v>Unlabeled</x:v>
      </x:c>
      <x:c r="I93" s="40"/>
      <x:c r="J93" s="40"/>
      <x:c r="K93" s="30" t="str">
        <x:v>Default No — no retained human paragraph-level label in the curated GPT Test</x:v>
      </x:c>
      <x:c r="L93" s="30"/>
      <x:c r="M93" s="40" t="str">
        <x:v>paragraph</x:v>
      </x:c>
      <x:c r="N93" s="40" t="str">
        <x:v>No</x:v>
      </x:c>
      <x:c r="O93" s="30"/>
      <x:c r="P93" s="30" t="str">
        <x:v>24:1:0;24:2:0;24:3:0;24:4:0</x:v>
      </x:c>
    </x:row>
    <x:row r="94" ht="45" customHeight="1">
      <x:c r="A94" s="30" t="str">
        <x:v>ERP-A093</x:v>
      </x:c>
      <x:c r="B94" s="30" t="str">
        <x:v>p 24</x:v>
      </x:c>
      <x:c r="C94" s="30" t="str">
        <x:v>During a storm surge, the water level rises significantly above tide level for a few hours. After the hurricane passes and the direction of the wind shifts, water levels recede. A hydrograph, a graph of water level versus time, for the canal entrances at Lake Pontchartrain is shown in Figure 3.5. The highest water level occurred at approximately 9:30am on August 29, after which the water levels fell.</x:v>
      </x:c>
      <x:c r="D94" s="30" t="str">
        <x:v>ERP Report</x:v>
      </x:c>
      <x:c r="E94" s="30" t="str">
        <x:v>erpreport.pdf</x:v>
      </x:c>
      <x:c r="F94" s="40" t="str">
        <x:v>No</x:v>
      </x:c>
      <x:c r="G94" s="40" t="n">
        <x:v>0</x:v>
      </x:c>
      <x:c r="H94" s="40" t="str">
        <x:v>Unlabeled</x:v>
      </x:c>
      <x:c r="I94" s="40"/>
      <x:c r="J94" s="40"/>
      <x:c r="K94" s="30" t="str">
        <x:v>Default No — no retained human paragraph-level label in the curated GPT Test</x:v>
      </x:c>
      <x:c r="L94" s="30"/>
      <x:c r="M94" s="40" t="str">
        <x:v>paragraph</x:v>
      </x:c>
      <x:c r="N94" s="40" t="str">
        <x:v>No</x:v>
      </x:c>
      <x:c r="O94" s="30"/>
      <x:c r="P94" s="30" t="str">
        <x:v>24:5:0;24:6:0;24:7:0;24:8:0;24:9:0;24:10:0</x:v>
      </x:c>
    </x:row>
    <x:row r="95" ht="45" customHeight="1">
      <x:c r="A95" s="30" t="str">
        <x:v>ERP-A094</x:v>
      </x:c>
      <x:c r="B95" s="30" t="str">
        <x:v>p 24</x:v>
      </x:c>
      <x:c r="C95" s="30" t="str">
        <x:v>In addition to the storm surges, Hurricane Katrina brought intense rainfall to the New Orleans area. Within Orleans Parish, for example, estimates of precipitation based on radar rainfall data indicate that up to 13.6 inches fell in some areas over the 24-hour period encompassing Hurricane Katrina. The 100-year rainfall (24-hour duration) for New Orleans is 12.58 inches, based on United States Weather Bureau Technical Paper 40 (1961). This means that there is a 1 in 100 probability in any given year that there will be 24-hour period where the accumulated rainfall will be greater than 12.58 inches.</x:v>
      </x:c>
      <x:c r="D95" s="30" t="str">
        <x:v>ERP Report</x:v>
      </x:c>
      <x:c r="E95" s="30" t="str">
        <x:v>erpreport.pdf</x:v>
      </x:c>
      <x:c r="F95" s="40" t="str">
        <x:v>No</x:v>
      </x:c>
      <x:c r="G95" s="40" t="n">
        <x:v>0</x:v>
      </x:c>
      <x:c r="H95" s="40" t="str">
        <x:v>Unlabeled</x:v>
      </x:c>
      <x:c r="I95" s="40"/>
      <x:c r="J95" s="40"/>
      <x:c r="K95" s="30" t="str">
        <x:v>Default No — no retained human paragraph-level label in the curated GPT Test</x:v>
      </x:c>
      <x:c r="L95" s="30"/>
      <x:c r="M95" s="40" t="str">
        <x:v>paragraph</x:v>
      </x:c>
      <x:c r="N95" s="40" t="str">
        <x:v>No</x:v>
      </x:c>
      <x:c r="O95" s="30"/>
      <x:c r="P95" s="30" t="str">
        <x:v>24:15:0;24:16:0;24:17:0;24:18:0;24:19:0;24:20:0;24:21:0;24:22:0</x:v>
      </x:c>
    </x:row>
    <x:row r="96" ht="45" customHeight="1">
      <x:c r="A96" s="30" t="str">
        <x:v>ERP-A095</x:v>
      </x:c>
      <x:c r="B96" s="30" t="str">
        <x:v>p 25</x:v>
      </x:c>
      <x:c r="C96" s="30" t="str">
        <x:v>The USACE is responsible for the design and construction of most of the flood and hurricane protection levees along the Mississippi River and in the New Orleans area. Congress authorized the first major project to address hurricaneinduced flooding in 1946. Since that time, as New Orleans’s infrastructure and population has expanded, Congress has authorized a number of additional hurricane protection projects.</x:v>
      </x:c>
      <x:c r="D96" s="30" t="str">
        <x:v>ERP Report</x:v>
      </x:c>
      <x:c r="E96" s="30" t="str">
        <x:v>erpreport.pdf</x:v>
      </x:c>
      <x:c r="F96" s="40" t="str">
        <x:v>No</x:v>
      </x:c>
      <x:c r="G96" s="40" t="n">
        <x:v>0</x:v>
      </x:c>
      <x:c r="H96" s="40" t="str">
        <x:v>Unlabeled</x:v>
      </x:c>
      <x:c r="I96" s="40"/>
      <x:c r="J96" s="40"/>
      <x:c r="K96" s="30" t="str">
        <x:v>Default No — no retained human paragraph-level label in the curated GPT Test</x:v>
      </x:c>
      <x:c r="L96" s="30"/>
      <x:c r="M96" s="40" t="str">
        <x:v>paragraph</x:v>
      </x:c>
      <x:c r="N96" s="40" t="str">
        <x:v>No</x:v>
      </x:c>
      <x:c r="O96" s="30"/>
      <x:c r="P96" s="30" t="str">
        <x:v>25:3:0;25:4:0;25:5:0;25:6:0;25:7:0;25:8:0</x:v>
      </x:c>
    </x:row>
    <x:row r="97" ht="45" customHeight="1">
      <x:c r="A97" s="30" t="str">
        <x:v>ERP-A096</x:v>
      </x:c>
      <x:c r="B97" s="30" t="str">
        <x:v>p 25</x:v>
      </x:c>
      <x:c r="C97" s="30" t="str">
        <x:v>In addition, there are several other flood protection systems in and around New Orleans that are owned or operated by other agencies. These include:</x:v>
      </x:c>
      <x:c r="D97" s="30" t="str">
        <x:v>ERP Report</x:v>
      </x:c>
      <x:c r="E97" s="30" t="str">
        <x:v>erpreport.pdf</x:v>
      </x:c>
      <x:c r="F97" s="40" t="str">
        <x:v>No</x:v>
      </x:c>
      <x:c r="G97" s="40" t="n">
        <x:v>0</x:v>
      </x:c>
      <x:c r="H97" s="40" t="str">
        <x:v>Unlabeled</x:v>
      </x:c>
      <x:c r="I97" s="40"/>
      <x:c r="J97" s="40"/>
      <x:c r="K97" s="30" t="str">
        <x:v>Default No — no retained human paragraph-level label in the curated GPT Test</x:v>
      </x:c>
      <x:c r="L97" s="30"/>
      <x:c r="M97" s="40" t="str">
        <x:v>paragraph</x:v>
      </x:c>
      <x:c r="N97" s="40" t="str">
        <x:v>No</x:v>
      </x:c>
      <x:c r="O97" s="30"/>
      <x:c r="P97" s="30" t="str">
        <x:v>25:9:0;25:10:0</x:v>
      </x:c>
    </x:row>
    <x:row r="98" ht="45" customHeight="1">
      <x:c r="A98" s="30" t="str">
        <x:v>ERP-A097</x:v>
      </x:c>
      <x:c r="B98" s="30" t="str">
        <x:v>p 25</x:v>
      </x:c>
      <x:c r="C98" s="30" t="str">
        <x:v>• Interior drainage and pumping stations</x:v>
      </x:c>
      <x:c r="D98" s="30" t="str">
        <x:v>ERP Report</x:v>
      </x:c>
      <x:c r="E98" s="30" t="str">
        <x:v>erpreport.pdf</x:v>
      </x:c>
      <x:c r="F98" s="40" t="str">
        <x:v>No</x:v>
      </x:c>
      <x:c r="G98" s="40" t="n">
        <x:v>0</x:v>
      </x:c>
      <x:c r="H98" s="40" t="str">
        <x:v>Unlabeled</x:v>
      </x:c>
      <x:c r="I98" s="40"/>
      <x:c r="J98" s="40"/>
      <x:c r="K98" s="30" t="str">
        <x:v>Default No — no retained human paragraph-level label in the curated GPT Test</x:v>
      </x:c>
      <x:c r="L98" s="30"/>
      <x:c r="M98" s="40" t="str">
        <x:v>bullet</x:v>
      </x:c>
      <x:c r="N98" s="40" t="str">
        <x:v>No</x:v>
      </x:c>
      <x:c r="O98" s="30"/>
      <x:c r="P98" s="30" t="str">
        <x:v>25:11:0</x:v>
      </x:c>
    </x:row>
    <x:row r="99" ht="45" customHeight="1">
      <x:c r="A99" s="30" t="str">
        <x:v>ERP-A098</x:v>
      </x:c>
      <x:c r="B99" s="30" t="str">
        <x:v>p 25</x:v>
      </x:c>
      <x:c r="C99" s="30" t="str">
        <x:v>• The Mississippi River Levee Flood Protection System</x:v>
      </x:c>
      <x:c r="D99" s="30" t="str">
        <x:v>ERP Report</x:v>
      </x:c>
      <x:c r="E99" s="30" t="str">
        <x:v>erpreport.pdf</x:v>
      </x:c>
      <x:c r="F99" s="40" t="str">
        <x:v>No</x:v>
      </x:c>
      <x:c r="G99" s="40" t="n">
        <x:v>0</x:v>
      </x:c>
      <x:c r="H99" s="40" t="str">
        <x:v>Unlabeled</x:v>
      </x:c>
      <x:c r="I99" s="40"/>
      <x:c r="J99" s="40"/>
      <x:c r="K99" s="30" t="str">
        <x:v>Default No — no retained human paragraph-level label in the curated GPT Test</x:v>
      </x:c>
      <x:c r="L99" s="30"/>
      <x:c r="M99" s="40" t="str">
        <x:v>bullet</x:v>
      </x:c>
      <x:c r="N99" s="40" t="str">
        <x:v>No</x:v>
      </x:c>
      <x:c r="O99" s="30"/>
      <x:c r="P99" s="30" t="str">
        <x:v>25:12:0</x:v>
      </x:c>
    </x:row>
    <x:row r="100" ht="45" customHeight="1">
      <x:c r="A100" s="30" t="str">
        <x:v>ERP-A099</x:v>
      </x:c>
      <x:c r="B100" s="30" t="str">
        <x:v>p 25</x:v>
      </x:c>
      <x:c r="C100" s="30" t="str">
        <x:v>The USACE’s overall strategy to protect against flooding caused by hurricanes and storm surge was to build levees or floodwalls around segments of New Orleans. The USACE projects are generally grouped into three main units, as shown in Figure 4.1:</x:v>
      </x:c>
      <x:c r="D100" s="30" t="str">
        <x:v>ERP Report</x:v>
      </x:c>
      <x:c r="E100" s="30" t="str">
        <x:v>erpreport.pdf</x:v>
      </x:c>
      <x:c r="F100" s="40" t="str">
        <x:v>No</x:v>
      </x:c>
      <x:c r="G100" s="40" t="n">
        <x:v>0</x:v>
      </x:c>
      <x:c r="H100" s="40" t="str">
        <x:v>Unlabeled</x:v>
      </x:c>
      <x:c r="I100" s="40"/>
      <x:c r="J100" s="40"/>
      <x:c r="K100" s="30" t="str">
        <x:v>Default No — no retained human paragraph-level label in the curated GPT Test</x:v>
      </x:c>
      <x:c r="L100" s="30"/>
      <x:c r="M100" s="40" t="str">
        <x:v>paragraph</x:v>
      </x:c>
      <x:c r="N100" s="40" t="str">
        <x:v>No</x:v>
      </x:c>
      <x:c r="O100" s="30"/>
      <x:c r="P100" s="30" t="str">
        <x:v>25:14:0;25:15:0;25:16:0;25:17:0</x:v>
      </x:c>
    </x:row>
    <x:row r="101" ht="45" customHeight="1">
      <x:c r="A101" s="30" t="str">
        <x:v>ERP-A100</x:v>
      </x:c>
      <x:c r="B101" s="30" t="str">
        <x:v>p 25</x:v>
      </x:c>
      <x:c r="C101" s="30" t="str">
        <x:v>• Lake Pontchartrain, Louisiana and Vicinity Hurricane Protection Project</x:v>
      </x:c>
      <x:c r="D101" s="30" t="str">
        <x:v>ERP Report</x:v>
      </x:c>
      <x:c r="E101" s="30" t="str">
        <x:v>erpreport.pdf</x:v>
      </x:c>
      <x:c r="F101" s="40" t="str">
        <x:v>No</x:v>
      </x:c>
      <x:c r="G101" s="40" t="n">
        <x:v>0</x:v>
      </x:c>
      <x:c r="H101" s="40" t="str">
        <x:v>Unlabeled</x:v>
      </x:c>
      <x:c r="I101" s="40"/>
      <x:c r="J101" s="40"/>
      <x:c r="K101" s="30" t="str">
        <x:v>Default No — no retained human paragraph-level label in the curated GPT Test</x:v>
      </x:c>
      <x:c r="L101" s="30"/>
      <x:c r="M101" s="40" t="str">
        <x:v>bullet</x:v>
      </x:c>
      <x:c r="N101" s="40" t="str">
        <x:v>No</x:v>
      </x:c>
      <x:c r="O101" s="30"/>
      <x:c r="P101" s="30" t="str">
        <x:v>25:18:0;25:19:0</x:v>
      </x:c>
    </x:row>
    <x:row r="102" ht="45" customHeight="1">
      <x:c r="A102" s="30" t="str">
        <x:v>ERP-A101</x:v>
      </x:c>
      <x:c r="B102" s="30" t="str">
        <x:v>p 25</x:v>
      </x:c>
      <x:c r="C102" s="30" t="str">
        <x:v>• West Bank and Vicinity, New Orleans, Louisiana, Hurricane Protection Project</x:v>
      </x:c>
      <x:c r="D102" s="30" t="str">
        <x:v>ERP Report</x:v>
      </x:c>
      <x:c r="E102" s="30" t="str">
        <x:v>erpreport.pdf</x:v>
      </x:c>
      <x:c r="F102" s="40" t="str">
        <x:v>No</x:v>
      </x:c>
      <x:c r="G102" s="40" t="n">
        <x:v>0</x:v>
      </x:c>
      <x:c r="H102" s="40" t="str">
        <x:v>Unlabeled</x:v>
      </x:c>
      <x:c r="I102" s="40"/>
      <x:c r="J102" s="40"/>
      <x:c r="K102" s="30" t="str">
        <x:v>Default No — no retained human paragraph-level label in the curated GPT Test</x:v>
      </x:c>
      <x:c r="L102" s="30"/>
      <x:c r="M102" s="40" t="str">
        <x:v>bullet</x:v>
      </x:c>
      <x:c r="N102" s="40" t="str">
        <x:v>No</x:v>
      </x:c>
      <x:c r="O102" s="30"/>
      <x:c r="P102" s="30" t="str">
        <x:v>25:20:0;25:21:0</x:v>
      </x:c>
    </x:row>
    <x:row r="103" ht="45" customHeight="1">
      <x:c r="A103" s="30" t="str">
        <x:v>ERP-A102</x:v>
      </x:c>
      <x:c r="B103" s="30" t="str">
        <x:v>p 25</x:v>
      </x:c>
      <x:c r="C103" s="30" t="str">
        <x:v>• New Orleans to Venice, Louisiana, Hurricane Protection Project</x:v>
      </x:c>
      <x:c r="D103" s="30" t="str">
        <x:v>ERP Report</x:v>
      </x:c>
      <x:c r="E103" s="30" t="str">
        <x:v>erpreport.pdf</x:v>
      </x:c>
      <x:c r="F103" s="40" t="str">
        <x:v>No</x:v>
      </x:c>
      <x:c r="G103" s="40" t="n">
        <x:v>0</x:v>
      </x:c>
      <x:c r="H103" s="40" t="str">
        <x:v>Unlabeled</x:v>
      </x:c>
      <x:c r="I103" s="40"/>
      <x:c r="J103" s="40"/>
      <x:c r="K103" s="30" t="str">
        <x:v>Default No — no retained human paragraph-level label in the curated GPT Test</x:v>
      </x:c>
      <x:c r="L103" s="30"/>
      <x:c r="M103" s="40" t="str">
        <x:v>bullet</x:v>
      </x:c>
      <x:c r="N103" s="40" t="str">
        <x:v>No</x:v>
      </x:c>
      <x:c r="O103" s="30"/>
      <x:c r="P103" s="30" t="str">
        <x:v>25:22:0</x:v>
      </x:c>
    </x:row>
    <x:row r="104" ht="45" customHeight="1">
      <x:c r="A104" s="30" t="str">
        <x:v>ERP-A103</x:v>
      </x:c>
      <x:c r="B104" s="30" t="str">
        <x:v>p 26</x:v>
      </x:c>
      <x:c r="C104" s="30" t="str">
        <x:v>The Lake Pontchartrain, Louisiana and Vicinity Hurricane Protection Project (Figure 4.2) was intended to protect St. Bernard, Orleans, Jefferson, and St. Charles parishes between the Mississippi River and Lake Pontchartrain. The project generally included earthen levees with floodwalls along Lake Pontchartrain, the 17th Street Canal, the Orleans Canal, the London Avenue Canal, and the Industrial Canal.</x:v>
      </x:c>
      <x:c r="D104" s="30" t="str">
        <x:v>ERP Report</x:v>
      </x:c>
      <x:c r="E104" s="30" t="str">
        <x:v>erpreport.pdf</x:v>
      </x:c>
      <x:c r="F104" s="40" t="str">
        <x:v>No</x:v>
      </x:c>
      <x:c r="G104" s="40" t="n">
        <x:v>0</x:v>
      </x:c>
      <x:c r="H104" s="40" t="str">
        <x:v>Unlabeled</x:v>
      </x:c>
      <x:c r="I104" s="40"/>
      <x:c r="J104" s="40"/>
      <x:c r="K104" s="30" t="str">
        <x:v>Default No — no retained human paragraph-level label in the curated GPT Test</x:v>
      </x:c>
      <x:c r="L104" s="30"/>
      <x:c r="M104" s="40" t="str">
        <x:v>paragraph</x:v>
      </x:c>
      <x:c r="N104" s="40" t="str">
        <x:v>No</x:v>
      </x:c>
      <x:c r="O104" s="30"/>
      <x:c r="P104" s="30" t="str">
        <x:v>26:1:0;26:2:0;26:3:0;26:4:0;26:5:0;26:6:0</x:v>
      </x:c>
    </x:row>
    <x:row r="105" ht="45" customHeight="1">
      <x:c r="A105" s="30" t="str">
        <x:v>ERP-A104</x:v>
      </x:c>
      <x:c r="B105" s="30" t="str">
        <x:v>p 26</x:v>
      </x:c>
      <x:c r="C105" s="30" t="str">
        <x:v>The West Bank and Vicinity, New Orleans, Louisiana, Hurricane Protection System (Figure 4.3) was intended to provide improved hurricane protection and flood control to portions of Jefferson Parish lying between the Mississippi River and Lake Salvador. The recommended plan included 22 miles of earthen levees and 2 miles of floodwalls extending from the canal to the V-levee near Jean Lafitte National Historical Park back north to the town of Westwego.</x:v>
      </x:c>
      <x:c r="D105" s="30" t="str">
        <x:v>ERP Report</x:v>
      </x:c>
      <x:c r="E105" s="30" t="str">
        <x:v>erpreport.pdf</x:v>
      </x:c>
      <x:c r="F105" s="40" t="str">
        <x:v>No</x:v>
      </x:c>
      <x:c r="G105" s="40" t="n">
        <x:v>0</x:v>
      </x:c>
      <x:c r="H105" s="40" t="str">
        <x:v>Unlabeled</x:v>
      </x:c>
      <x:c r="I105" s="40"/>
      <x:c r="J105" s="40"/>
      <x:c r="K105" s="30" t="str">
        <x:v>Default No — no retained human paragraph-level label in the curated GPT Test</x:v>
      </x:c>
      <x:c r="L105" s="30"/>
      <x:c r="M105" s="40" t="str">
        <x:v>paragraph</x:v>
      </x:c>
      <x:c r="N105" s="40" t="str">
        <x:v>No</x:v>
      </x:c>
      <x:c r="O105" s="30"/>
      <x:c r="P105" s="30" t="str">
        <x:v>26:11:0;26:12:0;26:13:0;26:14:0;26:15:0;26:16:0;26:17:0</x:v>
      </x:c>
    </x:row>
    <x:row r="106" ht="45" customHeight="1">
      <x:c r="A106" s="30" t="str">
        <x:v>ERP-A105</x:v>
      </x:c>
      <x:c r="B106" s="30" t="str">
        <x:v>p 26</x:v>
      </x:c>
      <x:c r="C106" s="30" t="str">
        <x:v>The New Orleans to Venice, Louisiana, Hurricane Protection Project is located along the east bank of the Mississippi River from Phoenix, Louisiana, (approximately 28 miles southeast of New Orleans) down to Bohemia, Louisiana, and along the west bank of the river from St. Jude, Louisiana, (approximately 39 miles southeast of New Orleans) down to the vicinity of Venice, Louisiana. As shown in Figure 4.4, the project generally consisted of earthen levees built along the Mississippi River.</x:v>
      </x:c>
      <x:c r="D106" s="30" t="str">
        <x:v>ERP Report</x:v>
      </x:c>
      <x:c r="E106" s="30" t="str">
        <x:v>erpreport.pdf</x:v>
      </x:c>
      <x:c r="F106" s="40" t="str">
        <x:v>No</x:v>
      </x:c>
      <x:c r="G106" s="40" t="n">
        <x:v>0</x:v>
      </x:c>
      <x:c r="H106" s="40" t="str">
        <x:v>Unlabeled</x:v>
      </x:c>
      <x:c r="I106" s="40"/>
      <x:c r="J106" s="40"/>
      <x:c r="K106" s="30" t="str">
        <x:v>Default No — no retained human paragraph-level label in the curated GPT Test</x:v>
      </x:c>
      <x:c r="L106" s="30"/>
      <x:c r="M106" s="40" t="str">
        <x:v>paragraph</x:v>
      </x:c>
      <x:c r="N106" s="40" t="str">
        <x:v>No</x:v>
      </x:c>
      <x:c r="O106" s="30"/>
      <x:c r="P106" s="30" t="str">
        <x:v>26:18:0;26:19:0;26:20:0;26:21:0;26:22:0;26:23:0;26:24:0</x:v>
      </x:c>
    </x:row>
    <x:row r="107" ht="45" customHeight="1">
      <x:c r="A107" s="30" t="str">
        <x:v>ERP-A106</x:v>
      </x:c>
      <x:c r="B107" s="30" t="str">
        <x:v>p 28</x:v>
      </x:c>
      <x:c r="C107" s="30" t="str">
        <x:v>The United States Congress directed the USACE to design the hurricane protection system for “the most severe combination of meteorological conditions that are considered ‘reasonably characteristic’ of the region.” The approach historically taken by the USACE for design of Gulf Coast structures employs the concept of the “standard project hurricane,” or SPH.</x:v>
      </x:c>
      <x:c r="D107" s="30" t="str">
        <x:v>ERP Report</x:v>
      </x:c>
      <x:c r="E107" s="30" t="str">
        <x:v>erpreport.pdf</x:v>
      </x:c>
      <x:c r="F107" s="40" t="str">
        <x:v>No</x:v>
      </x:c>
      <x:c r="G107" s="40" t="n">
        <x:v>0</x:v>
      </x:c>
      <x:c r="H107" s="40" t="str">
        <x:v>Unlabeled</x:v>
      </x:c>
      <x:c r="I107" s="40"/>
      <x:c r="J107" s="40"/>
      <x:c r="K107" s="30" t="str">
        <x:v>Default No — no retained human paragraph-level label in the curated GPT Test</x:v>
      </x:c>
      <x:c r="L107" s="30"/>
      <x:c r="M107" s="40" t="str">
        <x:v>paragraph</x:v>
      </x:c>
      <x:c r="N107" s="40" t="str">
        <x:v>No</x:v>
      </x:c>
      <x:c r="O107" s="30"/>
      <x:c r="P107" s="30" t="str">
        <x:v>28:2:0;28:3:0;28:4:0;28:5:0;28:6:0</x:v>
      </x:c>
    </x:row>
    <x:row r="108" ht="45" customHeight="1">
      <x:c r="A108" s="30" t="str">
        <x:v>ERP-A107</x:v>
      </x:c>
      <x:c r="B108" s="30" t="str">
        <x:v>p 28</x:v>
      </x:c>
      <x:c r="C108" s="30" t="str">
        <x:v>Following Hurricane Betsy in 1965, the USACE’s selection of sitespecific storm meteorological criteria was guided by the 1959 National Hurricane Research Project Report 33, “Meteorological Considerations Pertinent to Standard Project Hurricane, Atlantic and Gulf Coasts of the United States.” In Project Report 33, the United States Weather Bureau (now the National Weather Service) recommended a single value for the central pressure index, three values each for forward speed and radius to maximum wind, one gradient wind speed value, and two values of surface wind speed. These criteria were based on historic hurricanes from 1900 to 1956.</x:v>
      </x:c>
      <x:c r="D108" s="30" t="str">
        <x:v>ERP Report</x:v>
      </x:c>
      <x:c r="E108" s="30" t="str">
        <x:v>erpreport.pdf</x:v>
      </x:c>
      <x:c r="F108" s="40" t="str">
        <x:v>No</x:v>
      </x:c>
      <x:c r="G108" s="40" t="n">
        <x:v>0</x:v>
      </x:c>
      <x:c r="H108" s="40" t="str">
        <x:v>Unlabeled</x:v>
      </x:c>
      <x:c r="I108" s="40"/>
      <x:c r="J108" s="40"/>
      <x:c r="K108" s="30" t="str">
        <x:v>Default No — no retained human paragraph-level label in the curated GPT Test</x:v>
      </x:c>
      <x:c r="L108" s="30"/>
      <x:c r="M108" s="40" t="str">
        <x:v>paragraph</x:v>
      </x:c>
      <x:c r="N108" s="40" t="str">
        <x:v>No</x:v>
      </x:c>
      <x:c r="O108" s="30"/>
      <x:c r="P108" s="30" t="str">
        <x:v>28:7:0;28:8:0;28:9:0;28:10:0;28:11:0;28:12:0;28:13:0;28:14:0;28:15:0</x:v>
      </x:c>
    </x:row>
    <x:row r="109" ht="45" customHeight="1">
      <x:c r="A109" s="30" t="str">
        <x:v>ERP-A108</x:v>
      </x:c>
      <x:c r="B109" s="30" t="str">
        <x:v>p 28</x:v>
      </x:c>
      <x:c r="C109" s="30" t="str">
        <x:v>In memoranda issued in 1959 and 1961, the USWB defined a probable maximum hurricane (PMH) as one that may be expected from the most severe combination of critical meteorological conditions that are “reasonably possible” for the region. The PMH had a lower central pressure index than the SPH.</x:v>
      </x:c>
      <x:c r="D109" s="30" t="str">
        <x:v>ERP Report</x:v>
      </x:c>
      <x:c r="E109" s="30" t="str">
        <x:v>erpreport.pdf</x:v>
      </x:c>
      <x:c r="F109" s="40" t="str">
        <x:v>No</x:v>
      </x:c>
      <x:c r="G109" s="40" t="n">
        <x:v>0</x:v>
      </x:c>
      <x:c r="H109" s="40" t="str">
        <x:v>Unlabeled</x:v>
      </x:c>
      <x:c r="I109" s="40"/>
      <x:c r="J109" s="40"/>
      <x:c r="K109" s="30" t="str">
        <x:v>Default No — no retained human paragraph-level label in the curated GPT Test</x:v>
      </x:c>
      <x:c r="L109" s="30"/>
      <x:c r="M109" s="40" t="str">
        <x:v>paragraph</x:v>
      </x:c>
      <x:c r="N109" s="40" t="str">
        <x:v>No</x:v>
      </x:c>
      <x:c r="O109" s="30"/>
      <x:c r="P109" s="30" t="str">
        <x:v>28:16:0;28:17:0;28:18:0;28:19:0;28:20:0</x:v>
      </x:c>
    </x:row>
    <x:row r="110" ht="45" customHeight="1">
      <x:c r="A110" s="30" t="str">
        <x:v>ERP-A109</x:v>
      </x:c>
      <x:c r="B110" s="30" t="str">
        <x:v>p 28</x:v>
      </x:c>
      <x:c r="C110" s="30" t="str">
        <x:v>At the outset of each hurricane protection project, the USACE chose design meteorological conditions that comprised the SPH based on the USWB recommendations. Facilities and structures were then designed to withstand the impacts of the SPH. The SPH meteorological criteria from Project Report 33 were used to design the Lake Pontchartrain and Vicinity and the New Orleans to Venice Hurricane Protection Projects.</x:v>
      </x:c>
      <x:c r="D110" s="30" t="str">
        <x:v>ERP Report</x:v>
      </x:c>
      <x:c r="E110" s="30" t="str">
        <x:v>erpreport.pdf</x:v>
      </x:c>
      <x:c r="F110" s="40" t="str">
        <x:v>No</x:v>
      </x:c>
      <x:c r="G110" s="40" t="n">
        <x:v>0</x:v>
      </x:c>
      <x:c r="H110" s="40" t="str">
        <x:v>Unlabeled</x:v>
      </x:c>
      <x:c r="I110" s="40"/>
      <x:c r="J110" s="40"/>
      <x:c r="K110" s="30" t="str">
        <x:v>Default No — no retained human paragraph-level label in the curated GPT Test</x:v>
      </x:c>
      <x:c r="L110" s="30"/>
      <x:c r="M110" s="40" t="str">
        <x:v>paragraph</x:v>
      </x:c>
      <x:c r="N110" s="40" t="str">
        <x:v>No</x:v>
      </x:c>
      <x:c r="O110" s="30"/>
      <x:c r="P110" s="30" t="str">
        <x:v>28:21:0;28:22:0;28:23:0;28:24:0;28:25:0;28:26:0</x:v>
      </x:c>
    </x:row>
    <x:row r="111" ht="45" customHeight="1">
      <x:c r="A111" s="30" t="str">
        <x:v>ERP-A110</x:v>
      </x:c>
      <x:c r="B111" s="30" t="str">
        <x:v>p 28</x:v>
      </x:c>
      <x:c r="C111" s="30" t="str">
        <x:v>In 1979, NOAA issued Technical Report NWS 23, “Meteorological Criteria for Standard Project Hurricane and Probable Maximum Hurricane Windfields, Gulf and East Coasts of the United States.” This report contained revised criteria for the SPH, incorporating the characteristics of more recent hurricanes, including Hurricane Betsy, which directly hit New Orleans. Report NWS 23 also contained revised criteria for the PMH.</x:v>
      </x:c>
      <x:c r="D111" s="30" t="str">
        <x:v>ERP Report</x:v>
      </x:c>
      <x:c r="E111" s="30" t="str">
        <x:v>erpreport.pdf</x:v>
      </x:c>
      <x:c r="F111" s="40" t="str">
        <x:v>No</x:v>
      </x:c>
      <x:c r="G111" s="40" t="n">
        <x:v>0</x:v>
      </x:c>
      <x:c r="H111" s="40" t="str">
        <x:v>Unlabeled</x:v>
      </x:c>
      <x:c r="I111" s="40"/>
      <x:c r="J111" s="40"/>
      <x:c r="K111" s="30" t="str">
        <x:v>Default No — no retained human paragraph-level label in the curated GPT Test</x:v>
      </x:c>
      <x:c r="L111" s="30"/>
      <x:c r="M111" s="40" t="str">
        <x:v>paragraph</x:v>
      </x:c>
      <x:c r="N111" s="40" t="str">
        <x:v>No</x:v>
      </x:c>
      <x:c r="O111" s="30"/>
      <x:c r="P111" s="30" t="str">
        <x:v>28:27:0;28:28:0;28:29:0;28:30:0;28:31:0;28:32:0</x:v>
      </x:c>
    </x:row>
    <x:row r="112" ht="45" customHeight="1">
      <x:c r="A112" s="30" t="str">
        <x:v>ERP-A111</x:v>
      </x:c>
      <x:c r="B112" s="30" t="str">
        <x:v>p 28</x:v>
      </x:c>
      <x:c r="C112" s="30" t="str">
        <x:v>The West Bank and Vicinity Hurricane Protection Project was designed and constructed after Report NWS 23 was issued. It does not appear that the USACE used the updated SPH criteria, however.</x:v>
      </x:c>
      <x:c r="D112" s="30" t="str">
        <x:v>ERP Report</x:v>
      </x:c>
      <x:c r="E112" s="30" t="str">
        <x:v>erpreport.pdf</x:v>
      </x:c>
      <x:c r="F112" s="40" t="str">
        <x:v>No</x:v>
      </x:c>
      <x:c r="G112" s="40" t="n">
        <x:v>0</x:v>
      </x:c>
      <x:c r="H112" s="40" t="str">
        <x:v>Unlabeled</x:v>
      </x:c>
      <x:c r="I112" s="40"/>
      <x:c r="J112" s="40"/>
      <x:c r="K112" s="30" t="str">
        <x:v>Default No — no retained human paragraph-level label in the curated GPT Test</x:v>
      </x:c>
      <x:c r="L112" s="30"/>
      <x:c r="M112" s="40" t="str">
        <x:v>paragraph</x:v>
      </x:c>
      <x:c r="N112" s="40" t="str">
        <x:v>No</x:v>
      </x:c>
      <x:c r="O112" s="30"/>
      <x:c r="P112" s="30" t="str">
        <x:v>28:33:0;28:34:0;28:35:0</x:v>
      </x:c>
    </x:row>
    <x:row r="113" ht="45" customHeight="1">
      <x:c r="A113" s="30" t="str">
        <x:v>ERP-A112</x:v>
      </x:c>
      <x:c r="B113" s="30" t="str">
        <x:v>p 28</x:v>
      </x:c>
      <x:c r="C113" s="30" t="str">
        <x:v>The USACE designed and built three types of flood protection structures in New Orleans’s hurricane protection system, as shown in Figure 4.5. Earthen levees comprised the majority of the system.</x:v>
      </x:c>
      <x:c r="D113" s="30" t="str">
        <x:v>ERP Report</x:v>
      </x:c>
      <x:c r="E113" s="30" t="str">
        <x:v>erpreport.pdf</x:v>
      </x:c>
      <x:c r="F113" s="40" t="str">
        <x:v>No</x:v>
      </x:c>
      <x:c r="G113" s="40" t="n">
        <x:v>0</x:v>
      </x:c>
      <x:c r="H113" s="40" t="str">
        <x:v>Unlabeled</x:v>
      </x:c>
      <x:c r="I113" s="40"/>
      <x:c r="J113" s="40"/>
      <x:c r="K113" s="30" t="str">
        <x:v>Default No — no retained human paragraph-level label in the curated GPT Test</x:v>
      </x:c>
      <x:c r="L113" s="30"/>
      <x:c r="M113" s="40" t="str">
        <x:v>paragraph</x:v>
      </x:c>
      <x:c r="N113" s="40" t="str">
        <x:v>No</x:v>
      </x:c>
      <x:c r="O113" s="30"/>
      <x:c r="P113" s="30" t="str">
        <x:v>28:37:0;28:38:0;28:39:0</x:v>
      </x:c>
    </x:row>
    <x:row r="114" ht="45" customHeight="1">
      <x:c r="A114" s="30" t="str">
        <x:v>ERP-A113</x:v>
      </x:c>
      <x:c r="B114" s="30" t="str">
        <x:v>p 29</x:v>
      </x:c>
      <x:c r="C114" s="30" t="str">
        <x:v>When an earthen levee is raised with additional earth fill, it can typically only be heightened by increasing the width at the base, as shown in Figure 4.6. In most urban areas of New Orleans, the land has been developed right up to the base of the levee. To raise and widen the levee would require private property to be purchased and buildings to be removed. Local opposition to such use of land is almost always considerable. A floodwall constructed in an existing levee allows the height of the levee to be raised without requiring the taking of adjacent property for levee expansion.</x:v>
      </x:c>
      <x:c r="D114" s="30" t="str">
        <x:v>ERP Report</x:v>
      </x:c>
      <x:c r="E114" s="30" t="str">
        <x:v>erpreport.pdf</x:v>
      </x:c>
      <x:c r="F114" s="40" t="str">
        <x:v>No</x:v>
      </x:c>
      <x:c r="G114" s="40" t="n">
        <x:v>0</x:v>
      </x:c>
      <x:c r="H114" s="40" t="str">
        <x:v>Unlabeled</x:v>
      </x:c>
      <x:c r="I114" s="40"/>
      <x:c r="J114" s="40"/>
      <x:c r="K114" s="30" t="str">
        <x:v>Default No — no retained human paragraph-level label in the curated GPT Test</x:v>
      </x:c>
      <x:c r="L114" s="30"/>
      <x:c r="M114" s="40" t="str">
        <x:v>paragraph</x:v>
      </x:c>
      <x:c r="N114" s="40" t="str">
        <x:v>No</x:v>
      </x:c>
      <x:c r="O114" s="30"/>
      <x:c r="P114" s="30" t="str">
        <x:v>29:5:0;29:6:0;29:6:1;29:7:0;29:8:0;29:9:0;29:10:0;29:11:0</x:v>
      </x:c>
    </x:row>
    <x:row r="115" ht="45" customHeight="1">
      <x:c r="A115" s="30" t="str">
        <x:v>ERP-A114</x:v>
      </x:c>
      <x:c r="B115" s="30" t="str">
        <x:v>p 30</x:v>
      </x:c>
      <x:c r="C115" s="30" t="str">
        <x:v>Some levee segments — particularly at gated closure structures where the levee alignment crosses roads or railroads — were constructed of T-walls instead of I-walls. T-walls are concrete structures shaped like an inverted T, supported on pre-cast pre-stressed concrete piles or steel H piles. Although T-walls are more robust than I-walls, they also cost much more to construct.</x:v>
      </x:c>
      <x:c r="D115" s="30" t="str">
        <x:v>ERP Report</x:v>
      </x:c>
      <x:c r="E115" s="30" t="str">
        <x:v>erpreport.pdf</x:v>
      </x:c>
      <x:c r="F115" s="40" t="str">
        <x:v>No</x:v>
      </x:c>
      <x:c r="G115" s="40" t="n">
        <x:v>0</x:v>
      </x:c>
      <x:c r="H115" s="40" t="str">
        <x:v>Unlabeled</x:v>
      </x:c>
      <x:c r="I115" s="40"/>
      <x:c r="J115" s="40"/>
      <x:c r="K115" s="30" t="str">
        <x:v>Default No — no retained human paragraph-level label in the curated GPT Test</x:v>
      </x:c>
      <x:c r="L115" s="30"/>
      <x:c r="M115" s="40" t="str">
        <x:v>paragraph</x:v>
      </x:c>
      <x:c r="N115" s="40" t="str">
        <x:v>No</x:v>
      </x:c>
      <x:c r="O115" s="30"/>
      <x:c r="P115" s="30" t="str">
        <x:v>30:1:0;30:2:0;30:3:0;30:4:0;30:5:0</x:v>
      </x:c>
    </x:row>
    <x:row r="116" ht="45" customHeight="1">
      <x:c r="A116" s="30" t="str">
        <x:v>ERP-A115</x:v>
      </x:c>
      <x:c r="B116" s="30" t="str">
        <x:v>p 30</x:v>
      </x:c>
      <x:c r="C116" s="30" t="str">
        <x:v>The USACE authorized, designed, and modeled flood control structures in southeast Louisiana relative to a water level reference datum (e.g., Mean Sea Level (MSL); local MSL). MSL was assigned an elevation of zero. However, the structures were constructed relative to a geodetic (land-based) vertical datum that was incorrectly assumed as being equivalent to, or constantly offset from, the water level datum. This resulted, in the case of the outfall canals, in structures built approximately 1 to 2 feet below the intended elevation.</x:v>
      </x:c>
      <x:c r="D116" s="30" t="str">
        <x:v>ERP Report</x:v>
      </x:c>
      <x:c r="E116" s="30" t="str">
        <x:v>erpreport.pdf</x:v>
      </x:c>
      <x:c r="F116" s="40" t="str">
        <x:v>No</x:v>
      </x:c>
      <x:c r="G116" s="40" t="n">
        <x:v>0</x:v>
      </x:c>
      <x:c r="H116" s="40" t="str">
        <x:v>Unlabeled</x:v>
      </x:c>
      <x:c r="I116" s="40"/>
      <x:c r="J116" s="40"/>
      <x:c r="K116" s="30" t="str">
        <x:v>Default No — no retained human paragraph-level label in the curated GPT Test</x:v>
      </x:c>
      <x:c r="L116" s="30"/>
      <x:c r="M116" s="40" t="str">
        <x:v>paragraph</x:v>
      </x:c>
      <x:c r="N116" s="40" t="str">
        <x:v>No</x:v>
      </x:c>
      <x:c r="O116" s="30"/>
      <x:c r="P116" s="30" t="str">
        <x:v>30:7:0;30:8:0;30:9:0;30:10:0;30:11:0;30:12:0;30:13:0</x:v>
      </x:c>
    </x:row>
    <x:row r="117" ht="45" customHeight="1">
      <x:c r="A117" s="30" t="str">
        <x:v>ERP-A116</x:v>
      </x:c>
      <x:c r="B117" s="30" t="str">
        <x:v>p 30</x:v>
      </x:c>
      <x:c r="C117" s="30" t="str">
        <x:v>Each of the hurricane protection projects was designed and constructed on a project-by-project basis over the course of many years as funding became available. At the time of Hurricane Katrina, segments of the levee system were not yet complete, or the top elevations had not been raised to the authorized protective levels. Furthermore, because of regional subsidence, the hurricane protection structures had subsided as well, so that their top elevations were lower than originally designed or constructed. The Industrial Canal structures, for example, are more than 2 feet below their intended design elevations, mostly from subsidence over the 35-year life of the project.</x:v>
      </x:c>
      <x:c r="D117" s="30" t="str">
        <x:v>ERP Report</x:v>
      </x:c>
      <x:c r="E117" s="30" t="str">
        <x:v>erpreport.pdf</x:v>
      </x:c>
      <x:c r="F117" s="40" t="str">
        <x:v>No</x:v>
      </x:c>
      <x:c r="G117" s="40" t="n">
        <x:v>0</x:v>
      </x:c>
      <x:c r="H117" s="40" t="str">
        <x:v>Unlabeled</x:v>
      </x:c>
      <x:c r="I117" s="40"/>
      <x:c r="J117" s="40"/>
      <x:c r="K117" s="30" t="str">
        <x:v>Default No — no retained human paragraph-level label in the curated GPT Test</x:v>
      </x:c>
      <x:c r="L117" s="30"/>
      <x:c r="M117" s="40" t="str">
        <x:v>paragraph</x:v>
      </x:c>
      <x:c r="N117" s="40" t="str">
        <x:v>No</x:v>
      </x:c>
      <x:c r="O117" s="30"/>
      <x:c r="P117" s="30" t="str">
        <x:v>30:14:0;30:15:0;30:16:0;30:17:0;30:18:0;30:19:0;30:20:0;30:21:0;30:22:0;30:23:0</x:v>
      </x:c>
    </x:row>
    <x:row r="118" ht="45" customHeight="1">
      <x:c r="A118" s="30" t="str">
        <x:v>ERP-A117</x:v>
      </x:c>
      <x:c r="B118" s="30" t="str">
        <x:v>p 30</x:v>
      </x:c>
      <x:c r="C118" s="30" t="str">
        <x:v>The average annual rainfall for the New Orleans area is 60 inches. Because much of New Orleans is below sea level (in effect, a series of large “bowls” surrounded by levees), nearly all runoff must be pumped out to prevent flooding. The interior drainage system was designed to remove stormwater runoff from rainfall events, not to remove water that enters the area from levee or floodwall overtopping or breaches.</x:v>
      </x:c>
      <x:c r="D118" s="30" t="str">
        <x:v>ERP Report</x:v>
      </x:c>
      <x:c r="E118" s="30" t="str">
        <x:v>erpreport.pdf</x:v>
      </x:c>
      <x:c r="F118" s="40" t="str">
        <x:v>No</x:v>
      </x:c>
      <x:c r="G118" s="40" t="n">
        <x:v>0</x:v>
      </x:c>
      <x:c r="H118" s="40" t="str">
        <x:v>Unlabeled</x:v>
      </x:c>
      <x:c r="I118" s="40"/>
      <x:c r="J118" s="40"/>
      <x:c r="K118" s="30" t="str">
        <x:v>Default No — no retained human paragraph-level label in the curated GPT Test</x:v>
      </x:c>
      <x:c r="L118" s="30"/>
      <x:c r="M118" s="40" t="str">
        <x:v>paragraph</x:v>
      </x:c>
      <x:c r="N118" s="40" t="str">
        <x:v>No</x:v>
      </x:c>
      <x:c r="O118" s="30"/>
      <x:c r="P118" s="30" t="str">
        <x:v>30:25:0;30:26:0;30:27:0;30:28:0;30:29:0;30:30:0</x:v>
      </x:c>
    </x:row>
    <x:row r="119" ht="45" customHeight="1">
      <x:c r="A119" s="30" t="str">
        <x:v>ERP-A118</x:v>
      </x:c>
      <x:c r="B119" s="30" t="str">
        <x:v>p 30</x:v>
      </x:c>
      <x:c r="C119" s="30" t="str">
        <x:v>New Orleans’s interior drainage system consists of overland flow, storm sewers, roadside ditches, collector ditches, interior canals, interior pump (lift) stations, outfall pump stations, and outfall canals -- all designed to work together to gather runoff and then pump it into Lake Pontchartrain, Lake Borgne, or other nearby bodies of water. In Orleans Parish, this water is pumped out via major canals such as the 17th Street, Orleans, and London Avenue Canals. In a few locations, the pump stations discharge directly into the Industrial Canal and Intracoastal Waterway.</x:v>
      </x:c>
      <x:c r="D119" s="30" t="str">
        <x:v>ERP Report</x:v>
      </x:c>
      <x:c r="E119" s="30" t="str">
        <x:v>erpreport.pdf</x:v>
      </x:c>
      <x:c r="F119" s="40" t="str">
        <x:v>No</x:v>
      </x:c>
      <x:c r="G119" s="40" t="n">
        <x:v>0</x:v>
      </x:c>
      <x:c r="H119" s="40" t="str">
        <x:v>Unlabeled</x:v>
      </x:c>
      <x:c r="I119" s="40"/>
      <x:c r="J119" s="40"/>
      <x:c r="K119" s="30" t="str">
        <x:v>Default No — no retained human paragraph-level label in the curated GPT Test</x:v>
      </x:c>
      <x:c r="L119" s="30"/>
      <x:c r="M119" s="40" t="str">
        <x:v>paragraph</x:v>
      </x:c>
      <x:c r="N119" s="40" t="str">
        <x:v>No</x:v>
      </x:c>
      <x:c r="O119" s="30"/>
      <x:c r="P119" s="30" t="str">
        <x:v>30:31:0;30:32:0;30:33:0;30:34:0;30:35:0;30:36:0;30:37:0;30:38:0</x:v>
      </x:c>
    </x:row>
    <x:row r="120" ht="45" customHeight="1">
      <x:c r="A120" s="30" t="str">
        <x:v>ERP-A119</x:v>
      </x:c>
      <x:c r="B120" s="30" t="str">
        <x:v>p 31</x:v>
      </x:c>
      <x:c r="C120" s="30" t="str">
        <x:v>New Orleans’s pumping system is one of the largest in the world. There are nearly 100 pumping stations in the greater New Orleans area. Some have been recently completed; others are approaching 100 years of age. Most of the pump stations appear to have been designed to handle flows from a 10-year, 24-hour storm, or around 9 inches of rainfall. For purposes of pump station design, each of the four parishes in the New Orleans area was divided into drainage subbasins. The basins usually follow natural topographical lines. They are often bordered by levees or ridges of relatively higher elevation.</x:v>
      </x:c>
      <x:c r="D120" s="30" t="str">
        <x:v>ERP Report</x:v>
      </x:c>
      <x:c r="E120" s="30" t="str">
        <x:v>erpreport.pdf</x:v>
      </x:c>
      <x:c r="F120" s="40" t="str">
        <x:v>No</x:v>
      </x:c>
      <x:c r="G120" s="40" t="n">
        <x:v>0</x:v>
      </x:c>
      <x:c r="H120" s="40" t="str">
        <x:v>Unlabeled</x:v>
      </x:c>
      <x:c r="I120" s="40"/>
      <x:c r="J120" s="40"/>
      <x:c r="K120" s="30" t="str">
        <x:v>Default No — no retained human paragraph-level label in the curated GPT Test</x:v>
      </x:c>
      <x:c r="L120" s="30"/>
      <x:c r="M120" s="40" t="str">
        <x:v>paragraph</x:v>
      </x:c>
      <x:c r="N120" s="40" t="str">
        <x:v>No</x:v>
      </x:c>
      <x:c r="O120" s="30"/>
      <x:c r="P120" s="30" t="str">
        <x:v>31:1:0;31:2:0;31:3:0;31:4:0;31:5:0;31:6:0;31:7:0;31:8:0</x:v>
      </x:c>
    </x:row>
    <x:row r="121" ht="45" customHeight="1">
      <x:c r="A121" s="30" t="str">
        <x:v>ERP-A120</x:v>
      </x:c>
      <x:c r="B121" s="30" t="str">
        <x:v>p 31</x:v>
      </x:c>
      <x:c r="C121" s="30" t="str">
        <x:v>Operational power is provided by various means. Some stations use pumps directly connected to diesel engines. For many stations, power is normally provided by the electrical grid, with back-up diesel generators or direct-drive diesel engines available when the electrical grid is out of service. Some of the older stations use 25 Hertz (Hz) power provided by a central generating plant to run the pumps. These stations use frequency changers to change 25 Hz power to 60 Hz power for the operation of their station service system.</x:v>
      </x:c>
      <x:c r="D121" s="30" t="str">
        <x:v>ERP Report</x:v>
      </x:c>
      <x:c r="E121" s="30" t="str">
        <x:v>erpreport.pdf</x:v>
      </x:c>
      <x:c r="F121" s="40" t="str">
        <x:v>No</x:v>
      </x:c>
      <x:c r="G121" s="40" t="n">
        <x:v>0</x:v>
      </x:c>
      <x:c r="H121" s="40" t="str">
        <x:v>Unlabeled</x:v>
      </x:c>
      <x:c r="I121" s="40"/>
      <x:c r="J121" s="40"/>
      <x:c r="K121" s="30" t="str">
        <x:v>Default No — no retained human paragraph-level label in the curated GPT Test</x:v>
      </x:c>
      <x:c r="L121" s="30"/>
      <x:c r="M121" s="40" t="str">
        <x:v>paragraph</x:v>
      </x:c>
      <x:c r="N121" s="40" t="str">
        <x:v>No</x:v>
      </x:c>
      <x:c r="O121" s="30"/>
      <x:c r="P121" s="30" t="str">
        <x:v>31:9:0;31:10:0;31:11:0;31:12:0;31:13:0;31:14:0;31:15:0;31:16:0</x:v>
      </x:c>
    </x:row>
    <x:row r="122" ht="45" customHeight="1">
      <x:c r="A122" s="30" t="str">
        <x:v>ERP-A121</x:v>
      </x:c>
      <x:c r="B122" s="30" t="str">
        <x:v>p 33</x:v>
      </x:c>
      <x:c r="C122" s="30" t="str">
        <x:v>The Lake Pontchartrain and Vicinity Hurricane Protection Project system experienced the worst damage during and after Hurricane Katrina and resulted in the most serious consequences to the city and people of New Orleans. The massive, destructive flooding of New Orleans was caused by ruptures at approximately 50 locations in the city’s hurricane protection system. Of the 284 miles of federal levees and floodwalls — there are approximately 350 miles in total — 169 miles were damaged.</x:v>
      </x:c>
      <x:c r="D122" s="30" t="str">
        <x:v>ERP Report</x:v>
      </x:c>
      <x:c r="E122" s="30" t="str">
        <x:v>erpreport.pdf</x:v>
      </x:c>
      <x:c r="F122" s="40" t="str">
        <x:v>No</x:v>
      </x:c>
      <x:c r="G122" s="40" t="n">
        <x:v>0</x:v>
      </x:c>
      <x:c r="H122" s="40" t="str">
        <x:v>Unlabeled</x:v>
      </x:c>
      <x:c r="I122" s="40"/>
      <x:c r="J122" s="40"/>
      <x:c r="K122" s="30" t="str">
        <x:v>Default No — no retained human paragraph-level label in the curated GPT Test</x:v>
      </x:c>
      <x:c r="L122" s="30"/>
      <x:c r="M122" s="40" t="str">
        <x:v>paragraph</x:v>
      </x:c>
      <x:c r="N122" s="40" t="str">
        <x:v>No</x:v>
      </x:c>
      <x:c r="O122" s="30"/>
      <x:c r="P122" s="30" t="str">
        <x:v>33:3:0;33:4:0;33:5:0;33:6:0;33:7:0;33:8:0;33:9:0</x:v>
      </x:c>
    </x:row>
    <x:row r="123" ht="45" customHeight="1">
      <x:c r="A123" s="30" t="str">
        <x:v>ERP-A122</x:v>
      </x:c>
      <x:c r="B123" s="30" t="str">
        <x:v>p 33</x:v>
      </x:c>
      <x:c r="C123" s="30" t="str">
        <x:v>Levees in the USACE’s New Orleans to Venice Hurricane Protection Project sustained significant damage caused by powerful flood waters overtopping and breaching the levees.</x:v>
      </x:c>
      <x:c r="D123" s="30" t="str">
        <x:v>ERP Report</x:v>
      </x:c>
      <x:c r="E123" s="30" t="str">
        <x:v>erpreport.pdf</x:v>
      </x:c>
      <x:c r="F123" s="40" t="str">
        <x:v>No</x:v>
      </x:c>
      <x:c r="G123" s="40" t="n">
        <x:v>0</x:v>
      </x:c>
      <x:c r="H123" s="40" t="str">
        <x:v>Unlabeled</x:v>
      </x:c>
      <x:c r="I123" s="40"/>
      <x:c r="J123" s="40"/>
      <x:c r="K123" s="30" t="str">
        <x:v>Default No — no retained human paragraph-level label in the curated GPT Test</x:v>
      </x:c>
      <x:c r="L123" s="30"/>
      <x:c r="M123" s="40" t="str">
        <x:v>paragraph</x:v>
      </x:c>
      <x:c r="N123" s="40" t="str">
        <x:v>No</x:v>
      </x:c>
      <x:c r="O123" s="30"/>
      <x:c r="P123" s="30" t="str">
        <x:v>33:10:0;33:11:0;33:12:0</x:v>
      </x:c>
    </x:row>
    <x:row r="124" ht="45" customHeight="1">
      <x:c r="A124" s="30" t="str">
        <x:v>ERP-A123</x:v>
      </x:c>
      <x:c r="B124" s="30" t="str">
        <x:v>p 33</x:v>
      </x:c>
      <x:c r="C124" s="30" t="str">
        <x:v>The levees in the USACE’s West Bank and Vicinity Hurricane Protection Project experienced the least amount of damage.</x:v>
      </x:c>
      <x:c r="D124" s="30" t="str">
        <x:v>ERP Report</x:v>
      </x:c>
      <x:c r="E124" s="30" t="str">
        <x:v>erpreport.pdf</x:v>
      </x:c>
      <x:c r="F124" s="40" t="str">
        <x:v>No</x:v>
      </x:c>
      <x:c r="G124" s="40" t="n">
        <x:v>0</x:v>
      </x:c>
      <x:c r="H124" s="40" t="str">
        <x:v>Unlabeled</x:v>
      </x:c>
      <x:c r="I124" s="40"/>
      <x:c r="J124" s="40"/>
      <x:c r="K124" s="30" t="str">
        <x:v>Default No — no retained human paragraph-level label in the curated GPT Test</x:v>
      </x:c>
      <x:c r="L124" s="30"/>
      <x:c r="M124" s="40" t="str">
        <x:v>paragraph</x:v>
      </x:c>
      <x:c r="N124" s="40" t="str">
        <x:v>No</x:v>
      </x:c>
      <x:c r="O124" s="30"/>
      <x:c r="P124" s="30" t="str">
        <x:v>33:13:0;33:14:0</x:v>
      </x:c>
    </x:row>
    <x:row r="125" ht="45" customHeight="1">
      <x:c r="A125" s="30" t="str">
        <x:v>ERP-A124</x:v>
      </x:c>
      <x:c r="B125" s="30" t="str">
        <x:v>p 33</x:v>
      </x:c>
      <x:c r="C125" s="30" t="str">
        <x:v>Even before Hurricane Katrina made landfall, storm surge energized by the storm’s outer bands began to creep into low-lying areas around Lake Borgne. Before dawn on August 29, rising water levels reached the Industrial Canal. Waves, in conjunction with high storm surge, overtopped and eroded the Mississippi River-Gulf Outlet levees (Figure 5.1) and flooded portions of St. Bernard Parish.</x:v>
      </x:c>
      <x:c r="D125" s="30" t="str">
        <x:v>ERP Report</x:v>
      </x:c>
      <x:c r="E125" s="30" t="str">
        <x:v>erpreport.pdf</x:v>
      </x:c>
      <x:c r="F125" s="40" t="str">
        <x:v>No</x:v>
      </x:c>
      <x:c r="G125" s="40" t="n">
        <x:v>0</x:v>
      </x:c>
      <x:c r="H125" s="40" t="str">
        <x:v>Unlabeled</x:v>
      </x:c>
      <x:c r="I125" s="40"/>
      <x:c r="J125" s="40"/>
      <x:c r="K125" s="30" t="str">
        <x:v>Default No — no retained human paragraph-level label in the curated GPT Test</x:v>
      </x:c>
      <x:c r="L125" s="30"/>
      <x:c r="M125" s="40" t="str">
        <x:v>paragraph</x:v>
      </x:c>
      <x:c r="N125" s="40" t="str">
        <x:v>No</x:v>
      </x:c>
      <x:c r="O125" s="30"/>
      <x:c r="P125" s="30" t="str">
        <x:v>33:16:0;33:17:0;33:18:0;33:19:0;33:20:0;33:21:0</x:v>
      </x:c>
    </x:row>
    <x:row r="126" ht="45" customHeight="1">
      <x:c r="A126" s="30" t="str">
        <x:v>ERP-A125</x:v>
      </x:c>
      <x:c r="B126" s="30" t="str">
        <x:v>p 34</x:v>
      </x:c>
      <x:c r="C126" s="30" t="str">
        <x:v>At 6:10am, Hurricane Katrina made landfall at Buras, east of New Orleans, and storm surge flooded most of Plaquemines Parish (Figure 5.2). Strong east-west winds built up a significant surge level at the Intracoastal Waterway. By 6:30am, levees lining the south side of the New Orleans East neighborhood were overtopped and breached, flooding the area. Within an hour of the hurricane’s landfall, wind-generated waves reached heights of at least 4 feet in the Industrial Canal, causing overtopping into portions of the Gentilly and Bywater neighborhoods.</x:v>
      </x:c>
      <x:c r="D126" s="30" t="str">
        <x:v>ERP Report</x:v>
      </x:c>
      <x:c r="E126" s="30" t="str">
        <x:v>erpreport.pdf</x:v>
      </x:c>
      <x:c r="F126" s="40" t="str">
        <x:v>No</x:v>
      </x:c>
      <x:c r="G126" s="40" t="n">
        <x:v>0</x:v>
      </x:c>
      <x:c r="H126" s="40" t="str">
        <x:v>Unlabeled</x:v>
      </x:c>
      <x:c r="I126" s="40"/>
      <x:c r="J126" s="40"/>
      <x:c r="K126" s="30" t="str">
        <x:v>Default No — no retained human paragraph-level label in the curated GPT Test</x:v>
      </x:c>
      <x:c r="L126" s="30"/>
      <x:c r="M126" s="40" t="str">
        <x:v>paragraph</x:v>
      </x:c>
      <x:c r="N126" s="40" t="str">
        <x:v>No</x:v>
      </x:c>
      <x:c r="O126" s="30"/>
      <x:c r="P126" s="30" t="str">
        <x:v>34:1:0;34:2:0;34:3:0;34:4:0;34:5:0;34:6:0;34:7:0;34:8:0</x:v>
      </x:c>
    </x:row>
    <x:row r="127" ht="45" customHeight="1">
      <x:c r="A127" s="30" t="str">
        <x:v>ERP-A126</x:v>
      </x:c>
      <x:c r="B127" s="30" t="str">
        <x:v>p 35</x:v>
      </x:c>
      <x:c r="C127" s="30" t="str">
        <x:v>Before and during Hurricane Katrina’s landfall, ruptures (or breaches) in four I-walls developed (Figure 5.3) —all before water levels in the adjacent canals overtopped them.</x:v>
      </x:c>
      <x:c r="D127" s="30" t="str">
        <x:v>ERP Report</x:v>
      </x:c>
      <x:c r="E127" s="30" t="str">
        <x:v>erpreport.pdf</x:v>
      </x:c>
      <x:c r="F127" s="40" t="str">
        <x:v>No</x:v>
      </x:c>
      <x:c r="G127" s="40" t="n">
        <x:v>0</x:v>
      </x:c>
      <x:c r="H127" s="40" t="str">
        <x:v>Unlabeled</x:v>
      </x:c>
      <x:c r="I127" s="40"/>
      <x:c r="J127" s="40"/>
      <x:c r="K127" s="30" t="str">
        <x:v>Default No — no retained human paragraph-level label in the curated GPT Test</x:v>
      </x:c>
      <x:c r="L127" s="30"/>
      <x:c r="M127" s="40" t="str">
        <x:v>paragraph</x:v>
      </x:c>
      <x:c r="N127" s="40" t="str">
        <x:v>No</x:v>
      </x:c>
      <x:c r="O127" s="30"/>
      <x:c r="P127" s="30" t="str">
        <x:v>35:2:0;35:3:0;35:4:0</x:v>
      </x:c>
    </x:row>
    <x:row r="128" ht="45" customHeight="1">
      <x:c r="A128" s="30" t="str">
        <x:v>ERP-A127</x:v>
      </x:c>
      <x:c r="B128" s="30" t="str">
        <x:v>p 35</x:v>
      </x:c>
      <x:c r="C128" s="30" t="str">
        <x:v>At about 5am, a breach in the east bank of the Industrial Canal I‐wall contributed the first flow of floodwaters to the Lower Ninth Ward in St. Bernard Parish. At about 6:30am, a breach was observed in the I-wall on the Orleans Parish side of the 17th Street Canal, which flooded a portion of Lakeview.</x:v>
      </x:c>
      <x:c r="D128" s="30" t="str">
        <x:v>ERP Report</x:v>
      </x:c>
      <x:c r="E128" s="30" t="str">
        <x:v>erpreport.pdf</x:v>
      </x:c>
      <x:c r="F128" s="40" t="str">
        <x:v>No</x:v>
      </x:c>
      <x:c r="G128" s="40" t="n">
        <x:v>0</x:v>
      </x:c>
      <x:c r="H128" s="40" t="str">
        <x:v>Unlabeled</x:v>
      </x:c>
      <x:c r="I128" s="40"/>
      <x:c r="J128" s="40"/>
      <x:c r="K128" s="30" t="str">
        <x:v>Default No — no retained human paragraph-level label in the curated GPT Test</x:v>
      </x:c>
      <x:c r="L128" s="30"/>
      <x:c r="M128" s="40" t="str">
        <x:v>paragraph</x:v>
      </x:c>
      <x:c r="N128" s="40" t="str">
        <x:v>No</x:v>
      </x:c>
      <x:c r="O128" s="30"/>
      <x:c r="P128" s="30" t="str">
        <x:v>35:8:0;35:9:0;35:10:0;35:11:0;35:12:0</x:v>
      </x:c>
    </x:row>
    <x:row r="129" ht="45" customHeight="1">
      <x:c r="A129" s="30" t="str">
        <x:v>ERP-A128</x:v>
      </x:c>
      <x:c r="B129" s="30" t="str">
        <x:v>p 35</x:v>
      </x:c>
      <x:c r="C129" s="30" t="str">
        <x:v>At about 7:00am, a breach occurred in a London Avenue Canal I‐wall near Mirabeau Avenue in Gentilly (South Breach). About an hour later, a second breach occurred on the London Avenue Canal near Robert E. Lee Boulevard (North Breach).</x:v>
      </x:c>
      <x:c r="D129" s="30" t="str">
        <x:v>ERP Report</x:v>
      </x:c>
      <x:c r="E129" s="30" t="str">
        <x:v>erpreport.pdf</x:v>
      </x:c>
      <x:c r="F129" s="40" t="str">
        <x:v>No</x:v>
      </x:c>
      <x:c r="G129" s="40" t="n">
        <x:v>0</x:v>
      </x:c>
      <x:c r="H129" s="40" t="str">
        <x:v>Unlabeled</x:v>
      </x:c>
      <x:c r="I129" s="40"/>
      <x:c r="J129" s="40"/>
      <x:c r="K129" s="30" t="str">
        <x:v>Default No — no retained human paragraph-level label in the curated GPT Test</x:v>
      </x:c>
      <x:c r="L129" s="30"/>
      <x:c r="M129" s="40" t="str">
        <x:v>paragraph</x:v>
      </x:c>
      <x:c r="N129" s="40" t="str">
        <x:v>No</x:v>
      </x:c>
      <x:c r="O129" s="30"/>
      <x:c r="P129" s="30" t="str">
        <x:v>35:13:0;35:14:0;35:15:0;35:16:0</x:v>
      </x:c>
    </x:row>
    <x:row r="130" ht="45" customHeight="1">
      <x:c r="A130" s="30" t="str">
        <x:v>ERP-A129</x:v>
      </x:c>
      <x:c r="B130" s="30" t="str">
        <x:v>p 36</x:v>
      </x:c>
      <x:c r="C130" s="30" t="str">
        <x:v>Within a few hours of the initial breach observed at the Industrial Canal, rising water in the canal overtopped and eroded levees. Torrents of water rushed into city streets. Multiple levee failures inundated some neighborhoods from several sides with such speed that houses filled to their rooftops in minutes (Figure 5.4). In other areas, the rise of water was slower, but constant, filling homes at a rate of 1 foot every 10 minutes. On the west side of the Industrial Canal, I-wall failures allowed water to flood into the Upper Ninth Ward, Bywater, and Tremé neighborhoods. Another large floodwall breach on the east side of the Industrial Canal quickly flooded the Lower Ninth Ward in what witnesses describe as a “wall of water.” Floodwaters from this break (shown in Figure 5.5) reached other neighborhoods of St. Bernard Parish including Arabi and Chalmette.</x:v>
      </x:c>
      <x:c r="D130" s="30" t="str">
        <x:v>ERP Report</x:v>
      </x:c>
      <x:c r="E130" s="30" t="str">
        <x:v>erpreport.pdf</x:v>
      </x:c>
      <x:c r="F130" s="40" t="str">
        <x:v>No</x:v>
      </x:c>
      <x:c r="G130" s="40" t="n">
        <x:v>0</x:v>
      </x:c>
      <x:c r="H130" s="40" t="str">
        <x:v>Unlabeled</x:v>
      </x:c>
      <x:c r="I130" s="40"/>
      <x:c r="J130" s="40"/>
      <x:c r="K130" s="30" t="str">
        <x:v>Default No — no retained human paragraph-level label in the curated GPT Test</x:v>
      </x:c>
      <x:c r="L130" s="30"/>
      <x:c r="M130" s="40" t="str">
        <x:v>paragraph</x:v>
      </x:c>
      <x:c r="N130" s="40" t="str">
        <x:v>No</x:v>
      </x:c>
      <x:c r="O130" s="30"/>
      <x:c r="P130" s="30" t="str">
        <x:v>36:2:0;36:3:0;36:4:0;36:5:0;36:5:1;36:6:0;36:7:0;36:8:0;36:9:0;36:10:0;36:11:0;36:12:0</x:v>
      </x:c>
    </x:row>
    <x:row r="131" ht="45" customHeight="1">
      <x:c r="A131" s="30" t="str">
        <x:v>ERP-A130</x:v>
      </x:c>
      <x:c r="B131" s="30" t="str">
        <x:v>p 36</x:v>
      </x:c>
      <x:c r="C131" s="30" t="str">
        <x:v>As the hurricane moved north, flooding in St. Bernard Parish was compounded by storm surge overtopping the Forty Arpent Canal levee and filling the balance of the parish. Storm surge from Lake Pontchartrain added to floodwaters already filling New Orleans East. Storm surge also overtopped an embankment at the foot of the Orleans Canal and flooded the City Park neighborhood.</x:v>
      </x:c>
      <x:c r="D131" s="30" t="str">
        <x:v>ERP Report</x:v>
      </x:c>
      <x:c r="E131" s="30" t="str">
        <x:v>erpreport.pdf</x:v>
      </x:c>
      <x:c r="F131" s="40" t="str">
        <x:v>No</x:v>
      </x:c>
      <x:c r="G131" s="40" t="n">
        <x:v>0</x:v>
      </x:c>
      <x:c r="H131" s="40" t="str">
        <x:v>Unlabeled</x:v>
      </x:c>
      <x:c r="I131" s="40"/>
      <x:c r="J131" s="40"/>
      <x:c r="K131" s="30" t="str">
        <x:v>Default No — no retained human paragraph-level label in the curated GPT Test</x:v>
      </x:c>
      <x:c r="L131" s="30"/>
      <x:c r="M131" s="40" t="str">
        <x:v>paragraph</x:v>
      </x:c>
      <x:c r="N131" s="40" t="str">
        <x:v>No</x:v>
      </x:c>
      <x:c r="O131" s="30"/>
      <x:c r="P131" s="30" t="str">
        <x:v>36:13:0;36:14:0;36:15:0;36:16:0;36:17:0;36:18:0</x:v>
      </x:c>
    </x:row>
    <x:row r="132" ht="45" customHeight="1">
      <x:c r="A132" s="30" t="str">
        <x:v>ERP-A131</x:v>
      </x:c>
      <x:c r="B132" s="30" t="str">
        <x:v>p 36</x:v>
      </x:c>
      <x:c r="C132" s="30" t="str">
        <x:v>By 8:30am the breach at the London Avenue Canal (Figure 5.6) created a rush of water and sand into the already-flooded Gentilly area. Soon afterward, a floodwall failed at the 17th Street Canal, releasing a massive wave of water into Lakeview (Figure 5.7).</x:v>
      </x:c>
      <x:c r="D132" s="30" t="str">
        <x:v>ERP Report</x:v>
      </x:c>
      <x:c r="E132" s="30" t="str">
        <x:v>erpreport.pdf</x:v>
      </x:c>
      <x:c r="F132" s="40" t="str">
        <x:v>No</x:v>
      </x:c>
      <x:c r="G132" s="40" t="n">
        <x:v>0</x:v>
      </x:c>
      <x:c r="H132" s="40" t="str">
        <x:v>Unlabeled</x:v>
      </x:c>
      <x:c r="I132" s="40"/>
      <x:c r="J132" s="40"/>
      <x:c r="K132" s="30" t="str">
        <x:v>Default No — no retained human paragraph-level label in the curated GPT Test</x:v>
      </x:c>
      <x:c r="L132" s="30"/>
      <x:c r="M132" s="40" t="str">
        <x:v>paragraph</x:v>
      </x:c>
      <x:c r="N132" s="40" t="str">
        <x:v>No</x:v>
      </x:c>
      <x:c r="O132" s="30"/>
      <x:c r="P132" s="30" t="str">
        <x:v>36:19:0;36:20:0;36:21:0;36:22:0</x:v>
      </x:c>
    </x:row>
    <x:row r="133" ht="45" customHeight="1">
      <x:c r="A133" s="30" t="str">
        <x:v>ERP-A132</x:v>
      </x:c>
      <x:c r="B133" s="30" t="str">
        <x:v>p 39</x:v>
      </x:c>
      <x:c r="C133" s="30" t="str">
        <x:v>Water from the 17th Street Canal’s 450-foot long breach eventually filled New Orleans as far south as Mid-City and west to Old Metairie. Citywide flooding was further compounded by another I-wall failure on the west side of the London Avenue Canal (Figure 5.8).</x:v>
      </x:c>
      <x:c r="D133" s="30" t="str">
        <x:v>ERP Report</x:v>
      </x:c>
      <x:c r="E133" s="30" t="str">
        <x:v>erpreport.pdf</x:v>
      </x:c>
      <x:c r="F133" s="40" t="str">
        <x:v>No</x:v>
      </x:c>
      <x:c r="G133" s="40" t="n">
        <x:v>0</x:v>
      </x:c>
      <x:c r="H133" s="40" t="str">
        <x:v>Unlabeled</x:v>
      </x:c>
      <x:c r="I133" s="40"/>
      <x:c r="J133" s="40"/>
      <x:c r="K133" s="30" t="str">
        <x:v>Default No — no retained human paragraph-level label in the curated GPT Test</x:v>
      </x:c>
      <x:c r="L133" s="30"/>
      <x:c r="M133" s="40" t="str">
        <x:v>paragraph</x:v>
      </x:c>
      <x:c r="N133" s="40" t="str">
        <x:v>No</x:v>
      </x:c>
      <x:c r="O133" s="30"/>
      <x:c r="P133" s="30" t="str">
        <x:v>39:1:0;39:2:0;39:3:0;39:4:0</x:v>
      </x:c>
    </x:row>
    <x:row r="134" ht="45" customHeight="1">
      <x:c r="A134" s="30" t="str">
        <x:v>ERP-A133</x:v>
      </x:c>
      <x:c r="B134" s="30" t="str">
        <x:v>p 39</x:v>
      </x:c>
      <x:c r="C134" s="30" t="str">
        <x:v>By the time the most significant I-wall failures had occurred, the peak of the surge levels was over. Though surge levels in the Gulf and in Lake Pontchartrain dropped, water continued to pour through the many damaged levees and floodwalls. This flooding continued until water in the city’s bowlshaped landscape equalized with the water level in Lake Pontchartrain.</x:v>
      </x:c>
      <x:c r="D134" s="30" t="str">
        <x:v>ERP Report</x:v>
      </x:c>
      <x:c r="E134" s="30" t="str">
        <x:v>erpreport.pdf</x:v>
      </x:c>
      <x:c r="F134" s="40" t="str">
        <x:v>No</x:v>
      </x:c>
      <x:c r="G134" s="40" t="n">
        <x:v>0</x:v>
      </x:c>
      <x:c r="H134" s="40" t="str">
        <x:v>Unlabeled</x:v>
      </x:c>
      <x:c r="I134" s="40"/>
      <x:c r="J134" s="40"/>
      <x:c r="K134" s="30" t="str">
        <x:v>Default No — no retained human paragraph-level label in the curated GPT Test</x:v>
      </x:c>
      <x:c r="L134" s="30"/>
      <x:c r="M134" s="40" t="str">
        <x:v>paragraph</x:v>
      </x:c>
      <x:c r="N134" s="40" t="str">
        <x:v>No</x:v>
      </x:c>
      <x:c r="O134" s="30"/>
      <x:c r="P134" s="30" t="str">
        <x:v>39:6:0;39:7:0;39:8:0;39:9:0;39:10:0</x:v>
      </x:c>
    </x:row>
    <x:row r="135" ht="45" customHeight="1">
      <x:c r="A135" s="30" t="str">
        <x:v>ERP-A134</x:v>
      </x:c>
      <x:c r="B135" s="30" t="str">
        <x:v>p 39</x:v>
      </x:c>
      <x:c r="C135" s="30" t="str">
        <x:v>By September 1, over 80 percent of the New Orleans metropolitan area was flooded as shown in Figures 5.9 and 5.10, with approximately two-thirds of the flooding attributed to water flowing through breaches. The remainder was attributed to overtopping and significant rain from the hurricane.</x:v>
      </x:c>
      <x:c r="D135" s="30" t="str">
        <x:v>ERP Report</x:v>
      </x:c>
      <x:c r="E135" s="30" t="str">
        <x:v>erpreport.pdf</x:v>
      </x:c>
      <x:c r="F135" s="40" t="str">
        <x:v>No</x:v>
      </x:c>
      <x:c r="G135" s="40" t="n">
        <x:v>0</x:v>
      </x:c>
      <x:c r="H135" s="40" t="str">
        <x:v>Unlabeled</x:v>
      </x:c>
      <x:c r="I135" s="40"/>
      <x:c r="J135" s="40"/>
      <x:c r="K135" s="30" t="str">
        <x:v>Default No — no retained human paragraph-level label in the curated GPT Test</x:v>
      </x:c>
      <x:c r="L135" s="30"/>
      <x:c r="M135" s="40" t="str">
        <x:v>paragraph</x:v>
      </x:c>
      <x:c r="N135" s="40" t="str">
        <x:v>No</x:v>
      </x:c>
      <x:c r="O135" s="30"/>
      <x:c r="P135" s="30" t="str">
        <x:v>39:11:0;39:12:0;39:13:0;39:14:0</x:v>
      </x:c>
    </x:row>
    <x:row r="136" ht="45" customHeight="1">
      <x:c r="A136" s="30" t="str">
        <x:v>ERP-A135</x:v>
      </x:c>
      <x:c r="B136" s="30" t="str">
        <x:v>p 40</x:v>
      </x:c>
      <x:c r="C136" s="30" t="str">
        <x:v>During and after Hurricane Katrina, area pump stations could offer no relief to the flooding city because they were, themselves, left inaccessible and inoperable by the hurricane protection system failures. Figure 5.11 shows one of the area’s largest pump stations, Station No. 6, submerged in floodwaters.</x:v>
      </x:c>
      <x:c r="D136" s="30" t="str">
        <x:v>ERP Report</x:v>
      </x:c>
      <x:c r="E136" s="30" t="str">
        <x:v>erpreport.pdf</x:v>
      </x:c>
      <x:c r="F136" s="40" t="str">
        <x:v>No</x:v>
      </x:c>
      <x:c r="G136" s="40" t="n">
        <x:v>0</x:v>
      </x:c>
      <x:c r="H136" s="40" t="str">
        <x:v>Unlabeled</x:v>
      </x:c>
      <x:c r="I136" s="40"/>
      <x:c r="J136" s="40"/>
      <x:c r="K136" s="30" t="str">
        <x:v>Default No — no retained human paragraph-level label in the curated GPT Test</x:v>
      </x:c>
      <x:c r="L136" s="30"/>
      <x:c r="M136" s="40" t="str">
        <x:v>paragraph</x:v>
      </x:c>
      <x:c r="N136" s="40" t="str">
        <x:v>No</x:v>
      </x:c>
      <x:c r="O136" s="30"/>
      <x:c r="P136" s="30" t="str">
        <x:v>40:7:0;40:8:0;40:9:0;40:10:0;40:11:0</x:v>
      </x:c>
    </x:row>
    <x:row r="137" ht="45" customHeight="1">
      <x:c r="A137" s="30" t="str">
        <x:v>ERP-A136</x:v>
      </x:c>
      <x:c r="B137" s="30" t="str">
        <x:v>p 41</x:v>
      </x:c>
      <x:c r="C137" s="30" t="str">
        <x:v>The people who found themselves in New Orleans on the morning of August 29, 2005, not only witnessed history, they became a part of it. After many grueling days, survivors joined those who had evacuated before the storm in the largest mass migration in the United States since the Civil War. In the following weeks, receding floodwaters revealed billions of dollars in personal, public, and commercial property losses. With this massive property damage came the loss of 124,000 jobs.</x:v>
      </x:c>
      <x:c r="D137" s="30" t="str">
        <x:v>ERP Report</x:v>
      </x:c>
      <x:c r="E137" s="30" t="str">
        <x:v>erpreport.pdf</x:v>
      </x:c>
      <x:c r="F137" s="40" t="str">
        <x:v>No</x:v>
      </x:c>
      <x:c r="G137" s="40" t="n">
        <x:v>0</x:v>
      </x:c>
      <x:c r="H137" s="40" t="str">
        <x:v>Unlabeled</x:v>
      </x:c>
      <x:c r="I137" s="40"/>
      <x:c r="J137" s="40"/>
      <x:c r="K137" s="30" t="str">
        <x:v>Default No — no retained human paragraph-level label in the curated GPT Test</x:v>
      </x:c>
      <x:c r="L137" s="30"/>
      <x:c r="M137" s="40" t="str">
        <x:v>paragraph</x:v>
      </x:c>
      <x:c r="N137" s="40" t="str">
        <x:v>No</x:v>
      </x:c>
      <x:c r="O137" s="30"/>
      <x:c r="P137" s="30" t="str">
        <x:v>41:3:0;41:4:0;41:5:0;41:6:0;41:7:0;41:8:0;41:9:0</x:v>
      </x:c>
    </x:row>
    <x:row r="138" ht="45" customHeight="1">
      <x:c r="A138" s="30" t="str">
        <x:v>ERP-A137</x:v>
      </x:c>
      <x:c r="B138" s="30" t="str">
        <x:v>p 41</x:v>
      </x:c>
      <x:c r="C138" s="30" t="str">
        <x:v>More than a year and a half later, areas of New Orleans remain, in a practical sense, nearly unlivable. While many historic sites of the French Quarter and Garden District were, for the most part, spared, elements of every day life have been reduced to the bare minimum. Many homes are uninhabitable. Others, overrun with mold, require major repairs. Small businesses and restaurants remain shuttered, their proprietors unable to afford repairs or find housing for workers due to the dramatic loss of residential property. Medical care systems are compromised.</x:v>
      </x:c>
      <x:c r="D138" s="30" t="str">
        <x:v>ERP Report</x:v>
      </x:c>
      <x:c r="E138" s="30" t="str">
        <x:v>erpreport.pdf</x:v>
      </x:c>
      <x:c r="F138" s="40" t="str">
        <x:v>No</x:v>
      </x:c>
      <x:c r="G138" s="40" t="n">
        <x:v>0</x:v>
      </x:c>
      <x:c r="H138" s="40" t="str">
        <x:v>Unlabeled</x:v>
      </x:c>
      <x:c r="I138" s="40"/>
      <x:c r="J138" s="40"/>
      <x:c r="K138" s="30" t="str">
        <x:v>Default No — no retained human paragraph-level label in the curated GPT Test</x:v>
      </x:c>
      <x:c r="L138" s="30"/>
      <x:c r="M138" s="40" t="str">
        <x:v>paragraph</x:v>
      </x:c>
      <x:c r="N138" s="40" t="str">
        <x:v>No</x:v>
      </x:c>
      <x:c r="O138" s="30"/>
      <x:c r="P138" s="30" t="str">
        <x:v>41:10:0;41:11:0;41:12:0;41:13:0;41:14:0;41:15:0;41:16:0;41:17:0</x:v>
      </x:c>
    </x:row>
    <x:row r="139" ht="45" customHeight="1">
      <x:c r="A139" s="30" t="str">
        <x:v>ERP-A138</x:v>
      </x:c>
      <x:c r="B139" s="30" t="str">
        <x:v>p 41</x:v>
      </x:c>
      <x:c r="C139" s="30" t="str">
        <x:v>These losses, and the loss of people who will never return to New Orleans, bring further gaps in the city’s economy as well as to its unique social and cultural foundation. As of August 2, 2006, 1,118 people were confirmed dead and 135 people are still missing and presumed dead, marking the grimmest consequence of the hurricane protection system failure.</x:v>
      </x:c>
      <x:c r="D139" s="30" t="str">
        <x:v>ERP Report</x:v>
      </x:c>
      <x:c r="E139" s="30" t="str">
        <x:v>erpreport.pdf</x:v>
      </x:c>
      <x:c r="F139" s="40" t="str">
        <x:v>No</x:v>
      </x:c>
      <x:c r="G139" s="40" t="n">
        <x:v>0</x:v>
      </x:c>
      <x:c r="H139" s="40" t="str">
        <x:v>Unlabeled</x:v>
      </x:c>
      <x:c r="I139" s="40"/>
      <x:c r="J139" s="40"/>
      <x:c r="K139" s="30" t="str">
        <x:v>Default No — no retained human paragraph-level label in the curated GPT Test</x:v>
      </x:c>
      <x:c r="L139" s="30"/>
      <x:c r="M139" s="40" t="str">
        <x:v>paragraph</x:v>
      </x:c>
      <x:c r="N139" s="40" t="str">
        <x:v>No</x:v>
      </x:c>
      <x:c r="O139" s="30"/>
      <x:c r="P139" s="30" t="str">
        <x:v>41:18:0;41:19:0;41:20:0;41:21:0;41:22:0</x:v>
      </x:c>
    </x:row>
    <x:row r="140" ht="45" customHeight="1">
      <x:c r="A140" s="30" t="str">
        <x:v>ERP-A139</x:v>
      </x:c>
      <x:c r="B140" s="30" t="str">
        <x:v>p 41</x:v>
      </x:c>
      <x:c r="C140" s="30" t="str">
        <x:v>Floodwaters rose fast in some neighborhoods on August 29. While many people were able to evacuate either before or after the storm, many of the less fortunate drowned in the onslaught of water. Rapid flooding caused people to lose hold of family members as floodwaters rose. Some victims drowned in attempts to save others. In Orleans Parish, many people fled up into their attics to escape the rising waters, and then had to hack their way through the roofs to find a dry place to stand and wait for rescue. Some people evacuated their homes, only to die as they waited for food, water, or medical care. Dead bodies eventually floated to higher ground, where passersby mercifully covered them with stray tarps or soaked blankets.</x:v>
      </x:c>
      <x:c r="D140" s="30" t="str">
        <x:v>ERP Report</x:v>
      </x:c>
      <x:c r="E140" s="30" t="str">
        <x:v>erpreport.pdf</x:v>
      </x:c>
      <x:c r="F140" s="40" t="str">
        <x:v>No</x:v>
      </x:c>
      <x:c r="G140" s="40" t="n">
        <x:v>0</x:v>
      </x:c>
      <x:c r="H140" s="40" t="str">
        <x:v>Unlabeled</x:v>
      </x:c>
      <x:c r="I140" s="40"/>
      <x:c r="J140" s="40"/>
      <x:c r="K140" s="30" t="str">
        <x:v>Default No — no retained human paragraph-level label in the curated GPT Test</x:v>
      </x:c>
      <x:c r="L140" s="30"/>
      <x:c r="M140" s="40" t="str">
        <x:v>paragraph</x:v>
      </x:c>
      <x:c r="N140" s="40" t="str">
        <x:v>No</x:v>
      </x:c>
      <x:c r="O140" s="30"/>
      <x:c r="P140" s="30" t="str">
        <x:v>41:24:0;41:25:0;41:26:0;41:27:0;41:28:0;41:29:0;41:30:0;41:31:0;41:32:0;41:33:0</x:v>
      </x:c>
    </x:row>
    <x:row r="141" ht="45" customHeight="1">
      <x:c r="A141" s="30" t="str">
        <x:v>ERP-A140</x:v>
      </x:c>
      <x:c r="B141" s="30" t="str">
        <x:v>p 41</x:v>
      </x:c>
      <x:c r="C141" s="30" t="str">
        <x:v>Further from the breached levees and damaged floodwalls, water rose approximately 1 foot every 10 minutes. Some elderly or disabled residents could not reach their attics fast enough, leaving other family members to witness their deaths by drowning. One woman reportedly died of a heart attack while trying to escape through the roof. Others, trapped in their homes and attics, were found days, weeks, even months later. In St. Bernard Parish, many deaths were attributed to drowning in the storm surge.</x:v>
      </x:c>
      <x:c r="D141" s="30" t="str">
        <x:v>ERP Report</x:v>
      </x:c>
      <x:c r="E141" s="30" t="str">
        <x:v>erpreport.pdf</x:v>
      </x:c>
      <x:c r="F141" s="40" t="str">
        <x:v>No</x:v>
      </x:c>
      <x:c r="G141" s="40" t="n">
        <x:v>0</x:v>
      </x:c>
      <x:c r="H141" s="40" t="str">
        <x:v>Unlabeled</x:v>
      </x:c>
      <x:c r="I141" s="40"/>
      <x:c r="J141" s="40"/>
      <x:c r="K141" s="30" t="str">
        <x:v>Default No — no retained human paragraph-level label in the curated GPT Test</x:v>
      </x:c>
      <x:c r="L141" s="30"/>
      <x:c r="M141" s="40" t="str">
        <x:v>paragraph</x:v>
      </x:c>
      <x:c r="N141" s="40" t="str">
        <x:v>No</x:v>
      </x:c>
      <x:c r="O141" s="30"/>
      <x:c r="P141" s="30" t="str">
        <x:v>41:34:0;41:35:0;41:36:0;41:37:0;41:38:0;41:39:0;41:40:0</x:v>
      </x:c>
    </x:row>
    <x:row r="142" ht="45" customHeight="1">
      <x:c r="A142" s="30" t="str">
        <x:v>ERP-A141</x:v>
      </x:c>
      <x:c r="B142" s="30" t="str">
        <x:v>p 42</x:v>
      </x:c>
      <x:c r="C142" s="30" t="str">
        <x:v>Though the sick and the elderly were hardest hit (Figure 6.1), causes of death were varied. Six deaths resulted from bacterial infection when new or existing wounds were immersed in floodwaters. Five people reportedly died of carbon monoxide poisoning from improperly using gasoline-powered generators during power outages. A bus accident during post-storm evacuation attempts killed one person, and one woman died when a helicopter cable failed during a rooftop rescue.</x:v>
      </x:c>
      <x:c r="D142" s="30" t="str">
        <x:v>ERP Report</x:v>
      </x:c>
      <x:c r="E142" s="30" t="str">
        <x:v>erpreport.pdf</x:v>
      </x:c>
      <x:c r="F142" s="40" t="str">
        <x:v>No</x:v>
      </x:c>
      <x:c r="G142" s="40" t="n">
        <x:v>0</x:v>
      </x:c>
      <x:c r="H142" s="40" t="str">
        <x:v>Unlabeled</x:v>
      </x:c>
      <x:c r="I142" s="40"/>
      <x:c r="J142" s="40"/>
      <x:c r="K142" s="30" t="str">
        <x:v>Default No — no retained human paragraph-level label in the curated GPT Test</x:v>
      </x:c>
      <x:c r="L142" s="30"/>
      <x:c r="M142" s="40" t="str">
        <x:v>paragraph</x:v>
      </x:c>
      <x:c r="N142" s="40" t="str">
        <x:v>No</x:v>
      </x:c>
      <x:c r="O142" s="30"/>
      <x:c r="P142" s="30" t="str">
        <x:v>42:1:0;42:2:0;42:3:0;42:4:0;42:5:0;42:6:0;42:7:0</x:v>
      </x:c>
    </x:row>
    <x:row r="143" ht="45" customHeight="1">
      <x:c r="A143" s="30" t="str">
        <x:v>ERP-A142</x:v>
      </x:c>
      <x:c r="B143" s="30" t="str">
        <x:v>p 42</x:v>
      </x:c>
      <x:c r="C143" s="30" t="str">
        <x:v>Three people committed suicide. Only one person was murdered in the immediate aftermath, a remarkable number given New Orleans’s extremely high homicide rate (10 times the national rate) prior to Hurricane Katrina.</x:v>
      </x:c>
      <x:c r="D143" s="30" t="str">
        <x:v>ERP Report</x:v>
      </x:c>
      <x:c r="E143" s="30" t="str">
        <x:v>erpreport.pdf</x:v>
      </x:c>
      <x:c r="F143" s="40" t="str">
        <x:v>No</x:v>
      </x:c>
      <x:c r="G143" s="40" t="n">
        <x:v>0</x:v>
      </x:c>
      <x:c r="H143" s="40" t="str">
        <x:v>Unlabeled</x:v>
      </x:c>
      <x:c r="I143" s="40"/>
      <x:c r="J143" s="40"/>
      <x:c r="K143" s="30" t="str">
        <x:v>Default No — no retained human paragraph-level label in the curated GPT Test</x:v>
      </x:c>
      <x:c r="L143" s="30"/>
      <x:c r="M143" s="40" t="str">
        <x:v>paragraph</x:v>
      </x:c>
      <x:c r="N143" s="40" t="str">
        <x:v>No</x:v>
      </x:c>
      <x:c r="O143" s="30"/>
      <x:c r="P143" s="30" t="str">
        <x:v>42:14:0;42:15:0;42:16:0</x:v>
      </x:c>
    </x:row>
    <x:row r="144" ht="45" customHeight="1">
      <x:c r="A144" s="30" t="str">
        <x:v>ERP-A143</x:v>
      </x:c>
      <x:c r="B144" s="30" t="str">
        <x:v>p 43</x:v>
      </x:c>
      <x:c r="C144" s="30" t="str">
        <x:v>However, the risk for additional homicides grew as rescue efforts stalled and residents took up arms against potential looting. Hospital pharmacies were threatened by armed assailants seeking drugs. The police, responding to shootings city-wide, fired on people, killing four.</x:v>
      </x:c>
      <x:c r="D144" s="30" t="str">
        <x:v>ERP Report</x:v>
      </x:c>
      <x:c r="E144" s="30" t="str">
        <x:v>erpreport.pdf</x:v>
      </x:c>
      <x:c r="F144" s="40" t="str">
        <x:v>No</x:v>
      </x:c>
      <x:c r="G144" s="40" t="n">
        <x:v>0</x:v>
      </x:c>
      <x:c r="H144" s="40" t="str">
        <x:v>Unlabeled</x:v>
      </x:c>
      <x:c r="I144" s="40"/>
      <x:c r="J144" s="40"/>
      <x:c r="K144" s="30" t="str">
        <x:v>Default No — no retained human paragraph-level label in the curated GPT Test</x:v>
      </x:c>
      <x:c r="L144" s="30"/>
      <x:c r="M144" s="40" t="str">
        <x:v>paragraph</x:v>
      </x:c>
      <x:c r="N144" s="40" t="str">
        <x:v>No</x:v>
      </x:c>
      <x:c r="O144" s="30"/>
      <x:c r="P144" s="30" t="str">
        <x:v>43:1:0;43:2:0;43:3:0;43:4:0</x:v>
      </x:c>
    </x:row>
    <x:row r="145" ht="45" customHeight="1">
      <x:c r="A145" s="30" t="str">
        <x:v>ERP-A144</x:v>
      </x:c>
      <x:c r="B145" s="30" t="str">
        <x:v>p 43</x:v>
      </x:c>
      <x:c r="C145" s="30" t="str">
        <x:v>Of the known fatalities, approximately 52 percent were African American, 40 percent were Caucasian, and 8 percent were of other or unknown race. Deaths were divided equally between men and women. As mentioned earlier, older residents were the hardest hit demographic group. Among all races, victims over the age of 70 accounted for 60 percent of all deaths.</x:v>
      </x:c>
      <x:c r="D145" s="30" t="str">
        <x:v>ERP Report</x:v>
      </x:c>
      <x:c r="E145" s="30" t="str">
        <x:v>erpreport.pdf</x:v>
      </x:c>
      <x:c r="F145" s="40" t="str">
        <x:v>No</x:v>
      </x:c>
      <x:c r="G145" s="40" t="n">
        <x:v>0</x:v>
      </x:c>
      <x:c r="H145" s="40" t="str">
        <x:v>Unlabeled</x:v>
      </x:c>
      <x:c r="I145" s="40"/>
      <x:c r="J145" s="40"/>
      <x:c r="K145" s="30" t="str">
        <x:v>Default No — no retained human paragraph-level label in the curated GPT Test</x:v>
      </x:c>
      <x:c r="L145" s="30"/>
      <x:c r="M145" s="40" t="str">
        <x:v>paragraph</x:v>
      </x:c>
      <x:c r="N145" s="40" t="str">
        <x:v>No</x:v>
      </x:c>
      <x:c r="O145" s="30"/>
      <x:c r="P145" s="30" t="str">
        <x:v>43:5:0;43:6:0;43:7:0;43:8:0;43:9:0;43:10:0</x:v>
      </x:c>
    </x:row>
    <x:row r="146" ht="45" customHeight="1">
      <x:c r="A146" s="30" t="str">
        <x:v>ERP-A145</x:v>
      </x:c>
      <x:c r="B146" s="30" t="str">
        <x:v>p 43</x:v>
      </x:c>
      <x:c r="C146" s="30" t="str">
        <x:v>The flood and its immediate aftermath were rife with potential for injury and illness. Throughout New Orleans, residents seeking safe haven waded through an opaque slush of mud, water, trash, and a mélange of chemicals— cleaners, solvents, and gasoline leached from flooded homes, businesses, and automobiles (Figure 6.2). Added to the mix was output from seven major oil spills resulting from the flooding, plus runoff from up to 54 United States Environmental Protection Agency (USEPA) Superfund sites in the area.</x:v>
      </x:c>
      <x:c r="D146" s="30" t="str">
        <x:v>ERP Report</x:v>
      </x:c>
      <x:c r="E146" s="30" t="str">
        <x:v>erpreport.pdf</x:v>
      </x:c>
      <x:c r="F146" s="40" t="str">
        <x:v>No</x:v>
      </x:c>
      <x:c r="G146" s="40" t="n">
        <x:v>0</x:v>
      </x:c>
      <x:c r="H146" s="40" t="str">
        <x:v>Unlabeled</x:v>
      </x:c>
      <x:c r="I146" s="40"/>
      <x:c r="J146" s="40"/>
      <x:c r="K146" s="30" t="str">
        <x:v>Default No — no retained human paragraph-level label in the curated GPT Test</x:v>
      </x:c>
      <x:c r="L146" s="30"/>
      <x:c r="M146" s="40" t="str">
        <x:v>paragraph</x:v>
      </x:c>
      <x:c r="N146" s="40" t="str">
        <x:v>No</x:v>
      </x:c>
      <x:c r="O146" s="30"/>
      <x:c r="P146" s="30" t="str">
        <x:v>43:12:0;43:13:0;43:14:0;43:15:0;43:16:0;43:17:0;43:18:0</x:v>
      </x:c>
    </x:row>
    <x:row r="147" ht="45" customHeight="1">
      <x:c r="A147" s="30" t="str">
        <x:v>ERP-A146</x:v>
      </x:c>
      <x:c r="B147" s="30" t="str">
        <x:v>p 43</x:v>
      </x:c>
      <x:c r="C147" s="30" t="str">
        <x:v>Levels of E. coli and fecal Coliform bacteria in floodwaters were similar to typical stormwater runoff levels for the region, but much higher than standards for human contact. This exposure resulted in increased incidences of gastrointestinal illness, skin infections, and upper-respiratory infections.</x:v>
      </x:c>
      <x:c r="D147" s="30" t="str">
        <x:v>ERP Report</x:v>
      </x:c>
      <x:c r="E147" s="30" t="str">
        <x:v>erpreport.pdf</x:v>
      </x:c>
      <x:c r="F147" s="40" t="str">
        <x:v>No</x:v>
      </x:c>
      <x:c r="G147" s="40" t="n">
        <x:v>0</x:v>
      </x:c>
      <x:c r="H147" s="40" t="str">
        <x:v>Unlabeled</x:v>
      </x:c>
      <x:c r="I147" s="40"/>
      <x:c r="J147" s="40"/>
      <x:c r="K147" s="30" t="str">
        <x:v>Default No — no retained human paragraph-level label in the curated GPT Test</x:v>
      </x:c>
      <x:c r="L147" s="30"/>
      <x:c r="M147" s="40" t="str">
        <x:v>paragraph</x:v>
      </x:c>
      <x:c r="N147" s="40" t="str">
        <x:v>No</x:v>
      </x:c>
      <x:c r="O147" s="30"/>
      <x:c r="P147" s="30" t="str">
        <x:v>43:23:0;43:24:0;43:25:0;43:26:0</x:v>
      </x:c>
    </x:row>
    <x:row r="148" ht="45" customHeight="1">
      <x:c r="A148" s="30" t="str">
        <x:v>ERP-A147</x:v>
      </x:c>
      <x:c r="B148" s="30" t="str">
        <x:v>p 44</x:v>
      </x:c>
      <x:c r="C148" s="30" t="str">
        <x:v>Residents hurt themselves while hacking through their roofs or breaking windows to escape their flooded houses. People, such as those shown in Figure 6.3, sometimes waited on rooftops for days for rescue. Among them, several developed rashes from contact with hot roofing materials. Among rescue workers, a number of infections and non-infectious rashes were identified from contact with contaminated water, mite bites, and excessive chafing.</x:v>
      </x:c>
      <x:c r="D148" s="30" t="str">
        <x:v>ERP Report</x:v>
      </x:c>
      <x:c r="E148" s="30" t="str">
        <x:v>erpreport.pdf</x:v>
      </x:c>
      <x:c r="F148" s="40" t="str">
        <x:v>No</x:v>
      </x:c>
      <x:c r="G148" s="40" t="n">
        <x:v>0</x:v>
      </x:c>
      <x:c r="H148" s="40" t="str">
        <x:v>Unlabeled</x:v>
      </x:c>
      <x:c r="I148" s="40"/>
      <x:c r="J148" s="40"/>
      <x:c r="K148" s="30" t="str">
        <x:v>Default No — no retained human paragraph-level label in the curated GPT Test</x:v>
      </x:c>
      <x:c r="L148" s="30"/>
      <x:c r="M148" s="40" t="str">
        <x:v>paragraph</x:v>
      </x:c>
      <x:c r="N148" s="40" t="str">
        <x:v>No</x:v>
      </x:c>
      <x:c r="O148" s="30"/>
      <x:c r="P148" s="30" t="str">
        <x:v>44:1:0;44:2:0;44:2:1;44:3:0;44:4:0;44:5:0;44:6:0</x:v>
      </x:c>
    </x:row>
    <x:row r="149" ht="45" customHeight="1">
      <x:c r="A149" s="30" t="str">
        <x:v>ERP-A148</x:v>
      </x:c>
      <x:c r="B149" s="30" t="str">
        <x:v>p 44</x:v>
      </x:c>
      <x:c r="C149" s="30" t="str">
        <x:v>Outbreaks of illness, exacerbated by person-to-person contact in close quarters, were reported in a Houston shelter where more than half the evacuees suffered acute diarrhea and vomiting for a week, and in Dallas, where an antibiotic-resistant strain of staph infection broke out. Fortunately, the Center for Disease Control and Prevention (CDC) reported no confirmed cases of dysentery, typhoid fever, or cholera.</x:v>
      </x:c>
      <x:c r="D149" s="30" t="str">
        <x:v>ERP Report</x:v>
      </x:c>
      <x:c r="E149" s="30" t="str">
        <x:v>erpreport.pdf</x:v>
      </x:c>
      <x:c r="F149" s="40" t="str">
        <x:v>No</x:v>
      </x:c>
      <x:c r="G149" s="40" t="n">
        <x:v>0</x:v>
      </x:c>
      <x:c r="H149" s="40" t="str">
        <x:v>Unlabeled</x:v>
      </x:c>
      <x:c r="I149" s="40"/>
      <x:c r="J149" s="40"/>
      <x:c r="K149" s="30" t="str">
        <x:v>Default No — no retained human paragraph-level label in the curated GPT Test</x:v>
      </x:c>
      <x:c r="L149" s="30"/>
      <x:c r="M149" s="40" t="str">
        <x:v>paragraph</x:v>
      </x:c>
      <x:c r="N149" s="40" t="str">
        <x:v>No</x:v>
      </x:c>
      <x:c r="O149" s="30"/>
      <x:c r="P149" s="30" t="str">
        <x:v>44:10:0;44:11:0;44:12:0;44:13:0;44:14:0;44:15:0</x:v>
      </x:c>
    </x:row>
    <x:row r="150" ht="45" customHeight="1">
      <x:c r="A150" s="30" t="str">
        <x:v>ERP-A149</x:v>
      </x:c>
      <x:c r="B150" s="30" t="str">
        <x:v>p 44</x:v>
      </x:c>
      <x:c r="C150" s="30" t="str">
        <x:v>Due to flooded hospitals and crowding at evacuation centers, the health of evacuees suffering from pre-existing conditions (such as diabetes and kidney failure) and those requiring prescriptions (for cancer, seizure illnesses, asthma, and psychiatric disorders) became compromised. Shortages of medication plagued shelters in the following weeks.</x:v>
      </x:c>
      <x:c r="D150" s="30" t="str">
        <x:v>ERP Report</x:v>
      </x:c>
      <x:c r="E150" s="30" t="str">
        <x:v>erpreport.pdf</x:v>
      </x:c>
      <x:c r="F150" s="40" t="str">
        <x:v>No</x:v>
      </x:c>
      <x:c r="G150" s="40" t="n">
        <x:v>0</x:v>
      </x:c>
      <x:c r="H150" s="40" t="str">
        <x:v>Unlabeled</x:v>
      </x:c>
      <x:c r="I150" s="40"/>
      <x:c r="J150" s="40"/>
      <x:c r="K150" s="30" t="str">
        <x:v>Default No — no retained human paragraph-level label in the curated GPT Test</x:v>
      </x:c>
      <x:c r="L150" s="30"/>
      <x:c r="M150" s="40" t="str">
        <x:v>paragraph</x:v>
      </x:c>
      <x:c r="N150" s="40" t="str">
        <x:v>No</x:v>
      </x:c>
      <x:c r="O150" s="30"/>
      <x:c r="P150" s="30" t="str">
        <x:v>44:16:0;44:17:0;44:18:0;44:19:0;44:20:0</x:v>
      </x:c>
    </x:row>
    <x:row r="151" ht="45" customHeight="1">
      <x:c r="A151" s="30" t="str">
        <x:v>ERP-A150</x:v>
      </x:c>
      <x:c r="B151" s="30" t="str">
        <x:v>p 45</x:v>
      </x:c>
      <x:c r="C151" s="30" t="str">
        <x:v>To assess the financial losses in the New Orleans metropolitan area, researchers used the most recent inventories and field surveys of land use, properties lost, and estimated values. Assumptions made to determine expected personal property losses were based on reported flood depths in each neighborhood. Residential property throughout the New Orleans metropolitan area (Figures 6.4 and 6.5) was more than twice as likely as commercial property to be destroyed by the failure of the hurricane protection system.</x:v>
      </x:c>
      <x:c r="D151" s="30" t="str">
        <x:v>ERP Report</x:v>
      </x:c>
      <x:c r="E151" s="30" t="str">
        <x:v>erpreport.pdf</x:v>
      </x:c>
      <x:c r="F151" s="40" t="str">
        <x:v>No</x:v>
      </x:c>
      <x:c r="G151" s="40" t="n">
        <x:v>0</x:v>
      </x:c>
      <x:c r="H151" s="40" t="str">
        <x:v>Unlabeled</x:v>
      </x:c>
      <x:c r="I151" s="40"/>
      <x:c r="J151" s="40"/>
      <x:c r="K151" s="30" t="str">
        <x:v>Default No — no retained human paragraph-level label in the curated GPT Test</x:v>
      </x:c>
      <x:c r="L151" s="30"/>
      <x:c r="M151" s="40" t="str">
        <x:v>paragraph</x:v>
      </x:c>
      <x:c r="N151" s="40" t="str">
        <x:v>No</x:v>
      </x:c>
      <x:c r="O151" s="30"/>
      <x:c r="P151" s="30" t="str">
        <x:v>45:2:0;45:3:0;45:4:0;45:5:0;45:6:0;45:6:1;45:7:0</x:v>
      </x:c>
    </x:row>
    <x:row r="152" ht="45" customHeight="1">
      <x:c r="A152" s="30" t="str">
        <x:v>ERP-A151</x:v>
      </x:c>
      <x:c r="B152" s="30" t="str">
        <x:v>p 46</x:v>
      </x:c>
      <x:c r="C152" s="30" t="str">
        <x:v>Direct damages to residential and non-residential capital (commercial, industrial, and public buildings) reached approximately $21 billion. Region-wide, 25 percent of the value of residential properties, including autos, was destroyed compared with 12 percent of the value of non-residential properties.</x:v>
      </x:c>
      <x:c r="D152" s="30" t="str">
        <x:v>ERP Report</x:v>
      </x:c>
      <x:c r="E152" s="30" t="str">
        <x:v>erpreport.pdf</x:v>
      </x:c>
      <x:c r="F152" s="40" t="str">
        <x:v>No</x:v>
      </x:c>
      <x:c r="G152" s="40" t="n">
        <x:v>0</x:v>
      </x:c>
      <x:c r="H152" s="40" t="str">
        <x:v>Unlabeled</x:v>
      </x:c>
      <x:c r="I152" s="40"/>
      <x:c r="J152" s="40"/>
      <x:c r="K152" s="30" t="str">
        <x:v>Default No — no retained human paragraph-level label in the curated GPT Test</x:v>
      </x:c>
      <x:c r="L152" s="30"/>
      <x:c r="M152" s="40" t="str">
        <x:v>paragraph</x:v>
      </x:c>
      <x:c r="N152" s="40" t="str">
        <x:v>No</x:v>
      </x:c>
      <x:c r="O152" s="30"/>
      <x:c r="P152" s="30" t="str">
        <x:v>46:1:0;46:2:0;46:3:0;46:4:0</x:v>
      </x:c>
    </x:row>
    <x:row r="153" ht="45" customHeight="1">
      <x:c r="A153" s="30" t="str">
        <x:v>ERP-A152</x:v>
      </x:c>
      <x:c r="B153" s="30" t="str">
        <x:v>p 46</x:v>
      </x:c>
      <x:c r="C153" s="30" t="str">
        <x:v>Losses to public structures and damages to infrastructure (roads, public transit systems, drainage and sewage systems, potable water service, telecommunications systems, and electrical utilities) reached between $6 billion and $6.7 billion. Damage to drinking water service resulted in an estimated leakage rate of 85 million gallons per day of treated water. The loss of electricity, which lasted for weeks, led to massive food spoilage and the ruin of more than 300,000 refrigerators, all of which required special handling prior to disposal. As floodwaters receded, widespread cleanup efforts began. Figure 6.6 illustrates just a portion of the extensive public clean-up effort required to eliminate health hazards so residents could return to begin their own clean-up and rebuilding efforts.</x:v>
      </x:c>
      <x:c r="D153" s="30" t="str">
        <x:v>ERP Report</x:v>
      </x:c>
      <x:c r="E153" s="30" t="str">
        <x:v>erpreport.pdf</x:v>
      </x:c>
      <x:c r="F153" s="40" t="str">
        <x:v>No</x:v>
      </x:c>
      <x:c r="G153" s="40" t="n">
        <x:v>0</x:v>
      </x:c>
      <x:c r="H153" s="40" t="str">
        <x:v>Unlabeled</x:v>
      </x:c>
      <x:c r="I153" s="40"/>
      <x:c r="J153" s="40"/>
      <x:c r="K153" s="30" t="str">
        <x:v>Default No — no retained human paragraph-level label in the curated GPT Test</x:v>
      </x:c>
      <x:c r="L153" s="30"/>
      <x:c r="M153" s="40" t="str">
        <x:v>paragraph</x:v>
      </x:c>
      <x:c r="N153" s="40" t="str">
        <x:v>No</x:v>
      </x:c>
      <x:c r="O153" s="30"/>
      <x:c r="P153" s="30" t="str">
        <x:v>46:5:0;46:6:0;46:7:0;46:8:0;46:9:0;46:10:0;46:11:0;46:12:0;46:12:1;46:13:0;46:14:0</x:v>
      </x:c>
    </x:row>
    <x:row r="154" ht="45" customHeight="1">
      <x:c r="A154" s="30" t="str">
        <x:v>ERP-A153</x:v>
      </x:c>
      <x:c r="B154" s="30" t="str">
        <x:v>p 47</x:v>
      </x:c>
      <x:c r="C154" s="30" t="str">
        <x:v>For a storm the size of Hurricane Katrina, loss of life and property due to heavy rain, wind damage, and overtopping of levees is expected. A modeling exercise conducted by the USACE compared expected deaths from the hurricane protection system failure with scenarios in which the system did not fail. Results of this modeling indicate that had the levees and floodwalls not failed and had the pump stations operated, nearly two-thirds of the deaths would not have occurred.</x:v>
      </x:c>
      <x:c r="D154" s="30" t="str">
        <x:v>ERP Report</x:v>
      </x:c>
      <x:c r="E154" s="30" t="str">
        <x:v>erpreport.pdf</x:v>
      </x:c>
      <x:c r="F154" s="40" t="str">
        <x:v>No</x:v>
      </x:c>
      <x:c r="G154" s="40" t="n">
        <x:v>0</x:v>
      </x:c>
      <x:c r="H154" s="40" t="str">
        <x:v>Unlabeled</x:v>
      </x:c>
      <x:c r="I154" s="40"/>
      <x:c r="J154" s="40"/>
      <x:c r="K154" s="30" t="str">
        <x:v>Default No — no retained human paragraph-level label in the curated GPT Test</x:v>
      </x:c>
      <x:c r="L154" s="30"/>
      <x:c r="M154" s="40" t="str">
        <x:v>paragraph</x:v>
      </x:c>
      <x:c r="N154" s="40" t="str">
        <x:v>No</x:v>
      </x:c>
      <x:c r="O154" s="30"/>
      <x:c r="P154" s="30" t="str">
        <x:v>47:2:0;47:3:0;47:4:0;47:5:0;47:6:0;47:7:0;47:8:0</x:v>
      </x:c>
    </x:row>
    <x:row r="155" ht="45" customHeight="1">
      <x:c r="A155" s="30" t="str">
        <x:v>ERP-A154</x:v>
      </x:c>
      <x:c r="B155" s="30" t="str">
        <x:v>p 47</x:v>
      </x:c>
      <x:c r="C155" s="30" t="str">
        <x:v>Even without levee breaching, Hurricane Katrina’s rainfall and levee overtopping would have caused the worst property loss ever experienced by New Orleanians. However, as pictured in Figure 6.7, less than half the actual property losses — an estimated $10 billion loss in residential and non-residential capital — would have occurred had the levees not failed and had the pump stations operated. This estimate did not consider damages to infrastructure and public utilities, which would have suffered far less damage had flooding not been as widespread.</x:v>
      </x:c>
      <x:c r="D155" s="30" t="str">
        <x:v>ERP Report</x:v>
      </x:c>
      <x:c r="E155" s="30" t="str">
        <x:v>erpreport.pdf</x:v>
      </x:c>
      <x:c r="F155" s="40" t="str">
        <x:v>No</x:v>
      </x:c>
      <x:c r="G155" s="40" t="n">
        <x:v>0</x:v>
      </x:c>
      <x:c r="H155" s="40" t="str">
        <x:v>Unlabeled</x:v>
      </x:c>
      <x:c r="I155" s="40"/>
      <x:c r="J155" s="40"/>
      <x:c r="K155" s="30" t="str">
        <x:v>Default No — no retained human paragraph-level label in the curated GPT Test</x:v>
      </x:c>
      <x:c r="L155" s="30"/>
      <x:c r="M155" s="40" t="str">
        <x:v>paragraph</x:v>
      </x:c>
      <x:c r="N155" s="40" t="str">
        <x:v>No</x:v>
      </x:c>
      <x:c r="O155" s="30"/>
      <x:c r="P155" s="30" t="str">
        <x:v>47:9:0;47:10:0;47:11:0;47:12:0;47:13:0;47:14:0;47:15:0;47:16:0</x:v>
      </x:c>
    </x:row>
    <x:row r="156" ht="45" customHeight="1">
      <x:c r="A156" s="30" t="str">
        <x:v>ERP-A155</x:v>
      </x:c>
      <x:c r="B156" s="30" t="str">
        <x:v>p 47</x:v>
      </x:c>
      <x:c r="C156" s="30" t="str">
        <x:v>Researchers have compared data quantifying the pre-Katrina economic base for the New Orleans metropolitan area with anecdotal post-Katrina data. While limited, this preliminary assessment proves useful in estimating the indirect economic consequences brought on by the levee failures and the subsequent dislocation of hundreds of thousands of residents. However, household, business, and policy decisions yet to be made may have a profound impact on the region’s long-term economic forecast.</x:v>
      </x:c>
      <x:c r="D156" s="30" t="str">
        <x:v>ERP Report</x:v>
      </x:c>
      <x:c r="E156" s="30" t="str">
        <x:v>erpreport.pdf</x:v>
      </x:c>
      <x:c r="F156" s="40" t="str">
        <x:v>No</x:v>
      </x:c>
      <x:c r="G156" s="40" t="n">
        <x:v>0</x:v>
      </x:c>
      <x:c r="H156" s="40" t="str">
        <x:v>Unlabeled</x:v>
      </x:c>
      <x:c r="I156" s="40"/>
      <x:c r="J156" s="40"/>
      <x:c r="K156" s="30" t="str">
        <x:v>Default No — no retained human paragraph-level label in the curated GPT Test</x:v>
      </x:c>
      <x:c r="L156" s="30"/>
      <x:c r="M156" s="40" t="str">
        <x:v>paragraph</x:v>
      </x:c>
      <x:c r="N156" s="40" t="str">
        <x:v>No</x:v>
      </x:c>
      <x:c r="O156" s="30"/>
      <x:c r="P156" s="30" t="str">
        <x:v>47:23:0;47:24:0;47:25:0;47:26:0;47:27:0;47:28:0;47:29:0</x:v>
      </x:c>
    </x:row>
    <x:row r="157" ht="45" customHeight="1">
      <x:c r="A157" s="30" t="str">
        <x:v>ERP-A156</x:v>
      </x:c>
      <x:c r="B157" s="30" t="str">
        <x:v>pp 47-48</x:v>
      </x:c>
      <x:c r="C157" s="30" t="str">
        <x:v>As of June 2006, the population of New Orleans was still less than half the pre-Katrina population (more than a million people in 2004 versus just over half a million in 2006). Many jobs are still not available due to the reduced customer base and the destruction of business property, infrastructure, and residences. Total employment in the New Orleans metro area plummeted 25 percent (from 512,000 jobs to 388,000 jobs) between August (pre-Hurricane Katrina) and September 2005 (post-Hurricane Katrina).</x:v>
      </x:c>
      <x:c r="D157" s="30" t="str">
        <x:v>ERP Report</x:v>
      </x:c>
      <x:c r="E157" s="30" t="str">
        <x:v>erpreport.pdf</x:v>
      </x:c>
      <x:c r="F157" s="40" t="str">
        <x:v>No</x:v>
      </x:c>
      <x:c r="G157" s="40" t="n">
        <x:v>0</x:v>
      </x:c>
      <x:c r="H157" s="40" t="str">
        <x:v>Unlabeled</x:v>
      </x:c>
      <x:c r="I157" s="40"/>
      <x:c r="J157" s="40"/>
      <x:c r="K157" s="30" t="str">
        <x:v>Default No — no retained human paragraph-level label in the curated GPT Test</x:v>
      </x:c>
      <x:c r="L157" s="30"/>
      <x:c r="M157" s="40" t="str">
        <x:v>paragraph</x:v>
      </x:c>
      <x:c r="N157" s="40" t="str">
        <x:v>No</x:v>
      </x:c>
      <x:c r="O157" s="30"/>
      <x:c r="P157" s="30" t="str">
        <x:v>47:30:0;47:31:0;47:32:0;48:1:0;48:2:0;48:3:0;48:4:0</x:v>
      </x:c>
    </x:row>
    <x:row r="158" ht="45" customHeight="1">
      <x:c r="A158" s="30" t="str">
        <x:v>ERP-A157</x:v>
      </x:c>
      <x:c r="B158" s="30" t="str">
        <x:v>p 48</x:v>
      </x:c>
      <x:c r="C158" s="30" t="str">
        <x:v>The significant damage to infrastructure will likely slow the recovery of population and business activities. Repair work and labor force return has occurred unevenly, but predictably, across the area. Where flood water was shallow, more recovery has proceeded. In areas where flood water was deep, little recovery or reinvestment has taken place. Figure 6.8 illustrates the contrast in rebuilding efforts between two neighborhoods—Lakeview, which was decimated by floodwaters as high as 10 feet, and a portion of Chalmette that saw lower flood levels.</x:v>
      </x:c>
      <x:c r="D158" s="30" t="str">
        <x:v>ERP Report</x:v>
      </x:c>
      <x:c r="E158" s="30" t="str">
        <x:v>erpreport.pdf</x:v>
      </x:c>
      <x:c r="F158" s="40" t="str">
        <x:v>No</x:v>
      </x:c>
      <x:c r="G158" s="40" t="n">
        <x:v>0</x:v>
      </x:c>
      <x:c r="H158" s="40" t="str">
        <x:v>Unlabeled</x:v>
      </x:c>
      <x:c r="I158" s="40"/>
      <x:c r="J158" s="40"/>
      <x:c r="K158" s="30" t="str">
        <x:v>Default No — no retained human paragraph-level label in the curated GPT Test</x:v>
      </x:c>
      <x:c r="L158" s="30"/>
      <x:c r="M158" s="40" t="str">
        <x:v>paragraph</x:v>
      </x:c>
      <x:c r="N158" s="40" t="str">
        <x:v>No</x:v>
      </x:c>
      <x:c r="O158" s="30"/>
      <x:c r="P158" s="30" t="str">
        <x:v>48:5:0;48:6:0;48:7:0;48:8:0;48:9:0;48:10:0;48:11:0;48:12:0</x:v>
      </x:c>
    </x:row>
    <x:row r="159" ht="45" customHeight="1">
      <x:c r="A159" s="30" t="str">
        <x:v>ERP-A158</x:v>
      </x:c>
      <x:c r="B159" s="30" t="str">
        <x:v>p 49</x:v>
      </x:c>
      <x:c r="C159" s="30" t="str">
        <x:v>Impacts to the economy of the State of Louisiana are significant, although impacts to the United States economy from the hurricane and flooding were short-lived. In the 2001/2002 fiscal year, combined general revenues for the five-parish region, including taxes and other income streams, totaled $3.4 billion, more than a third of local government general revenues in Louisiana. Since Hurricane Katrina this tax revenue has plummeted.</x:v>
      </x:c>
      <x:c r="D159" s="30" t="str">
        <x:v>ERP Report</x:v>
      </x:c>
      <x:c r="E159" s="30" t="str">
        <x:v>erpreport.pdf</x:v>
      </x:c>
      <x:c r="F159" s="40" t="str">
        <x:v>No</x:v>
      </x:c>
      <x:c r="G159" s="40" t="n">
        <x:v>0</x:v>
      </x:c>
      <x:c r="H159" s="40" t="str">
        <x:v>Unlabeled</x:v>
      </x:c>
      <x:c r="I159" s="40"/>
      <x:c r="J159" s="40"/>
      <x:c r="K159" s="30" t="str">
        <x:v>Default No — no retained human paragraph-level label in the curated GPT Test</x:v>
      </x:c>
      <x:c r="L159" s="30"/>
      <x:c r="M159" s="40" t="str">
        <x:v>paragraph</x:v>
      </x:c>
      <x:c r="N159" s="40" t="str">
        <x:v>No</x:v>
      </x:c>
      <x:c r="O159" s="30"/>
      <x:c r="P159" s="30" t="str">
        <x:v>49:1:0;49:2:0;49:3:0;49:4:0;49:5:0;49:6:0</x:v>
      </x:c>
    </x:row>
    <x:row r="160" ht="45" customHeight="1">
      <x:c r="A160" s="30" t="str">
        <x:v>ERP-A159</x:v>
      </x:c>
      <x:c r="B160" s="30" t="str">
        <x:v>p 49</x:v>
      </x:c>
      <x:c r="C160" s="30" t="str">
        <x:v>A regional economic forecasting model compiled for the IPET study presented economic forecasts for the New Orleans area, the rest of Louisiana, and the United States population following Hurricane Katrina. Economic outlooks reflecting pre-Katrina conditions were used as control values, and two scenarios were examined —flat population growth and a more brisk population growth.</x:v>
      </x:c>
      <x:c r="D160" s="30" t="str">
        <x:v>ERP Report</x:v>
      </x:c>
      <x:c r="E160" s="30" t="str">
        <x:v>erpreport.pdf</x:v>
      </x:c>
      <x:c r="F160" s="40" t="str">
        <x:v>No</x:v>
      </x:c>
      <x:c r="G160" s="40" t="n">
        <x:v>0</x:v>
      </x:c>
      <x:c r="H160" s="40" t="str">
        <x:v>Unlabeled</x:v>
      </x:c>
      <x:c r="I160" s="40"/>
      <x:c r="J160" s="40"/>
      <x:c r="K160" s="30" t="str">
        <x:v>Default No — no retained human paragraph-level label in the curated GPT Test</x:v>
      </x:c>
      <x:c r="L160" s="30"/>
      <x:c r="M160" s="40" t="str">
        <x:v>paragraph</x:v>
      </x:c>
      <x:c r="N160" s="40" t="str">
        <x:v>No</x:v>
      </x:c>
      <x:c r="O160" s="30"/>
      <x:c r="P160" s="30" t="str">
        <x:v>49:8:0;49:9:0;49:10:0;49:11:0;49:12:0</x:v>
      </x:c>
    </x:row>
    <x:row r="161" ht="45" customHeight="1">
      <x:c r="A161" s="30" t="str">
        <x:v>ERP-A160</x:v>
      </x:c>
      <x:c r="B161" s="30" t="str">
        <x:v>p 49</x:v>
      </x:c>
      <x:c r="C161" s="30" t="str">
        <x:v>Both scenarios yielded some economic growth, but not enough growth to reach levels anticipated, pre-Katrina, by 2010. According to the model, the economic growth of the New Orleans area will impact the overall growth of the state, but has little effect on the Gulf Coast region and the remainder of the United States The flat population scenario does, however, have the expected impact of increasing growth in the nation, reflecting the contribution of evacuees who choose not to return to the New Orleans metro area.</x:v>
      </x:c>
      <x:c r="D161" s="30" t="str">
        <x:v>ERP Report</x:v>
      </x:c>
      <x:c r="E161" s="30" t="str">
        <x:v>erpreport.pdf</x:v>
      </x:c>
      <x:c r="F161" s="40" t="str">
        <x:v>No</x:v>
      </x:c>
      <x:c r="G161" s="40" t="n">
        <x:v>0</x:v>
      </x:c>
      <x:c r="H161" s="40" t="str">
        <x:v>Unlabeled</x:v>
      </x:c>
      <x:c r="I161" s="40"/>
      <x:c r="J161" s="40"/>
      <x:c r="K161" s="30" t="str">
        <x:v>Default No — no retained human paragraph-level label in the curated GPT Test</x:v>
      </x:c>
      <x:c r="L161" s="30"/>
      <x:c r="M161" s="40" t="str">
        <x:v>paragraph</x:v>
      </x:c>
      <x:c r="N161" s="40" t="str">
        <x:v>No</x:v>
      </x:c>
      <x:c r="O161" s="30"/>
      <x:c r="P161" s="30" t="str">
        <x:v>49:13:0;49:14:0;49:15:0;49:16:0;49:17:0;49:18:0;49:19:0</x:v>
      </x:c>
    </x:row>
    <x:row r="162" ht="45" customHeight="1">
      <x:c r="A162" s="30" t="str">
        <x:v>ERP-A161</x:v>
      </x:c>
      <x:c r="B162" s="30" t="str">
        <x:v>p 49</x:v>
      </x:c>
      <x:c r="C162" s="30" t="str">
        <x:v>Almost every hospital in the New Orleans area was crippled in some way from the floodwaters. As of March 2006, only 456 staffed hospital beds were available, one-fifth the pre-Katrina number. Less than half the adult acutecare facilities remain open. The Medical Center of Louisiana at New Orleans sustained so much damage that it has closed. This leaves a significant gap in health-care services for Medicaid patients and the uninsured, and removes a Level I Trauma Center from the Gulf Coast region. Residents must seek emergency care and other treatment at temporary facilities, as pictured in</x:v>
      </x:c>
      <x:c r="D162" s="30" t="str">
        <x:v>ERP Report</x:v>
      </x:c>
      <x:c r="E162" s="30" t="str">
        <x:v>erpreport.pdf</x:v>
      </x:c>
      <x:c r="F162" s="40" t="str">
        <x:v>No</x:v>
      </x:c>
      <x:c r="G162" s="40" t="n">
        <x:v>0</x:v>
      </x:c>
      <x:c r="H162" s="40" t="str">
        <x:v>Unlabeled</x:v>
      </x:c>
      <x:c r="I162" s="40"/>
      <x:c r="J162" s="40"/>
      <x:c r="K162" s="30" t="str">
        <x:v>Default No — no retained human paragraph-level label in the curated GPT Test</x:v>
      </x:c>
      <x:c r="L162" s="30"/>
      <x:c r="M162" s="40" t="str">
        <x:v>paragraph</x:v>
      </x:c>
      <x:c r="N162" s="40" t="str">
        <x:v>No</x:v>
      </x:c>
      <x:c r="O162" s="30"/>
      <x:c r="P162" s="30" t="str">
        <x:v>49:21:0;49:22:0;49:23:0;49:24:0;49:25:0;49:26:0;49:27:0;49:28:0</x:v>
      </x:c>
    </x:row>
    <x:row r="163" ht="45" customHeight="1">
      <x:c r="A163" s="30" t="str">
        <x:v>ERP-A162</x:v>
      </x:c>
      <x:c r="B163" s="30" t="str">
        <x:v>p 49</x:v>
      </x:c>
      <x:c r="C163" s="30" t="str">
        <x:v>Workers who lost their jobs and medical insurance coverage may or may not qualify for Medicaid coverage. Many people may go untreated for minor or serious medical conditions. Thousands of doctors and other healthcare providers remain dispersed throughout the country. As of April 2006, New Orleans’s physicians-per-resident rate had dropped from a pre-Katrina rate of 9.6 physicians per 3,200 residents to less than one primary care physician per 3,200 residents and less than one psychiatrist per 21,000 residents.</x:v>
      </x:c>
      <x:c r="D163" s="30" t="str">
        <x:v>ERP Report</x:v>
      </x:c>
      <x:c r="E163" s="30" t="str">
        <x:v>erpreport.pdf</x:v>
      </x:c>
      <x:c r="F163" s="40" t="str">
        <x:v>No</x:v>
      </x:c>
      <x:c r="G163" s="40" t="n">
        <x:v>0</x:v>
      </x:c>
      <x:c r="H163" s="40" t="str">
        <x:v>Unlabeled</x:v>
      </x:c>
      <x:c r="I163" s="40"/>
      <x:c r="J163" s="40"/>
      <x:c r="K163" s="30" t="str">
        <x:v>Default No — no retained human paragraph-level label in the curated GPT Test</x:v>
      </x:c>
      <x:c r="L163" s="30"/>
      <x:c r="M163" s="40" t="str">
        <x:v>paragraph</x:v>
      </x:c>
      <x:c r="N163" s="40" t="str">
        <x:v>No</x:v>
      </x:c>
      <x:c r="O163" s="30"/>
      <x:c r="P163" s="30" t="str">
        <x:v>49:29:0;49:30:0;49:31:0;49:32:0;49:33:0;49:34:0;49:35:0</x:v>
      </x:c>
    </x:row>
    <x:row r="164" ht="45" customHeight="1">
      <x:c r="A164" s="30" t="str">
        <x:v>ERP-A163</x:v>
      </x:c>
      <x:c r="B164" s="30" t="str">
        <x:v>p 50</x:v>
      </x:c>
      <x:c r="C164" s="30" t="str">
        <x:v>With the exception of mold issues, environmental health impacts — for instance, from contaminated air, water, or soil — are not expected to be farreaching. Reports of “Katrina cough” thought to be brought about by the presence of higher levels of dust and mold have not been substantiated. Still, health officials advised protection for construction workers, waste-handlers, and residents during clean-up and rebuilding.</x:v>
      </x:c>
      <x:c r="D164" s="30" t="str">
        <x:v>ERP Report</x:v>
      </x:c>
      <x:c r="E164" s="30" t="str">
        <x:v>erpreport.pdf</x:v>
      </x:c>
      <x:c r="F164" s="40" t="str">
        <x:v>No</x:v>
      </x:c>
      <x:c r="G164" s="40" t="n">
        <x:v>0</x:v>
      </x:c>
      <x:c r="H164" s="40" t="str">
        <x:v>Unlabeled</x:v>
      </x:c>
      <x:c r="I164" s="40"/>
      <x:c r="J164" s="40"/>
      <x:c r="K164" s="30" t="str">
        <x:v>Default No — no retained human paragraph-level label in the curated GPT Test</x:v>
      </x:c>
      <x:c r="L164" s="30"/>
      <x:c r="M164" s="40" t="str">
        <x:v>paragraph</x:v>
      </x:c>
      <x:c r="N164" s="40" t="str">
        <x:v>No</x:v>
      </x:c>
      <x:c r="O164" s="30"/>
      <x:c r="P164" s="30" t="str">
        <x:v>50:7:0;50:8:0;50:9:0;50:10:0;50:11:0;50:12:0</x:v>
      </x:c>
    </x:row>
    <x:row r="165" ht="45" customHeight="1">
      <x:c r="A165" s="30" t="str">
        <x:v>ERP-A164</x:v>
      </x:c>
      <x:c r="B165" s="30" t="str">
        <x:v>p 50</x:v>
      </x:c>
      <x:c r="C165" s="30" t="str">
        <x:v>Mold, as shown in Figure 6.10, grew in most homes that remained flooded over several weeks, introducing a potential environmental health problem. While mold has no established exposure limits, it presents a risk of opportunistic fungal infection in immuno-compromised persons. The CDC’s measurements of airborne endotoxins that result from molds indicate that typical mold growth has reached levels associated with respiratory symptoms and skin rash.</x:v>
      </x:c>
      <x:c r="D165" s="30" t="str">
        <x:v>ERP Report</x:v>
      </x:c>
      <x:c r="E165" s="30" t="str">
        <x:v>erpreport.pdf</x:v>
      </x:c>
      <x:c r="F165" s="40" t="str">
        <x:v>No</x:v>
      </x:c>
      <x:c r="G165" s="40" t="n">
        <x:v>0</x:v>
      </x:c>
      <x:c r="H165" s="40" t="str">
        <x:v>Unlabeled</x:v>
      </x:c>
      <x:c r="I165" s="40"/>
      <x:c r="J165" s="40"/>
      <x:c r="K165" s="30" t="str">
        <x:v>Default No — no retained human paragraph-level label in the curated GPT Test</x:v>
      </x:c>
      <x:c r="L165" s="30"/>
      <x:c r="M165" s="40" t="str">
        <x:v>paragraph</x:v>
      </x:c>
      <x:c r="N165" s="40" t="str">
        <x:v>No</x:v>
      </x:c>
      <x:c r="O165" s="30"/>
      <x:c r="P165" s="30" t="str">
        <x:v>50:13:0;50:14:0;50:15:0;50:16:0;50:17:0;50:18:0;50:19:0</x:v>
      </x:c>
    </x:row>
    <x:row r="166" ht="45" customHeight="1">
      <x:c r="A166" s="30" t="str">
        <x:v>ERP-A165</x:v>
      </x:c>
      <x:c r="B166" s="30" t="str">
        <x:v>p 51</x:v>
      </x:c>
      <x:c r="C166" s="30" t="str">
        <x:v>Most people exposed to traumatic events, such as serious accidents, combat, assault, or natural disasters, will experience feelings such as fear, anger, uncertainty, and sorrow. A subset of those exposed will experience symptoms of post-traumatic stress disorder, the result of structural and functional changes in the brain. Mental health impacts have already been observed; the suicide rate in New Orleans is nearly triple the pre-Hurricane Katrina suicide rate. Up to 6 months after the hurricane, calls to a city suicide hotline had doubled from pre-hurricane rates, despite the significantly smaller population. Others exposed to trauma may experience depression and substance abuse.</x:v>
      </x:c>
      <x:c r="D166" s="30" t="str">
        <x:v>ERP Report</x:v>
      </x:c>
      <x:c r="E166" s="30" t="str">
        <x:v>erpreport.pdf</x:v>
      </x:c>
      <x:c r="F166" s="40" t="str">
        <x:v>No</x:v>
      </x:c>
      <x:c r="G166" s="40" t="n">
        <x:v>0</x:v>
      </x:c>
      <x:c r="H166" s="40" t="str">
        <x:v>Unlabeled</x:v>
      </x:c>
      <x:c r="I166" s="40"/>
      <x:c r="J166" s="40"/>
      <x:c r="K166" s="30" t="str">
        <x:v>Default No — no retained human paragraph-level label in the curated GPT Test</x:v>
      </x:c>
      <x:c r="L166" s="30"/>
      <x:c r="M166" s="40" t="str">
        <x:v>paragraph</x:v>
      </x:c>
      <x:c r="N166" s="40" t="str">
        <x:v>No</x:v>
      </x:c>
      <x:c r="O166" s="30"/>
      <x:c r="P166" s="30" t="str">
        <x:v>51:4:0;51:5:0;51:6:0;51:7:0;51:8:0;51:9:0;51:10:0;51:11:0;51:12:0;51:13:0</x:v>
      </x:c>
    </x:row>
    <x:row r="167" ht="45" customHeight="1">
      <x:c r="A167" s="30" t="str">
        <x:v>ERP-A166</x:v>
      </x:c>
      <x:c r="B167" s="30" t="str">
        <x:v>p 51</x:v>
      </x:c>
      <x:c r="C167" s="30" t="str">
        <x:v>Counting pre- and post-hurricane evacuations, Hurricane Katrina displaced more than one million people. Evacuees left the city in droves by airplane or bus, as shown in Figure 6.11, in the days following the extensive flooding. By early October 2006, displaced individuals were located in 369 different cities in every state of the nation, with thousands clustered in large southern cities such as Houston, Atlanta, Memphis, and Baton Rouge.</x:v>
      </x:c>
      <x:c r="D167" s="30" t="str">
        <x:v>ERP Report</x:v>
      </x:c>
      <x:c r="E167" s="30" t="str">
        <x:v>erpreport.pdf</x:v>
      </x:c>
      <x:c r="F167" s="40" t="str">
        <x:v>No</x:v>
      </x:c>
      <x:c r="G167" s="40" t="n">
        <x:v>0</x:v>
      </x:c>
      <x:c r="H167" s="40" t="str">
        <x:v>Unlabeled</x:v>
      </x:c>
      <x:c r="I167" s="40"/>
      <x:c r="J167" s="40"/>
      <x:c r="K167" s="30" t="str">
        <x:v>Default No — no retained human paragraph-level label in the curated GPT Test</x:v>
      </x:c>
      <x:c r="L167" s="30"/>
      <x:c r="M167" s="40" t="str">
        <x:v>paragraph</x:v>
      </x:c>
      <x:c r="N167" s="40" t="str">
        <x:v>No</x:v>
      </x:c>
      <x:c r="O167" s="30"/>
      <x:c r="P167" s="30" t="str">
        <x:v>51:15:0;51:16:0;51:17:0;51:18:0;51:19:0;51:20:0</x:v>
      </x:c>
    </x:row>
    <x:row r="168" ht="45" customHeight="1">
      <x:c r="A168" s="30" t="str">
        <x:v>ERP-A167</x:v>
      </x:c>
      <x:c r="B168" s="30" t="str">
        <x:v>p 52</x:v>
      </x:c>
      <x:c r="C168" s="30" t="str">
        <x:v>Receiving communities quickly found their services over-burdened. Before Katrina, nearly one-half of New Orleans’s residents were either on Medicaid or uninsured. These evacuees have created an unanticipated strain on other communities’ health-care systems. In Baton Rouge, the addition of 100,000 evacuees to the city’s pre-Katrina population of 225,000 residents has led to over-crowding, traffic jams, and long waits for services. In Houston, 33 of 189 homicides (17 percent) involved Hurricane Katrina evacuees, although they increased the population by only about seven percent.</x:v>
      </x:c>
      <x:c r="D168" s="30" t="str">
        <x:v>ERP Report</x:v>
      </x:c>
      <x:c r="E168" s="30" t="str">
        <x:v>erpreport.pdf</x:v>
      </x:c>
      <x:c r="F168" s="40" t="str">
        <x:v>No</x:v>
      </x:c>
      <x:c r="G168" s="40" t="n">
        <x:v>0</x:v>
      </x:c>
      <x:c r="H168" s="40" t="str">
        <x:v>Unlabeled</x:v>
      </x:c>
      <x:c r="I168" s="40"/>
      <x:c r="J168" s="40"/>
      <x:c r="K168" s="30" t="str">
        <x:v>Default No — no retained human paragraph-level label in the curated GPT Test</x:v>
      </x:c>
      <x:c r="L168" s="30"/>
      <x:c r="M168" s="40" t="str">
        <x:v>paragraph</x:v>
      </x:c>
      <x:c r="N168" s="40" t="str">
        <x:v>No</x:v>
      </x:c>
      <x:c r="O168" s="30"/>
      <x:c r="P168" s="30" t="str">
        <x:v>52:7:0;52:8:0;52:9:0;52:10:0;52:11:0;52:12:0;52:13:0;52:14:0</x:v>
      </x:c>
    </x:row>
    <x:row r="169" ht="45" customHeight="1">
      <x:c r="A169" s="30" t="str">
        <x:v>ERP-A168</x:v>
      </x:c>
      <x:c r="B169" s="30" t="str">
        <x:v>p 53</x:v>
      </x:c>
      <x:c r="C169" s="30" t="str">
        <x:v>The failure of the hurricane protection system, massive infrastructure damage, and the lack of jobs and residential properties for residents to return to have caused a breakdown in New Orleans’s social structure. Many victims have lost homes, schools, jobs, shops, places of worship, and networks of family and friends.</x:v>
      </x:c>
      <x:c r="D169" s="30" t="str">
        <x:v>ERP Report</x:v>
      </x:c>
      <x:c r="E169" s="30" t="str">
        <x:v>erpreport.pdf</x:v>
      </x:c>
      <x:c r="F169" s="40" t="str">
        <x:v>No</x:v>
      </x:c>
      <x:c r="G169" s="40" t="n">
        <x:v>0</x:v>
      </x:c>
      <x:c r="H169" s="40" t="str">
        <x:v>Unlabeled</x:v>
      </x:c>
      <x:c r="I169" s="40"/>
      <x:c r="J169" s="40"/>
      <x:c r="K169" s="30" t="str">
        <x:v>Default No — no retained human paragraph-level label in the curated GPT Test</x:v>
      </x:c>
      <x:c r="L169" s="30"/>
      <x:c r="M169" s="40" t="str">
        <x:v>paragraph</x:v>
      </x:c>
      <x:c r="N169" s="40" t="str">
        <x:v>No</x:v>
      </x:c>
      <x:c r="O169" s="30"/>
      <x:c r="P169" s="30" t="str">
        <x:v>53:2:0;53:3:0;53:4:0;53:5:0;53:6:0</x:v>
      </x:c>
    </x:row>
    <x:row r="170" ht="45" customHeight="1">
      <x:c r="A170" s="30" t="str">
        <x:v>ERP-A169</x:v>
      </x:c>
      <x:c r="B170" s="30" t="str">
        <x:v>p 53</x:v>
      </x:c>
      <x:c r="C170" s="30" t="str">
        <x:v>Of New Orleans’s 73 neighborhoods, only eight neighborhoods did not flood. Thirty-four were completely inundated. Many neighborhoods remain uninhabitable because of damage to residential structures.</x:v>
      </x:c>
      <x:c r="D170" s="30" t="str">
        <x:v>ERP Report</x:v>
      </x:c>
      <x:c r="E170" s="30" t="str">
        <x:v>erpreport.pdf</x:v>
      </x:c>
      <x:c r="F170" s="40" t="str">
        <x:v>No</x:v>
      </x:c>
      <x:c r="G170" s="40" t="n">
        <x:v>0</x:v>
      </x:c>
      <x:c r="H170" s="40" t="str">
        <x:v>Unlabeled</x:v>
      </x:c>
      <x:c r="I170" s="40"/>
      <x:c r="J170" s="40"/>
      <x:c r="K170" s="30" t="str">
        <x:v>Default No — no retained human paragraph-level label in the curated GPT Test</x:v>
      </x:c>
      <x:c r="L170" s="30"/>
      <x:c r="M170" s="40" t="str">
        <x:v>paragraph</x:v>
      </x:c>
      <x:c r="N170" s="40" t="str">
        <x:v>No</x:v>
      </x:c>
      <x:c r="O170" s="30"/>
      <x:c r="P170" s="30" t="str">
        <x:v>53:7:0;53:8:0;53:9:0</x:v>
      </x:c>
    </x:row>
    <x:row r="171" ht="45" customHeight="1">
      <x:c r="A171" s="30" t="str">
        <x:v>ERP-A170</x:v>
      </x:c>
      <x:c r="B171" s="30" t="str">
        <x:v>p 53</x:v>
      </x:c>
      <x:c r="C171" s="30" t="str">
        <x:v>Most religious congregations, a key source of community connectedness in New Orleans, have not resumed services. Many churches flooded and sustained significant damages, and, in the most devastated neighborhoods, few parishioners have returned.</x:v>
      </x:c>
      <x:c r="D171" s="30" t="str">
        <x:v>ERP Report</x:v>
      </x:c>
      <x:c r="E171" s="30" t="str">
        <x:v>erpreport.pdf</x:v>
      </x:c>
      <x:c r="F171" s="40" t="str">
        <x:v>No</x:v>
      </x:c>
      <x:c r="G171" s="40" t="n">
        <x:v>0</x:v>
      </x:c>
      <x:c r="H171" s="40" t="str">
        <x:v>Unlabeled</x:v>
      </x:c>
      <x:c r="I171" s="40"/>
      <x:c r="J171" s="40"/>
      <x:c r="K171" s="30" t="str">
        <x:v>Default No — no retained human paragraph-level label in the curated GPT Test</x:v>
      </x:c>
      <x:c r="L171" s="30"/>
      <x:c r="M171" s="40" t="str">
        <x:v>paragraph</x:v>
      </x:c>
      <x:c r="N171" s="40" t="str">
        <x:v>No</x:v>
      </x:c>
      <x:c r="O171" s="30"/>
      <x:c r="P171" s="30" t="str">
        <x:v>53:10:0;53:11:0;53:12:0;53:13:0</x:v>
      </x:c>
    </x:row>
    <x:row r="172" ht="45" customHeight="1">
      <x:c r="A172" s="30" t="str">
        <x:v>ERP-A171</x:v>
      </x:c>
      <x:c r="B172" s="30" t="str">
        <x:v>p 53</x:v>
      </x:c>
      <x:c r="C172" s="30" t="str">
        <x:v>Following Hurricane Katrina, school enrollment (primary and secondary) was down 52 percent in the five-parish metro area and down 86 percent in Orleans Parish. Students attend schools in other parishes or in cities where they have relocated. Enrollment is limited at University of New Orleans and Dillard, Xavier, Loyola, and Tulane Universities.</x:v>
      </x:c>
      <x:c r="D172" s="30" t="str">
        <x:v>ERP Report</x:v>
      </x:c>
      <x:c r="E172" s="30" t="str">
        <x:v>erpreport.pdf</x:v>
      </x:c>
      <x:c r="F172" s="40" t="str">
        <x:v>No</x:v>
      </x:c>
      <x:c r="G172" s="40" t="n">
        <x:v>0</x:v>
      </x:c>
      <x:c r="H172" s="40" t="str">
        <x:v>Unlabeled</x:v>
      </x:c>
      <x:c r="I172" s="40"/>
      <x:c r="J172" s="40"/>
      <x:c r="K172" s="30" t="str">
        <x:v>Default No — no retained human paragraph-level label in the curated GPT Test</x:v>
      </x:c>
      <x:c r="L172" s="30"/>
      <x:c r="M172" s="40" t="str">
        <x:v>paragraph</x:v>
      </x:c>
      <x:c r="N172" s="40" t="str">
        <x:v>No</x:v>
      </x:c>
      <x:c r="O172" s="30"/>
      <x:c r="P172" s="30" t="str">
        <x:v>53:14:0;53:15:0;53:16:0;53:17:0;53:18:0</x:v>
      </x:c>
    </x:row>
    <x:row r="173" ht="45" customHeight="1">
      <x:c r="A173" s="30" t="str">
        <x:v>ERP-A172</x:v>
      </x:c>
      <x:c r="B173" s="30" t="str">
        <x:v>p 53</x:v>
      </x:c>
      <x:c r="C173" s="30" t="str">
        <x:v>Two of New Orleans’s most famous commodities — fine food and live music — remain severely affected. The majority of the city’s musicians have not returned to the city (Figure 6.12), and many restaurants damaged by the flooding remain closed. Losses in these two areas affect economic recovery as well as the recovery of New Orleans’s social norms.</x:v>
      </x:c>
      <x:c r="D173" s="30" t="str">
        <x:v>ERP Report</x:v>
      </x:c>
      <x:c r="E173" s="30" t="str">
        <x:v>erpreport.pdf</x:v>
      </x:c>
      <x:c r="F173" s="40" t="str">
        <x:v>No</x:v>
      </x:c>
      <x:c r="G173" s="40" t="n">
        <x:v>0</x:v>
      </x:c>
      <x:c r="H173" s="40" t="str">
        <x:v>Unlabeled</x:v>
      </x:c>
      <x:c r="I173" s="40"/>
      <x:c r="J173" s="40"/>
      <x:c r="K173" s="30" t="str">
        <x:v>Default No — no retained human paragraph-level label in the curated GPT Test</x:v>
      </x:c>
      <x:c r="L173" s="30"/>
      <x:c r="M173" s="40" t="str">
        <x:v>paragraph</x:v>
      </x:c>
      <x:c r="N173" s="40" t="str">
        <x:v>No</x:v>
      </x:c>
      <x:c r="O173" s="30"/>
      <x:c r="P173" s="30" t="str">
        <x:v>53:19:0;53:20:0;53:21:0;53:22:0;53:23:0</x:v>
      </x:c>
    </x:row>
    <x:row r="174" ht="45" customHeight="1">
      <x:c r="A174" s="30" t="str">
        <x:v>ERP-A173</x:v>
      </x:c>
      <x:c r="B174" s="30" t="str">
        <x:v>p 54</x:v>
      </x:c>
      <x:c r="C174" s="30" t="str">
        <x:v>Although an estimated 295 square kilometers (114 square miles) of wetland loss has been attributed to Hurricane Katrina, the loss was independent of failures of the hurricane protection system. The observed loss in wetlands — and associated losses in plants and animals — is consistent with long-term wetland loss trends plus losses from the storm surge (Figure 6.13).</x:v>
      </x:c>
      <x:c r="D174" s="30" t="str">
        <x:v>ERP Report</x:v>
      </x:c>
      <x:c r="E174" s="30" t="str">
        <x:v>erpreport.pdf</x:v>
      </x:c>
      <x:c r="F174" s="40" t="str">
        <x:v>No</x:v>
      </x:c>
      <x:c r="G174" s="40" t="n">
        <x:v>0</x:v>
      </x:c>
      <x:c r="H174" s="40" t="str">
        <x:v>Unlabeled</x:v>
      </x:c>
      <x:c r="I174" s="40"/>
      <x:c r="J174" s="40"/>
      <x:c r="K174" s="30" t="str">
        <x:v>Default No — no retained human paragraph-level label in the curated GPT Test</x:v>
      </x:c>
      <x:c r="L174" s="30"/>
      <x:c r="M174" s="40" t="str">
        <x:v>paragraph</x:v>
      </x:c>
      <x:c r="N174" s="40" t="str">
        <x:v>No</x:v>
      </x:c>
      <x:c r="O174" s="30"/>
      <x:c r="P174" s="30" t="str">
        <x:v>54:2:0;54:3:0;54:4:0;54:5:0;54:6:0</x:v>
      </x:c>
    </x:row>
    <x:row r="175" ht="45" customHeight="1">
      <x:c r="A175" s="30" t="str">
        <x:v>ERP-A174</x:v>
      </x:c>
      <x:c r="B175" s="30" t="str">
        <x:v>p 55</x:v>
      </x:c>
      <x:c r="C175" s="30" t="str">
        <x:v>What is unique about the devastation that befell the New Orleans area from Hurricane Katrina — compared to other natural disasters — is that much of the destruction was the result of engineering and engineering-related policy failures. The levees were engineered structures intended to protect people from high water — the very disaster that they failed to prevent. The pump stations were engineered structures intended to remove rainwater from the New Orleans bowl, but they weren’t always designed to withstand a hurricane or levee breach and they failed to pump.</x:v>
      </x:c>
      <x:c r="D175" s="30" t="str">
        <x:v>ERP Report</x:v>
      </x:c>
      <x:c r="E175" s="30" t="str">
        <x:v>erpreport.pdf</x:v>
      </x:c>
      <x:c r="F175" s="40" t="str">
        <x:v>No</x:v>
      </x:c>
      <x:c r="G175" s="40" t="n">
        <x:v>0</x:v>
      </x:c>
      <x:c r="H175" s="40" t="str">
        <x:v>Unlabeled</x:v>
      </x:c>
      <x:c r="I175" s="40"/>
      <x:c r="J175" s="40"/>
      <x:c r="K175" s="30" t="str">
        <x:v>Default No — no retained human paragraph-level label in the curated GPT Test</x:v>
      </x:c>
      <x:c r="L175" s="30"/>
      <x:c r="M175" s="40" t="str">
        <x:v>paragraph</x:v>
      </x:c>
      <x:c r="N175" s="40" t="str">
        <x:v>No</x:v>
      </x:c>
      <x:c r="O175" s="30"/>
      <x:c r="P175" s="30" t="str">
        <x:v>55:3:0;55:4:0;55:5:0;55:6:0;55:7:0;55:8:0;55:9:0;55:10:0</x:v>
      </x:c>
    </x:row>
    <x:row r="176" ht="45" customHeight="1">
      <x:c r="A176" s="30" t="str">
        <x:v>ERP-A175</x:v>
      </x:c>
      <x:c r="B176" s="30" t="str">
        <x:v>p 55</x:v>
      </x:c>
      <x:c r="C176" s="30" t="str">
        <x:v>As outlined in Chapter 5, the levees in the New Orleans area breached at about 50 distinct locations. At least seven of the major failures were related to breaching of levees containing I-walls. The I-wall failures were particularly devastating because of the heavy residential development and low elevations they were attempting to protect. The rest of the levees breached when they were overtopped by the floodwaters, which eroded the levee material away.</x:v>
      </x:c>
      <x:c r="D176" s="30" t="str">
        <x:v>ERP Report</x:v>
      </x:c>
      <x:c r="E176" s="30" t="str">
        <x:v>erpreport.pdf</x:v>
      </x:c>
      <x:c r="F176" s="40" t="str">
        <x:v>No</x:v>
      </x:c>
      <x:c r="G176" s="40" t="n">
        <x:v>0</x:v>
      </x:c>
      <x:c r="H176" s="40" t="str">
        <x:v>Unlabeled</x:v>
      </x:c>
      <x:c r="I176" s="40"/>
      <x:c r="J176" s="40"/>
      <x:c r="K176" s="30" t="str">
        <x:v>Default No — no retained human paragraph-level label in the curated GPT Test</x:v>
      </x:c>
      <x:c r="L176" s="30"/>
      <x:c r="M176" s="40" t="str">
        <x:v>paragraph</x:v>
      </x:c>
      <x:c r="N176" s="40" t="str">
        <x:v>No</x:v>
      </x:c>
      <x:c r="O176" s="30"/>
      <x:c r="P176" s="30" t="str">
        <x:v>55:11:0;55:12:0;55:13:0;55:14:0;55:15:0;55:16:0</x:v>
      </x:c>
    </x:row>
    <x:row r="177" ht="45" customHeight="1">
      <x:c r="A177" s="30" t="str">
        <x:v>ERP-A176</x:v>
      </x:c>
      <x:c r="B177" s="30" t="str">
        <x:v>p 55</x:v>
      </x:c>
      <x:c r="C177" s="30" t="str">
        <x:v>At about 6:30am on August 29, a 450-foot-long section of I-wall along the east side of the 17th Street Canal failed, sending torrents of water into New Orleans’s Lakeview neighborhood. The water level in the 17th Street Canal at the time of failure was about 5 feet lower than the top of the wall, well below the design water level.</x:v>
      </x:c>
      <x:c r="D177" s="30" t="str">
        <x:v>ERP Report</x:v>
      </x:c>
      <x:c r="E177" s="30" t="str">
        <x:v>erpreport.pdf</x:v>
      </x:c>
      <x:c r="F177" s="40" t="str">
        <x:v>No</x:v>
      </x:c>
      <x:c r="G177" s="40" t="n">
        <x:v>0</x:v>
      </x:c>
      <x:c r="H177" s="40" t="str">
        <x:v>Unlabeled</x:v>
      </x:c>
      <x:c r="I177" s="40"/>
      <x:c r="J177" s="40"/>
      <x:c r="K177" s="30" t="str">
        <x:v>Default No — no retained human paragraph-level label in the curated GPT Test</x:v>
      </x:c>
      <x:c r="L177" s="30"/>
      <x:c r="M177" s="40" t="str">
        <x:v>paragraph</x:v>
      </x:c>
      <x:c r="N177" s="40" t="str">
        <x:v>No</x:v>
      </x:c>
      <x:c r="O177" s="30"/>
      <x:c r="P177" s="30" t="str">
        <x:v>55:18:0;55:19:0;55:20:0;55:21:0;55:22:0</x:v>
      </x:c>
    </x:row>
    <x:row r="178" ht="45" customHeight="1">
      <x:c r="A178" s="30" t="str">
        <x:v>ERP-A177</x:v>
      </x:c>
      <x:c r="B178" s="30" t="str">
        <x:v>p 55</x:v>
      </x:c>
      <x:c r="C178" s="30" t="str">
        <x:v>A cross-section of the levee and flood wall is shown in Figure 7.1. The levee and floodwall were built over a layer of organic soil called peat or marsh, which, in turn, overlays a layer of very soft clay. A principal concern with levees founded on soft soil is the possibility that the entire levee might slide either into the canal or away from the canal because of the low strength of the soft soil. This is a design problem that engineers deal with routinely. Indeed, the mechanism of failure was the levee sliding away from the canal.</x:v>
      </x:c>
      <x:c r="D178" s="30" t="str">
        <x:v>ERP Report</x:v>
      </x:c>
      <x:c r="E178" s="30" t="str">
        <x:v>erpreport.pdf</x:v>
      </x:c>
      <x:c r="F178" s="40" t="str">
        <x:v>No</x:v>
      </x:c>
      <x:c r="G178" s="40" t="n">
        <x:v>0</x:v>
      </x:c>
      <x:c r="H178" s="40" t="str">
        <x:v>Unlabeled</x:v>
      </x:c>
      <x:c r="I178" s="40"/>
      <x:c r="J178" s="40"/>
      <x:c r="K178" s="30" t="str">
        <x:v>Default No — no retained human paragraph-level label in the curated GPT Test</x:v>
      </x:c>
      <x:c r="L178" s="30"/>
      <x:c r="M178" s="40" t="str">
        <x:v>paragraph</x:v>
      </x:c>
      <x:c r="N178" s="40" t="str">
        <x:v>No</x:v>
      </x:c>
      <x:c r="O178" s="30"/>
      <x:c r="P178" s="30" t="str">
        <x:v>55:23:0;55:24:0;55:25:0;55:26:0;55:27:0;55:28:0;55:29:0</x:v>
      </x:c>
    </x:row>
    <x:row r="179" ht="45" customHeight="1">
      <x:c r="A179" s="30" t="str">
        <x:v>ERP-A178</x:v>
      </x:c>
      <x:c r="B179" s="30" t="str">
        <x:v>p 56</x:v>
      </x:c>
      <x:c r="C179" s="30" t="str">
        <x:v>To prevent the failure of a levee or I-wall such as that along the 17th Street Canal, the “resisting forces” (i.e., the strength of the underlying soil) must be greater than the “driving forces” imposed upon it (i.e., the weight of the levee and the pressure of the canal water acting against the levee and the wall). The “factor of safety” against failure occurring is the ratio of the shear resistance of the soil divided by the shear force that develops along a potential sliding surface.</x:v>
      </x:c>
      <x:c r="D179" s="30" t="str">
        <x:v>ERP Report</x:v>
      </x:c>
      <x:c r="E179" s="30" t="str">
        <x:v>erpreport.pdf</x:v>
      </x:c>
      <x:c r="F179" s="40" t="str">
        <x:v>No</x:v>
      </x:c>
      <x:c r="G179" s="40" t="n">
        <x:v>0</x:v>
      </x:c>
      <x:c r="H179" s="40" t="str">
        <x:v>Unlabeled</x:v>
      </x:c>
      <x:c r="I179" s="40"/>
      <x:c r="J179" s="40"/>
      <x:c r="K179" s="30" t="str">
        <x:v>Default No — no retained human paragraph-level label in the curated GPT Test</x:v>
      </x:c>
      <x:c r="L179" s="30"/>
      <x:c r="M179" s="40" t="str">
        <x:v>paragraph</x:v>
      </x:c>
      <x:c r="N179" s="40" t="str">
        <x:v>No</x:v>
      </x:c>
      <x:c r="O179" s="30"/>
      <x:c r="P179" s="30" t="str">
        <x:v>56:2:0;56:3:0;56:4:0;56:5:0;56:6:0;56:7:0;56:8:0</x:v>
      </x:c>
    </x:row>
    <x:row r="180" ht="45" customHeight="1">
      <x:c r="A180" s="30" t="str">
        <x:v>ERP-A179</x:v>
      </x:c>
      <x:c r="B180" s="30" t="str">
        <x:v>p 56</x:v>
      </x:c>
      <x:c r="C180" s="30" t="str">
        <x:v>If the factor of safety is less than one, failure will occur. Because the factor of safety is directly proportional to the soil strength, determining the soil strengthis one of the most important decisions that an engineer makes for levee design.</x:v>
      </x:c>
      <x:c r="D180" s="30" t="str">
        <x:v>ERP Report</x:v>
      </x:c>
      <x:c r="E180" s="30" t="str">
        <x:v>erpreport.pdf</x:v>
      </x:c>
      <x:c r="F180" s="40" t="str">
        <x:v>No</x:v>
      </x:c>
      <x:c r="G180" s="40" t="n">
        <x:v>0</x:v>
      </x:c>
      <x:c r="H180" s="40" t="str">
        <x:v>Unlabeled</x:v>
      </x:c>
      <x:c r="I180" s="40"/>
      <x:c r="J180" s="40"/>
      <x:c r="K180" s="30" t="str">
        <x:v>Default No — no retained human paragraph-level label in the curated GPT Test</x:v>
      </x:c>
      <x:c r="L180" s="30"/>
      <x:c r="M180" s="40" t="str">
        <x:v>paragraph</x:v>
      </x:c>
      <x:c r="N180" s="40" t="str">
        <x:v>No</x:v>
      </x:c>
      <x:c r="O180" s="30"/>
      <x:c r="P180" s="30" t="str">
        <x:v>56:9:0;56:10:0;56:11:0;56:12:0</x:v>
      </x:c>
    </x:row>
    <x:row r="181" ht="45" customHeight="1">
      <x:c r="A181" s="30" t="str">
        <x:v>ERP-A180</x:v>
      </x:c>
      <x:c r="B181" s="30" t="str">
        <x:v>p 56</x:v>
      </x:c>
      <x:c r="C181" s="30" t="str">
        <x:v>The engineers responsible for the design of the levee and I-wall overestimated the soil strength — meaning that the soil strengthused in the design calculations was greater than what actually existed under and near the levee during Hurricane Katrina.</x:v>
      </x:c>
      <x:c r="D181" s="30" t="str">
        <x:v>ERP Report</x:v>
      </x:c>
      <x:c r="E181" s="30" t="str">
        <x:v>erpreport.pdf</x:v>
      </x:c>
      <x:c r="F181" s="40" t="str">
        <x:v>No</x:v>
      </x:c>
      <x:c r="G181" s="40" t="n">
        <x:v>0</x:v>
      </x:c>
      <x:c r="H181" s="40" t="str">
        <x:v>Unlabeled</x:v>
      </x:c>
      <x:c r="I181" s="40"/>
      <x:c r="J181" s="40"/>
      <x:c r="K181" s="30" t="str">
        <x:v>Default No — no retained human paragraph-level label in the curated GPT Test</x:v>
      </x:c>
      <x:c r="L181" s="30"/>
      <x:c r="M181" s="40" t="str">
        <x:v>paragraph</x:v>
      </x:c>
      <x:c r="N181" s="40" t="str">
        <x:v>No</x:v>
      </x:c>
      <x:c r="O181" s="30"/>
      <x:c r="P181" s="30" t="str">
        <x:v>56:13:0;56:14:0;56:15:0;56:16:0</x:v>
      </x:c>
    </x:row>
    <x:row r="182" ht="45" customHeight="1">
      <x:c r="A182" s="30" t="str">
        <x:v>ERP-A181</x:v>
      </x:c>
      <x:c r="B182" s="30" t="str">
        <x:v>p 56</x:v>
      </x:c>
      <x:c r="C182" s="30" t="str">
        <x:v>Figure 7.2 illustrates how the soil data were mis-interpreted. During a soil investigation, samples are obtained from drill holes and tested in a laboratory to determine soil properties. From a plot of the soil strength data, conservative values should be selected for design.</x:v>
      </x:c>
      <x:c r="D182" s="30" t="str">
        <x:v>ERP Report</x:v>
      </x:c>
      <x:c r="E182" s="30" t="str">
        <x:v>erpreport.pdf</x:v>
      </x:c>
      <x:c r="F182" s="40" t="str">
        <x:v>Yes</x:v>
      </x:c>
      <x:c r="G182" s="40" t="n">
        <x:v>1</x:v>
      </x:c>
      <x:c r="H182" s="40" t="str">
        <x:v>Direct human-labeled/adjudicated</x:v>
      </x:c>
      <x:c r="I182" s="40" t="str">
        <x:v>Anmol, Kyle</x:v>
      </x:c>
      <x:c r="J182" s="40" t="str">
        <x:v>ERP-012</x:v>
      </x:c>
      <x:c r="K182" s="30" t="str">
        <x:v>Retained human/adjudicated label from the curated GPT Test after PyMuPDF source reconciliation.</x:v>
      </x:c>
      <x:c r="L182" s="30" t="str">
        <x:v>This identifies a engineering flaw in soil strength estimation and calls for adopting more conservative estimates.</x:v>
      </x:c>
      <x:c r="M182" s="40" t="str">
        <x:v>paragraph</x:v>
      </x:c>
      <x:c r="N182" s="40" t="str">
        <x:v>No</x:v>
      </x:c>
      <x:c r="O182" s="30"/>
      <x:c r="P182" s="30" t="str">
        <x:v>56:17:0;56:18:0;56:19:0;56:20:0</x:v>
      </x:c>
    </x:row>
    <x:row r="183" ht="45" customHeight="1">
      <x:c r="A183" s="30" t="str">
        <x:v>ERP-A182</x:v>
      </x:c>
      <x:c r="B183" s="30" t="str">
        <x:v>p 56</x:v>
      </x:c>
      <x:c r="C183" s="30" t="str">
        <x:v>For the 17th Street Canal failure, the critical zone for sliding was the soft clay between elevations -15 and -30 feet. The soil strength value chosen for design is highlighted by the red line. There are twice the number of data points to the left of (weaker than) the design shear strength profile than to the right (stronger than). The engineers made an unconservative (i.e., erring toward unsafe) interpretation of the data: the soil below the levee was actually weaker than that used in the I-wall design.</x:v>
      </x:c>
      <x:c r="D183" s="30" t="str">
        <x:v>ERP Report</x:v>
      </x:c>
      <x:c r="E183" s="30" t="str">
        <x:v>erpreport.pdf</x:v>
      </x:c>
      <x:c r="F183" s="40" t="str">
        <x:v>No</x:v>
      </x:c>
      <x:c r="G183" s="40" t="n">
        <x:v>0</x:v>
      </x:c>
      <x:c r="H183" s="40" t="str">
        <x:v>Unlabeled</x:v>
      </x:c>
      <x:c r="I183" s="40"/>
      <x:c r="J183" s="40"/>
      <x:c r="K183" s="30" t="str">
        <x:v>Default No — no retained human paragraph-level label in the curated GPT Test</x:v>
      </x:c>
      <x:c r="L183" s="30"/>
      <x:c r="M183" s="40" t="str">
        <x:v>paragraph</x:v>
      </x:c>
      <x:c r="N183" s="40" t="str">
        <x:v>No</x:v>
      </x:c>
      <x:c r="O183" s="30"/>
      <x:c r="P183" s="30" t="str">
        <x:v>56:21:0;56:22:0;56:23:0;56:24:0;56:25:0;56:26:0;56:27:0</x:v>
      </x:c>
    </x:row>
    <x:row r="184" ht="45" customHeight="1">
      <x:c r="A184" s="30" t="str">
        <x:v>ERP-A183</x:v>
      </x:c>
      <x:c r="B184" s="30" t="str">
        <x:v>p 56</x:v>
      </x:c>
      <x:c r="C184" s="30" t="str">
        <x:v>Two additional important factors led to an over-estimate of the soil strength below the 17th Street Canal. First, the data shown in Figure 7.2 represent the values from borings drilled along the centerline of the levee over a distance of 8,000 feet — about 11⁄2 miles. Lumping together data over distances is not uncommon. However, care must be taken in areas where there is geologic variability — such as in the New Orleans area — where the soil is stronger in some areas and weaker in others. Data from borings closest to the 17th Street Canal failure indicate that the actual average soil strength in the critical stability zone at the breach site is around 0.13 tons per square foot (tsf), compared to the engineer’s design strength of 0.19 tsf — or approximately 32 percent lower.</x:v>
      </x:c>
      <x:c r="D184" s="30" t="str">
        <x:v>ERP Report</x:v>
      </x:c>
      <x:c r="E184" s="30" t="str">
        <x:v>erpreport.pdf</x:v>
      </x:c>
      <x:c r="F184" s="40" t="str">
        <x:v>No</x:v>
      </x:c>
      <x:c r="G184" s="40" t="n">
        <x:v>0</x:v>
      </x:c>
      <x:c r="H184" s="40" t="str">
        <x:v>Unlabeled</x:v>
      </x:c>
      <x:c r="I184" s="40"/>
      <x:c r="J184" s="40"/>
      <x:c r="K184" s="30" t="str">
        <x:v>Default No — no retained human paragraph-level label in the curated GPT Test</x:v>
      </x:c>
      <x:c r="L184" s="30"/>
      <x:c r="M184" s="40" t="str">
        <x:v>paragraph</x:v>
      </x:c>
      <x:c r="N184" s="40" t="str">
        <x:v>No</x:v>
      </x:c>
      <x:c r="O184" s="30"/>
      <x:c r="P184" s="30" t="str">
        <x:v>56:28:0;56:29:0;56:30:0;56:31:0;56:32:0;56:33:0;56:34:0;56:35:0;56:36:0;56:37:0;56:38:0</x:v>
      </x:c>
    </x:row>
    <x:row r="185" ht="45" customHeight="1">
      <x:c r="A185" s="30" t="str">
        <x:v>ERP-A184</x:v>
      </x:c>
      <x:c r="B185" s="30" t="str">
        <x:v>p 57</x:v>
      </x:c>
      <x:c r="C185" s="30" t="str">
        <x:v>Second, the data shown in Figure 7.2 were obtained from borings drilled along the centerline of the levee; the key word here is the word “centerline.” It is well understood that clay soil is consolidated and strengthened by the weight of overlying soil. The soft clay below the centerline of the levee was therefore stronger than the soil below and beyond the edge of the levee. Recent soil investigations by the USACE verify this: the orange-dashed line in Figure 7.2 shows the average strength profile below the centerline of the levee, whereas the blue-dashed line shows the lower strength beneath and beyond the toe of the levee slope. The design engineers did not take this into account, and, accordingly, over-estimated the strength of the soil outside the footprint of the levee.</x:v>
      </x:c>
      <x:c r="D185" s="30" t="str">
        <x:v>ERP Report</x:v>
      </x:c>
      <x:c r="E185" s="30" t="str">
        <x:v>erpreport.pdf</x:v>
      </x:c>
      <x:c r="F185" s="40" t="str">
        <x:v>No</x:v>
      </x:c>
      <x:c r="G185" s="40" t="n">
        <x:v>0</x:v>
      </x:c>
      <x:c r="H185" s="40" t="str">
        <x:v>Unlabeled</x:v>
      </x:c>
      <x:c r="I185" s="40"/>
      <x:c r="J185" s="40"/>
      <x:c r="K185" s="30" t="str">
        <x:v>Default No — no retained human paragraph-level label in the curated GPT Test</x:v>
      </x:c>
      <x:c r="L185" s="30"/>
      <x:c r="M185" s="40" t="str">
        <x:v>paragraph</x:v>
      </x:c>
      <x:c r="N185" s="40" t="str">
        <x:v>No</x:v>
      </x:c>
      <x:c r="O185" s="30"/>
      <x:c r="P185" s="30" t="str">
        <x:v>57:4:0;57:5:0;57:6:0;57:7:0;57:8:0;57:9:0;57:10:0;57:11:0;57:12:0;57:13:0;57:14:0</x:v>
      </x:c>
    </x:row>
    <x:row r="186" ht="45" customHeight="1">
      <x:c r="A186" s="30" t="str">
        <x:v>ERP-A185</x:v>
      </x:c>
      <x:c r="B186" s="30" t="str">
        <x:v>p 57</x:v>
      </x:c>
      <x:c r="C186" s="30" t="str">
        <x:v>Over-estimating the soil strength below the levee set the stage, but was not the sole cause of the 17th Street Canal failure. The factor of safety for slope stability analyses such as these — the resisting forces divided by driving forces — must be greater than one. The higher the factor of safety above one, the less likely the levee will fail.</x:v>
      </x:c>
      <x:c r="D186" s="30" t="str">
        <x:v>ERP Report</x:v>
      </x:c>
      <x:c r="E186" s="30" t="str">
        <x:v>erpreport.pdf</x:v>
      </x:c>
      <x:c r="F186" s="40" t="str">
        <x:v>No</x:v>
      </x:c>
      <x:c r="G186" s="40" t="n">
        <x:v>0</x:v>
      </x:c>
      <x:c r="H186" s="40" t="str">
        <x:v>Unlabeled</x:v>
      </x:c>
      <x:c r="I186" s="40"/>
      <x:c r="J186" s="40"/>
      <x:c r="K186" s="30" t="str">
        <x:v>Default No — no retained human paragraph-level label in the curated GPT Test</x:v>
      </x:c>
      <x:c r="L186" s="30"/>
      <x:c r="M186" s="40" t="str">
        <x:v>paragraph</x:v>
      </x:c>
      <x:c r="N186" s="40" t="str">
        <x:v>No</x:v>
      </x:c>
      <x:c r="O186" s="30"/>
      <x:c r="P186" s="30" t="str">
        <x:v>57:16:0;57:17:0;57:18:0;57:19:0;57:20:0</x:v>
      </x:c>
    </x:row>
    <x:row r="187" ht="45" customHeight="1">
      <x:c r="A187" s="30" t="str">
        <x:v>ERP-A186</x:v>
      </x:c>
      <x:c r="B187" s="30" t="str">
        <x:v>p 58</x:v>
      </x:c>
      <x:c r="C187" s="30" t="str">
        <x:v>The target factor of safety chosen by the design engineers for the 17th Street Canal levee and floodwall design was 1.3. A target factor of safety of 1.3 is at the low end of generally accepted engineering values, and is inconsistent with current USACE standards. Key USACE design guidance documents call for a target factor of safety of at least 1.4 to 1.5 under long-term conditions.</x:v>
      </x:c>
      <x:c r="D187" s="30" t="str">
        <x:v>ERP Report</x:v>
      </x:c>
      <x:c r="E187" s="30" t="str">
        <x:v>erpreport.pdf</x:v>
      </x:c>
      <x:c r="F187" s="40" t="str">
        <x:v>No</x:v>
      </x:c>
      <x:c r="G187" s="40" t="n">
        <x:v>0</x:v>
      </x:c>
      <x:c r="H187" s="40" t="str">
        <x:v>Unlabeled</x:v>
      </x:c>
      <x:c r="I187" s="40"/>
      <x:c r="J187" s="40"/>
      <x:c r="K187" s="30" t="str">
        <x:v>Default No — no retained human paragraph-level label in the curated GPT Test</x:v>
      </x:c>
      <x:c r="L187" s="30"/>
      <x:c r="M187" s="40" t="str">
        <x:v>paragraph</x:v>
      </x:c>
      <x:c r="N187" s="40" t="str">
        <x:v>No</x:v>
      </x:c>
      <x:c r="O187" s="30"/>
      <x:c r="P187" s="30" t="str">
        <x:v>58:1:0;58:2:0;58:3:0;58:4:0;58:5:0;58:6:0</x:v>
      </x:c>
    </x:row>
    <x:row r="188" ht="45" customHeight="1">
      <x:c r="A188" s="30" t="str">
        <x:v>ERP-A187</x:v>
      </x:c>
      <x:c r="B188" s="30" t="str">
        <x:v>p 58</x:v>
      </x:c>
      <x:c r="C188" s="30" t="str">
        <x:v>The cumulative effect of using a target factor of safety of 1.3 and over-estimating the soil strength — a compounding error — was disastrous. The design was simply too close to the margin of safety, allowing little or no room to account for variables or uncertainties.</x:v>
      </x:c>
      <x:c r="D188" s="30" t="str">
        <x:v>ERP Report</x:v>
      </x:c>
      <x:c r="E188" s="30" t="str">
        <x:v>erpreport.pdf</x:v>
      </x:c>
      <x:c r="F188" s="40" t="str">
        <x:v>No</x:v>
      </x:c>
      <x:c r="G188" s="40" t="n">
        <x:v>0</x:v>
      </x:c>
      <x:c r="H188" s="40" t="str">
        <x:v>Unlabeled</x:v>
      </x:c>
      <x:c r="I188" s="40"/>
      <x:c r="J188" s="40"/>
      <x:c r="K188" s="30" t="str">
        <x:v>Default No — no retained human paragraph-level label in the curated GPT Test</x:v>
      </x:c>
      <x:c r="L188" s="30"/>
      <x:c r="M188" s="40" t="str">
        <x:v>paragraph</x:v>
      </x:c>
      <x:c r="N188" s="40" t="str">
        <x:v>No</x:v>
      </x:c>
      <x:c r="O188" s="30"/>
      <x:c r="P188" s="30" t="str">
        <x:v>58:7:0;58:8:0;58:9:0;58:10:0</x:v>
      </x:c>
    </x:row>
    <x:row r="189" ht="45" customHeight="1">
      <x:c r="A189" s="30" t="str">
        <x:v>ERP-A188</x:v>
      </x:c>
      <x:c r="B189" s="30" t="str">
        <x:v>p 58</x:v>
      </x:c>
      <x:c r="C189" s="30" t="str">
        <x:v>Another critical engineering oversight that led to the failure of the 17th Street Canal involves not taking into account the possibility of a water-filled gap, which is illustrated in the diagram in Figure 7.3. The water-filled gap turned out to be a very important aspect of the failures of the I-walls around New Orleans.</x:v>
      </x:c>
      <x:c r="D189" s="30" t="str">
        <x:v>ERP Report</x:v>
      </x:c>
      <x:c r="E189" s="30" t="str">
        <x:v>erpreport.pdf</x:v>
      </x:c>
      <x:c r="F189" s="40" t="str">
        <x:v>No</x:v>
      </x:c>
      <x:c r="G189" s="40" t="n">
        <x:v>0</x:v>
      </x:c>
      <x:c r="H189" s="40" t="str">
        <x:v>Unlabeled</x:v>
      </x:c>
      <x:c r="I189" s="40"/>
      <x:c r="J189" s="40"/>
      <x:c r="K189" s="30" t="str">
        <x:v>Default No — no retained human paragraph-level label in the curated GPT Test</x:v>
      </x:c>
      <x:c r="L189" s="30"/>
      <x:c r="M189" s="40" t="str">
        <x:v>paragraph</x:v>
      </x:c>
      <x:c r="N189" s="40" t="str">
        <x:v>No</x:v>
      </x:c>
      <x:c r="O189" s="30"/>
      <x:c r="P189" s="30" t="str">
        <x:v>58:12:0;58:13:0;58:14:0;58:15:0;58:16:0</x:v>
      </x:c>
    </x:row>
    <x:row r="190" ht="45" customHeight="1">
      <x:c r="A190" s="30" t="str">
        <x:v>ERP-A189</x:v>
      </x:c>
      <x:c r="B190" s="30" t="str">
        <x:v>p 58</x:v>
      </x:c>
      <x:c r="C190" s="30" t="str">
        <x:v>Figure 7.4 illustrates the reason the water-filled gap led to failure of several I-walls. The first diagram in Figure 7.4 shows the critical sliding surface passing beneath the 17th Street Canal I-wall and through soil between the wall and the canal — without a water-filled gap. The shearing resistance provided by this segment along the failure surface adds to the stability. In the second diagram of Figure 7.4, representing the actual situation with a gap, the critical sliding surface starts at the base of the water-filled gap. The sliding surface cuts through less soil, so that less resisting soil strength can be mobilized. In addition, the pressure on the wall generated by the water in the gap adds to the forces tending to slide the wall away from the canal.</x:v>
      </x:c>
      <x:c r="D190" s="30" t="str">
        <x:v>ERP Report</x:v>
      </x:c>
      <x:c r="E190" s="30" t="str">
        <x:v>erpreport.pdf</x:v>
      </x:c>
      <x:c r="F190" s="40" t="str">
        <x:v>No</x:v>
      </x:c>
      <x:c r="G190" s="40" t="n">
        <x:v>0</x:v>
      </x:c>
      <x:c r="H190" s="40" t="str">
        <x:v>Unlabeled</x:v>
      </x:c>
      <x:c r="I190" s="40"/>
      <x:c r="J190" s="40"/>
      <x:c r="K190" s="30" t="str">
        <x:v>Default No — no retained human paragraph-level label in the curated GPT Test</x:v>
      </x:c>
      <x:c r="L190" s="30"/>
      <x:c r="M190" s="40" t="str">
        <x:v>paragraph</x:v>
      </x:c>
      <x:c r="N190" s="40" t="str">
        <x:v>No</x:v>
      </x:c>
      <x:c r="O190" s="30"/>
      <x:c r="P190" s="30" t="str">
        <x:v>58:21:0;58:22:0;58:23:0;58:24:0;58:25:0;58:26:0;58:27:0;58:28:0;58:29:0;58:30:0</x:v>
      </x:c>
    </x:row>
    <x:row r="191" ht="45" customHeight="1">
      <x:c r="A191" s="30" t="str">
        <x:v>ERP-A190</x:v>
      </x:c>
      <x:c r="B191" s="30" t="str">
        <x:v>p 59</x:v>
      </x:c>
      <x:c r="C191" s="30" t="str">
        <x:v>Analyses indicate that, with the presence of a water-filled gap, the factor of safety is about 30 percent lower. Because a factor of safety of 1.3 was used for design, a reduction by 30 percent would reduce the factor of safety to approximately one: a condition of incipient failure.</x:v>
      </x:c>
      <x:c r="D191" s="30" t="str">
        <x:v>ERP Report</x:v>
      </x:c>
      <x:c r="E191" s="30" t="str">
        <x:v>erpreport.pdf</x:v>
      </x:c>
      <x:c r="F191" s="40" t="str">
        <x:v>No</x:v>
      </x:c>
      <x:c r="G191" s="40" t="n">
        <x:v>0</x:v>
      </x:c>
      <x:c r="H191" s="40" t="str">
        <x:v>Unlabeled</x:v>
      </x:c>
      <x:c r="I191" s="40"/>
      <x:c r="J191" s="40"/>
      <x:c r="K191" s="30" t="str">
        <x:v>Default No — no retained human paragraph-level label in the curated GPT Test</x:v>
      </x:c>
      <x:c r="L191" s="30"/>
      <x:c r="M191" s="40" t="str">
        <x:v>paragraph</x:v>
      </x:c>
      <x:c r="N191" s="40" t="str">
        <x:v>No</x:v>
      </x:c>
      <x:c r="O191" s="30"/>
      <x:c r="P191" s="30" t="str">
        <x:v>59:1:0;59:2:0;59:3:0;59:4:0</x:v>
      </x:c>
    </x:row>
    <x:row r="192" ht="45" customHeight="1">
      <x:c r="A192" s="30" t="str">
        <x:v>ERP-A191</x:v>
      </x:c>
      <x:c r="B192" s="30" t="str">
        <x:v>p 59</x:v>
      </x:c>
      <x:c r="C192" s="30" t="str">
        <x:v>In 1985, the USACE performed a full-scale field test on an I-wall to help verify design criteria for I-walls under high-water conditions. This field test, although focused on structural design criteria, also revealed the potential for large I-wall deflections. The observed deflections, nearly 3 inches at the ground surface, caused researchers to include the following statement in the report: “Although the test wall was not loaded to ‘failure,’... failure may have been imminent.” (USACE (1988), “E-99 Sheet Pile Wall, Field Load Test Report,” Lower Mississippi Valley Division, Vicksburg, MS, 85 p.)</x:v>
      </x:c>
      <x:c r="D192" s="30" t="str">
        <x:v>ERP Report</x:v>
      </x:c>
      <x:c r="E192" s="30" t="str">
        <x:v>erpreport.pdf</x:v>
      </x:c>
      <x:c r="F192" s="40" t="str">
        <x:v>No</x:v>
      </x:c>
      <x:c r="G192" s="40" t="n">
        <x:v>0</x:v>
      </x:c>
      <x:c r="H192" s="40" t="str">
        <x:v>Unlabeled</x:v>
      </x:c>
      <x:c r="I192" s="40"/>
      <x:c r="J192" s="40"/>
      <x:c r="K192" s="30" t="str">
        <x:v>Default No — no retained human paragraph-level label in the curated GPT Test</x:v>
      </x:c>
      <x:c r="L192" s="30"/>
      <x:c r="M192" s="40" t="str">
        <x:v>paragraph</x:v>
      </x:c>
      <x:c r="N192" s="40" t="str">
        <x:v>No</x:v>
      </x:c>
      <x:c r="O192" s="30"/>
      <x:c r="P192" s="30" t="str">
        <x:v>59:12:0;59:13:0;59:14:0;59:15:0;59:16:0;59:17:0;59:18:0;59:19:0</x:v>
      </x:c>
    </x:row>
    <x:row r="193" ht="45" customHeight="1">
      <x:c r="A193" s="30" t="str">
        <x:v>ERP-A192</x:v>
      </x:c>
      <x:c r="B193" s="30" t="str">
        <x:v>p 60</x:v>
      </x:c>
      <x:c r="C193" s="30" t="str">
        <x:v>In the late 1990s, sophisticated computer modeling of the field test indicated that, “As the water level rises, the increased loading may produce separation of the soil from the pile on the flooded side (i.e., a tension crack develops behind the wall). Intrusion of free water into the tension crack produces additional hydrostatic pressures on the wall side of the crack...”</x:v>
      </x:c>
      <x:c r="D193" s="30" t="str">
        <x:v>ERP Report</x:v>
      </x:c>
      <x:c r="E193" s="30" t="str">
        <x:v>erpreport.pdf</x:v>
      </x:c>
      <x:c r="F193" s="40" t="str">
        <x:v>No</x:v>
      </x:c>
      <x:c r="G193" s="40" t="n">
        <x:v>0</x:v>
      </x:c>
      <x:c r="H193" s="40" t="str">
        <x:v>Unlabeled</x:v>
      </x:c>
      <x:c r="I193" s="40"/>
      <x:c r="J193" s="40"/>
      <x:c r="K193" s="30" t="str">
        <x:v>Default No — no retained human paragraph-level label in the curated GPT Test</x:v>
      </x:c>
      <x:c r="L193" s="30"/>
      <x:c r="M193" s="40" t="str">
        <x:v>paragraph</x:v>
      </x:c>
      <x:c r="N193" s="40" t="str">
        <x:v>No</x:v>
      </x:c>
      <x:c r="O193" s="30"/>
      <x:c r="P193" s="30" t="str">
        <x:v>60:1:0;60:2:0;60:3:0;60:4:0;60:5:0</x:v>
      </x:c>
    </x:row>
    <x:row r="194" ht="45" customHeight="1">
      <x:c r="A194" s="30" t="str">
        <x:v>ERP-A193</x:v>
      </x:c>
      <x:c r="B194" s="30" t="str">
        <x:v>p 60</x:v>
      </x:c>
      <x:c r="C194" s="30" t="str">
        <x:v>Thus, USACE researchers clearly recognized the potential for a water-filled gap to develop. This knowledge has now been found to be very important. As research and new information evolved in the 1980s and 1990s, the design of the existing I-walls was not checked for safety and stability in the light of new information.</x:v>
      </x:c>
      <x:c r="D194" s="30" t="str">
        <x:v>ERP Report</x:v>
      </x:c>
      <x:c r="E194" s="30" t="str">
        <x:v>erpreport.pdf</x:v>
      </x:c>
      <x:c r="F194" s="40" t="str">
        <x:v>No</x:v>
      </x:c>
      <x:c r="G194" s="40" t="n">
        <x:v>0</x:v>
      </x:c>
      <x:c r="H194" s="40" t="str">
        <x:v>Unlabeled</x:v>
      </x:c>
      <x:c r="I194" s="40"/>
      <x:c r="J194" s="40"/>
      <x:c r="K194" s="30" t="str">
        <x:v>Default No — no retained human paragraph-level label in the curated GPT Test</x:v>
      </x:c>
      <x:c r="L194" s="30"/>
      <x:c r="M194" s="40" t="str">
        <x:v>paragraph</x:v>
      </x:c>
      <x:c r="N194" s="40" t="str">
        <x:v>No</x:v>
      </x:c>
      <x:c r="O194" s="30"/>
      <x:c r="P194" s="30" t="str">
        <x:v>60:6:0;60:7:0;60:8:0;60:9:0;60:10:0</x:v>
      </x:c>
    </x:row>
    <x:row r="195" ht="45" customHeight="1">
      <x:c r="A195" s="30" t="str">
        <x:v>ERP-A194</x:v>
      </x:c>
      <x:c r="B195" s="30" t="str">
        <x:v>p 60</x:v>
      </x:c>
      <x:c r="C195" s="30" t="str">
        <x:v>The London Avenue Canal South Breach occurred around 6 to 7am on August 29th, sending tons of sand and water into the New Orleans Gentilly neighborhood. As with the 17th Street Canal, the water level in the London Avenue Canal at the time of failure was about 5 feet lower than the top of the wall, well below the design water level.</x:v>
      </x:c>
      <x:c r="D195" s="30" t="str">
        <x:v>ERP Report</x:v>
      </x:c>
      <x:c r="E195" s="30" t="str">
        <x:v>erpreport.pdf</x:v>
      </x:c>
      <x:c r="F195" s="40" t="str">
        <x:v>No</x:v>
      </x:c>
      <x:c r="G195" s="40" t="n">
        <x:v>0</x:v>
      </x:c>
      <x:c r="H195" s="40" t="str">
        <x:v>Unlabeled</x:v>
      </x:c>
      <x:c r="I195" s="40"/>
      <x:c r="J195" s="40"/>
      <x:c r="K195" s="30" t="str">
        <x:v>Default No — no retained human paragraph-level label in the curated GPT Test</x:v>
      </x:c>
      <x:c r="L195" s="30"/>
      <x:c r="M195" s="40" t="str">
        <x:v>paragraph</x:v>
      </x:c>
      <x:c r="N195" s="40" t="str">
        <x:v>No</x:v>
      </x:c>
      <x:c r="O195" s="30"/>
      <x:c r="P195" s="30" t="str">
        <x:v>60:12:0;60:13:0;60:14:0;60:15:0;60:16:0</x:v>
      </x:c>
    </x:row>
    <x:row r="196" ht="45" customHeight="1">
      <x:c r="A196" s="30" t="str">
        <x:v>ERP-A195</x:v>
      </x:c>
      <x:c r="B196" s="30" t="str">
        <x:v>p 60</x:v>
      </x:c>
      <x:c r="C196" s="30" t="str">
        <x:v>The soil beneath the London Avenue Canal South Breach area is sand beneath the marsh layer, rather than soft clay, as was the case at the 17th Street Canal breach location. A cross-section describing the failure mechanism is shown in Figure 7.5.</x:v>
      </x:c>
      <x:c r="D196" s="30" t="str">
        <x:v>ERP Report</x:v>
      </x:c>
      <x:c r="E196" s="30" t="str">
        <x:v>erpreport.pdf</x:v>
      </x:c>
      <x:c r="F196" s="40" t="str">
        <x:v>No</x:v>
      </x:c>
      <x:c r="G196" s="40" t="n">
        <x:v>0</x:v>
      </x:c>
      <x:c r="H196" s="40" t="str">
        <x:v>Unlabeled</x:v>
      </x:c>
      <x:c r="I196" s="40"/>
      <x:c r="J196" s="40"/>
      <x:c r="K196" s="30" t="str">
        <x:v>Default No — no retained human paragraph-level label in the curated GPT Test</x:v>
      </x:c>
      <x:c r="L196" s="30"/>
      <x:c r="M196" s="40" t="str">
        <x:v>paragraph</x:v>
      </x:c>
      <x:c r="N196" s="40" t="str">
        <x:v>No</x:v>
      </x:c>
      <x:c r="O196" s="30"/>
      <x:c r="P196" s="30" t="str">
        <x:v>60:17:0;60:18:0;60:19:0;60:20:0</x:v>
      </x:c>
    </x:row>
    <x:row r="197" ht="45" customHeight="1">
      <x:c r="A197" s="30" t="str">
        <x:v>ERP-A196</x:v>
      </x:c>
      <x:c r="B197" s="30" t="str">
        <x:v>pp 60-61</x:v>
      </x:c>
      <x:c r="C197" s="30" t="str">
        <x:v>As the water level rose in the canal, water seeped into the highly permeable sand, flowing under the levee toward the land-side of the wall. The water pressure acted upward on the bottom of the marsh layer. The stability of the levee under this type of condition hinges on whether the weight of the overlying material is great enough to resist the uplift water pressure acting upward on it. In well-designed structures, the uplift water pressure is never allowed to come close to the weight of the overlying soil. At the London Avenue Canal South Breach, however, the water pressure exceeded the weight of the marsh layer and the topsoil above it.</x:v>
      </x:c>
      <x:c r="D197" s="30" t="str">
        <x:v>ERP Report</x:v>
      </x:c>
      <x:c r="E197" s="30" t="str">
        <x:v>erpreport.pdf</x:v>
      </x:c>
      <x:c r="F197" s="40" t="str">
        <x:v>No</x:v>
      </x:c>
      <x:c r="G197" s="40" t="n">
        <x:v>0</x:v>
      </x:c>
      <x:c r="H197" s="40" t="str">
        <x:v>Unlabeled</x:v>
      </x:c>
      <x:c r="I197" s="40"/>
      <x:c r="J197" s="40"/>
      <x:c r="K197" s="30" t="str">
        <x:v>Default No — no retained human paragraph-level label in the curated GPT Test</x:v>
      </x:c>
      <x:c r="L197" s="30"/>
      <x:c r="M197" s="40" t="str">
        <x:v>paragraph</x:v>
      </x:c>
      <x:c r="N197" s="40" t="str">
        <x:v>No</x:v>
      </x:c>
      <x:c r="O197" s="30"/>
      <x:c r="P197" s="30" t="str">
        <x:v>60:25:0;60:26:0;60:27:0;60:28:0;60:29:0;60:30:0;60:31:0;61:1:0;61:2:0</x:v>
      </x:c>
    </x:row>
    <x:row r="198" ht="45" customHeight="1">
      <x:c r="A198" s="30" t="str">
        <x:v>ERP-A197</x:v>
      </x:c>
      <x:c r="B198" s="30" t="str">
        <x:v>p 61</x:v>
      </x:c>
      <x:c r="C198" s="30" t="str">
        <x:v>The marsh layer was lifted up off the sand and cracked open, which allowed water to rush through the cracks. After the cracks developed, the upward-rushing water carried sand with it, gouging and scouring a hole that rapidly expanded and worked its way back under the levee, undermining and destroying it (Figure 7.6).</x:v>
      </x:c>
      <x:c r="D198" s="30" t="str">
        <x:v>ERP Report</x:v>
      </x:c>
      <x:c r="E198" s="30" t="str">
        <x:v>erpreport.pdf</x:v>
      </x:c>
      <x:c r="F198" s="40" t="str">
        <x:v>No</x:v>
      </x:c>
      <x:c r="G198" s="40" t="n">
        <x:v>0</x:v>
      </x:c>
      <x:c r="H198" s="40" t="str">
        <x:v>Unlabeled</x:v>
      </x:c>
      <x:c r="I198" s="40"/>
      <x:c r="J198" s="40"/>
      <x:c r="K198" s="30" t="str">
        <x:v>Default No — no retained human paragraph-level label in the curated GPT Test</x:v>
      </x:c>
      <x:c r="L198" s="30"/>
      <x:c r="M198" s="40" t="str">
        <x:v>paragraph</x:v>
      </x:c>
      <x:c r="N198" s="40" t="str">
        <x:v>No</x:v>
      </x:c>
      <x:c r="O198" s="30"/>
      <x:c r="P198" s="30" t="str">
        <x:v>61:3:0;61:4:0;61:5:0;61:6:0;61:7:0</x:v>
      </x:c>
    </x:row>
    <x:row r="199" ht="45" customHeight="1">
      <x:c r="A199" s="30" t="str">
        <x:v>ERP-A198</x:v>
      </x:c>
      <x:c r="B199" s="30" t="str">
        <x:v>p 61</x:v>
      </x:c>
      <x:c r="C199" s="30" t="str">
        <x:v>The mechanisms of seepage and subsurface erosion have been well known for decades. Seepage beneath levees is discussed in depth in the USACE Engineer Manual EM1110-2-1913, “Design and Construction of Levees.” Chapter 5, “Seepage Control,” begins as follows:</x:v>
      </x:c>
      <x:c r="D199" s="30" t="str">
        <x:v>ERP Report</x:v>
      </x:c>
      <x:c r="E199" s="30" t="str">
        <x:v>erpreport.pdf</x:v>
      </x:c>
      <x:c r="F199" s="40" t="str">
        <x:v>No</x:v>
      </x:c>
      <x:c r="G199" s="40" t="n">
        <x:v>0</x:v>
      </x:c>
      <x:c r="H199" s="40" t="str">
        <x:v>Unlabeled</x:v>
      </x:c>
      <x:c r="I199" s="40"/>
      <x:c r="J199" s="40"/>
      <x:c r="K199" s="30" t="str">
        <x:v>Default No — no retained human paragraph-level label in the curated GPT Test</x:v>
      </x:c>
      <x:c r="L199" s="30"/>
      <x:c r="M199" s="40" t="str">
        <x:v>paragraph</x:v>
      </x:c>
      <x:c r="N199" s="40" t="str">
        <x:v>No</x:v>
      </x:c>
      <x:c r="O199" s="30"/>
      <x:c r="P199" s="30" t="str">
        <x:v>61:13:0;61:14:0;61:15:0;61:16:0</x:v>
      </x:c>
    </x:row>
    <x:row r="200" ht="45" customHeight="1">
      <x:c r="A200" s="30" t="str">
        <x:v>ERP-A199</x:v>
      </x:c>
      <x:c r="B200" s="30" t="str">
        <x:v>p 61</x:v>
      </x:c>
      <x:c r="C200" s="30" t="str">
        <x:v>“Without control, underseepage in pervious foundations beneath levees may result in (a) excessive hydrostatic pressures beneath an impervious stratum on the landside, (b) sand boils, and (c) piping beneath the levee itself. Underseepage problems are most acute where a pervious substratum underlies a levee and extends both landward and riverward of the levee and where a relatively thin top stratum exists on the landside of a levee.”</x:v>
      </x:c>
      <x:c r="D200" s="30" t="str">
        <x:v>ERP Report</x:v>
      </x:c>
      <x:c r="E200" s="30" t="str">
        <x:v>erpreport.pdf</x:v>
      </x:c>
      <x:c r="F200" s="40" t="str">
        <x:v>No</x:v>
      </x:c>
      <x:c r="G200" s="40" t="n">
        <x:v>0</x:v>
      </x:c>
      <x:c r="H200" s="40" t="str">
        <x:v>Unlabeled</x:v>
      </x:c>
      <x:c r="I200" s="40"/>
      <x:c r="J200" s="40"/>
      <x:c r="K200" s="30" t="str">
        <x:v>Default No — no retained human paragraph-level label in the curated GPT Test</x:v>
      </x:c>
      <x:c r="L200" s="30"/>
      <x:c r="M200" s="40" t="str">
        <x:v>paragraph</x:v>
      </x:c>
      <x:c r="N200" s="40" t="str">
        <x:v>No</x:v>
      </x:c>
      <x:c r="O200" s="30"/>
      <x:c r="P200" s="30" t="str">
        <x:v>61:17:0;61:18:0;61:19:0;61:20:0;61:21:0;61:22:0;61:23:0</x:v>
      </x:c>
    </x:row>
    <x:row r="201" ht="45" customHeight="1">
      <x:c r="A201" s="30" t="str">
        <x:v>ERP-A200</x:v>
      </x:c>
      <x:c r="B201" s="30" t="str">
        <x:v>p 62</x:v>
      </x:c>
      <x:c r="C201" s="30" t="str">
        <x:v>The design engineers of the London Avenue Canal levees and floodwalls did evaluate seepage. However, it was not apparent from the design information reviewed by the Hurricane Katrina External Review Panel that the potential uplift of the marsh layer was accounted for properly. Flow nets were drawn, but none included the marsh layer. The potential for uplift was assessed, but calculations used a critical hydraulic gradient value appropriate for soil, not for marsh.</x:v>
      </x:c>
      <x:c r="D201" s="30" t="str">
        <x:v>ERP Report</x:v>
      </x:c>
      <x:c r="E201" s="30" t="str">
        <x:v>erpreport.pdf</x:v>
      </x:c>
      <x:c r="F201" s="40" t="str">
        <x:v>No</x:v>
      </x:c>
      <x:c r="G201" s="40" t="n">
        <x:v>0</x:v>
      </x:c>
      <x:c r="H201" s="40" t="str">
        <x:v>Unlabeled</x:v>
      </x:c>
      <x:c r="I201" s="40"/>
      <x:c r="J201" s="40"/>
      <x:c r="K201" s="30" t="str">
        <x:v>Default No — no retained human paragraph-level label in the curated GPT Test</x:v>
      </x:c>
      <x:c r="L201" s="30"/>
      <x:c r="M201" s="40" t="str">
        <x:v>paragraph</x:v>
      </x:c>
      <x:c r="N201" s="40" t="str">
        <x:v>No</x:v>
      </x:c>
      <x:c r="O201" s="30"/>
      <x:c r="P201" s="30" t="str">
        <x:v>62:1:0;62:2:0;62:3:0;62:4:0;62:5:0;62:6:0;62:7:0</x:v>
      </x:c>
    </x:row>
    <x:row r="202" ht="45" customHeight="1">
      <x:c r="A202" s="30" t="str">
        <x:v>ERP-A201</x:v>
      </x:c>
      <x:c r="B202" s="30" t="str">
        <x:v>p 62</x:v>
      </x:c>
      <x:c r="C202" s="30" t="str">
        <x:v>Because the problem with uplift for situations such as those existing at the London Avenue Canal is so well known, the Hurricane Katrina External Review Panel would have expected the design memoranda to contain a thorough, well-documented assessment of the potential for uplift of the marsh. No logical explanation for the lack of such information in the design memoranda could be identified.</x:v>
      </x:c>
      <x:c r="D202" s="30" t="str">
        <x:v>ERP Report</x:v>
      </x:c>
      <x:c r="E202" s="30" t="str">
        <x:v>erpreport.pdf</x:v>
      </x:c>
      <x:c r="F202" s="40" t="str">
        <x:v>No</x:v>
      </x:c>
      <x:c r="G202" s="40" t="n">
        <x:v>0</x:v>
      </x:c>
      <x:c r="H202" s="40" t="str">
        <x:v>Unlabeled</x:v>
      </x:c>
      <x:c r="I202" s="40"/>
      <x:c r="J202" s="40"/>
      <x:c r="K202" s="30" t="str">
        <x:v>Default No — no retained human paragraph-level label in the curated GPT Test</x:v>
      </x:c>
      <x:c r="L202" s="30"/>
      <x:c r="M202" s="40" t="str">
        <x:v>paragraph</x:v>
      </x:c>
      <x:c r="N202" s="40" t="str">
        <x:v>No</x:v>
      </x:c>
      <x:c r="O202" s="30"/>
      <x:c r="P202" s="30" t="str">
        <x:v>62:8:0;62:9:0;62:10:0;62:11:0;62:12:0;62:13:0</x:v>
      </x:c>
    </x:row>
    <x:row r="203" ht="45" customHeight="1">
      <x:c r="A203" s="30" t="str">
        <x:v>ERP-A202</x:v>
      </x:c>
      <x:c r="B203" s="30" t="str">
        <x:v>p 62</x:v>
      </x:c>
      <x:c r="C203" s="30" t="str">
        <x:v>Recent computer analyses of the London Avenue Canal South Breach indicate that the water pressures in the sand were sufficient to lift and rupture the marsh, and that the ensuing cracked condition would be expected to rapidly lead to erosion and collapse. The implication is that if a more rigorous analysis had been performed at the time of design, the potential problem would have been predicted and corrective action taken. Proactive measures to control the seepage—such as extending the depth of the sheet pile wall or installing relief wells—were not employed, leaving no redundancy or secondary means to protect from severe underseepage problems. Unfortunately, there was no second line of defense.</x:v>
      </x:c>
      <x:c r="D203" s="30" t="str">
        <x:v>ERP Report</x:v>
      </x:c>
      <x:c r="E203" s="30" t="str">
        <x:v>erpreport.pdf</x:v>
      </x:c>
      <x:c r="F203" s="40" t="str">
        <x:v>No</x:v>
      </x:c>
      <x:c r="G203" s="40" t="n">
        <x:v>0</x:v>
      </x:c>
      <x:c r="H203" s="40" t="str">
        <x:v>Unlabeled</x:v>
      </x:c>
      <x:c r="I203" s="40"/>
      <x:c r="J203" s="40"/>
      <x:c r="K203" s="30" t="str">
        <x:v>Default No — no retained human paragraph-level label in the curated GPT Test</x:v>
      </x:c>
      <x:c r="L203" s="30"/>
      <x:c r="M203" s="40" t="str">
        <x:v>paragraph</x:v>
      </x:c>
      <x:c r="N203" s="40" t="str">
        <x:v>No</x:v>
      </x:c>
      <x:c r="O203" s="30"/>
      <x:c r="P203" s="30" t="str">
        <x:v>62:14:0;62:15:0;62:16:0;62:17:0;62:18:0;62:19:0;62:20:0;62:21:0;62:22:0;62:23:0</x:v>
      </x:c>
    </x:row>
    <x:row r="204" ht="45" customHeight="1">
      <x:c r="A204" s="30" t="str">
        <x:v>ERP-A203</x:v>
      </x:c>
      <x:c r="B204" s="30" t="str">
        <x:v>p 62</x:v>
      </x:c>
      <x:c r="C204" s="30" t="str">
        <x:v>The failure of the London Avenue Canal I-wall was exacerbated by, and perhaps even caused by, the water-filled gap that developed behind the wall. Just as with the 17th Street Canal, the water in the London Avenue Canal pushed the I-wall away from the canal side, leaving a gap between the I-wall and the levee, which filled with water. As shown in Figure 7.7, the elevated water pressures were brought much closer to the land-side of the levee, significantly increasing the uplift forces on the clay and worsening the situation. As with the 17th Street Canal, a water-filled gap was not considered in the design of the London Avenue Canal levees and floodwalls.</x:v>
      </x:c>
      <x:c r="D204" s="30" t="str">
        <x:v>ERP Report</x:v>
      </x:c>
      <x:c r="E204" s="30" t="str">
        <x:v>erpreport.pdf</x:v>
      </x:c>
      <x:c r="F204" s="40" t="str">
        <x:v>No</x:v>
      </x:c>
      <x:c r="G204" s="40" t="n">
        <x:v>0</x:v>
      </x:c>
      <x:c r="H204" s="40" t="str">
        <x:v>Unlabeled</x:v>
      </x:c>
      <x:c r="I204" s="40"/>
      <x:c r="J204" s="40"/>
      <x:c r="K204" s="30" t="str">
        <x:v>Default No — no retained human paragraph-level label in the curated GPT Test</x:v>
      </x:c>
      <x:c r="L204" s="30"/>
      <x:c r="M204" s="40" t="str">
        <x:v>paragraph</x:v>
      </x:c>
      <x:c r="N204" s="40" t="str">
        <x:v>No</x:v>
      </x:c>
      <x:c r="O204" s="30"/>
      <x:c r="P204" s="30" t="str">
        <x:v>62:25:0;62:26:0;62:27:0;62:28:0;62:29:0;62:30:0;62:31:0;62:32:0;62:33:0</x:v>
      </x:c>
    </x:row>
    <x:row r="205" ht="45" customHeight="1">
      <x:c r="A205" s="30" t="str">
        <x:v>ERP-A204</x:v>
      </x:c>
      <x:c r="B205" s="30" t="str">
        <x:v>p 63</x:v>
      </x:c>
      <x:c r="C205" s="30" t="str">
        <x:v>The London Avenue Canal North Breach occurred on the west side of London Avenue Canal around 7 or 8am on August 29th, allowing water to flood into the adjacent neighborhood. The upper 15 feet or so of soil beneath the London Avenue Canal North Breach consists of marsh underlain by a thick stratum of sand, similar to the conditions at the London Avenue Canal south failure. However, the sand at the North Breach was much looser and weaker than the sand at the South Breach.</x:v>
      </x:c>
      <x:c r="D205" s="30" t="str">
        <x:v>ERP Report</x:v>
      </x:c>
      <x:c r="E205" s="30" t="str">
        <x:v>erpreport.pdf</x:v>
      </x:c>
      <x:c r="F205" s="40" t="str">
        <x:v>No</x:v>
      </x:c>
      <x:c r="G205" s="40" t="n">
        <x:v>0</x:v>
      </x:c>
      <x:c r="H205" s="40" t="str">
        <x:v>Unlabeled</x:v>
      </x:c>
      <x:c r="I205" s="40"/>
      <x:c r="J205" s="40"/>
      <x:c r="K205" s="30" t="str">
        <x:v>Default No — no retained human paragraph-level label in the curated GPT Test</x:v>
      </x:c>
      <x:c r="L205" s="30"/>
      <x:c r="M205" s="40" t="str">
        <x:v>paragraph</x:v>
      </x:c>
      <x:c r="N205" s="40" t="str">
        <x:v>No</x:v>
      </x:c>
      <x:c r="O205" s="30"/>
      <x:c r="P205" s="30" t="str">
        <x:v>63:8:0;63:9:0;63:10:0;63:11:0;63:12:0;63:13:0;63:14:0</x:v>
      </x:c>
    </x:row>
    <x:row r="206" ht="45" customHeight="1">
      <x:c r="A206" s="30" t="str">
        <x:v>ERP-A205</x:v>
      </x:c>
      <x:c r="B206" s="30" t="str">
        <x:v>p 63</x:v>
      </x:c>
      <x:c r="C206" s="30" t="str">
        <x:v>The levee and I-wall probably failed in much the same way as the 17th Street Canal failure, in which the driving forces (the weight of the levee and the pressure of the canal water against the wall) exceeded the resisting forces (the strength of the underlying soil). The sliding failure was exacerbated by underseepage and associated water pressures.</x:v>
      </x:c>
      <x:c r="D206" s="30" t="str">
        <x:v>ERP Report</x:v>
      </x:c>
      <x:c r="E206" s="30" t="str">
        <x:v>erpreport.pdf</x:v>
      </x:c>
      <x:c r="F206" s="40" t="str">
        <x:v>No</x:v>
      </x:c>
      <x:c r="G206" s="40" t="n">
        <x:v>0</x:v>
      </x:c>
      <x:c r="H206" s="40" t="str">
        <x:v>Unlabeled</x:v>
      </x:c>
      <x:c r="I206" s="40"/>
      <x:c r="J206" s="40"/>
      <x:c r="K206" s="30" t="str">
        <x:v>Default No — no retained human paragraph-level label in the curated GPT Test</x:v>
      </x:c>
      <x:c r="L206" s="30"/>
      <x:c r="M206" s="40" t="str">
        <x:v>paragraph</x:v>
      </x:c>
      <x:c r="N206" s="40" t="str">
        <x:v>No</x:v>
      </x:c>
      <x:c r="O206" s="30"/>
      <x:c r="P206" s="30" t="str">
        <x:v>63:15:0;63:16:0;63:17:0;63:18:0;63:19:0</x:v>
      </x:c>
    </x:row>
    <x:row r="207" ht="45" customHeight="1">
      <x:c r="A207" s="30" t="str">
        <x:v>ERP-A206</x:v>
      </x:c>
      <x:c r="B207" s="30" t="str">
        <x:v>p 63</x:v>
      </x:c>
      <x:c r="C207" s="30" t="str">
        <x:v>Recent analyses of the London Avenue Canal North Breach indicate that the failure probably would not have occurred had a water-filled gap not developed. Factors of safety against stability failure without a crack were computed to be around 2.0. With a crack, the factor of safety was about 1.0 at the water elevation associated with failure.</x:v>
      </x:c>
      <x:c r="D207" s="30" t="str">
        <x:v>ERP Report</x:v>
      </x:c>
      <x:c r="E207" s="30" t="str">
        <x:v>erpreport.pdf</x:v>
      </x:c>
      <x:c r="F207" s="40" t="str">
        <x:v>No</x:v>
      </x:c>
      <x:c r="G207" s="40" t="n">
        <x:v>0</x:v>
      </x:c>
      <x:c r="H207" s="40" t="str">
        <x:v>Unlabeled</x:v>
      </x:c>
      <x:c r="I207" s="40"/>
      <x:c r="J207" s="40"/>
      <x:c r="K207" s="30" t="str">
        <x:v>Default No — no retained human paragraph-level label in the curated GPT Test</x:v>
      </x:c>
      <x:c r="L207" s="30"/>
      <x:c r="M207" s="40" t="str">
        <x:v>paragraph</x:v>
      </x:c>
      <x:c r="N207" s="40" t="str">
        <x:v>No</x:v>
      </x:c>
      <x:c r="O207" s="30"/>
      <x:c r="P207" s="30" t="str">
        <x:v>63:20:0;63:21:0;63:22:0;63:23:0;63:24:0</x:v>
      </x:c>
    </x:row>
    <x:row r="208" ht="45" customHeight="1">
      <x:c r="A208" s="30" t="str">
        <x:v>ERP-A207</x:v>
      </x:c>
      <x:c r="B208" s="30" t="str">
        <x:v>p 64</x:v>
      </x:c>
      <x:c r="C208" s="30" t="str">
        <x:v>The failure of the Industrial Canal East Bank north I-wall was likely the source of the earliest flooding (observed at 5:00am) in the Lower Ninth Ward. The water level in the Industrial Canal was below the top of the floodwall. The soil conditions in this area consisted of marsh deposits overlying soft clay, which overlies sand.</x:v>
      </x:c>
      <x:c r="D208" s="30" t="str">
        <x:v>ERP Report</x:v>
      </x:c>
      <x:c r="E208" s="30" t="str">
        <x:v>erpreport.pdf</x:v>
      </x:c>
      <x:c r="F208" s="40" t="str">
        <x:v>No</x:v>
      </x:c>
      <x:c r="G208" s="40" t="n">
        <x:v>0</x:v>
      </x:c>
      <x:c r="H208" s="40" t="str">
        <x:v>Unlabeled</x:v>
      </x:c>
      <x:c r="I208" s="40"/>
      <x:c r="J208" s="40"/>
      <x:c r="K208" s="30" t="str">
        <x:v>Default No — no retained human paragraph-level label in the curated GPT Test</x:v>
      </x:c>
      <x:c r="L208" s="30"/>
      <x:c r="M208" s="40" t="str">
        <x:v>paragraph</x:v>
      </x:c>
      <x:c r="N208" s="40" t="str">
        <x:v>No</x:v>
      </x:c>
      <x:c r="O208" s="30"/>
      <x:c r="P208" s="30" t="str">
        <x:v>64:2:0;64:3:0;64:4:0;64:5:0</x:v>
      </x:c>
    </x:row>
    <x:row r="209" ht="45" customHeight="1">
      <x:c r="A209" s="30" t="str">
        <x:v>ERP-A208</x:v>
      </x:c>
      <x:c r="B209" s="30" t="str">
        <x:v>p 64</x:v>
      </x:c>
      <x:c r="C209" s="30" t="str">
        <x:v>The Industrial Canal East Bank north I-wall failed in much the same way as the 17th Street Canal I-wall failed: by slope failure along a sliding surface in the marsh. As with the 17th Street Canal, the presence of a waterfilled gap (not considered during design) greatly reduced the factor of safety.</x:v>
      </x:c>
      <x:c r="D209" s="30" t="str">
        <x:v>ERP Report</x:v>
      </x:c>
      <x:c r="E209" s="30" t="str">
        <x:v>erpreport.pdf</x:v>
      </x:c>
      <x:c r="F209" s="40" t="str">
        <x:v>No</x:v>
      </x:c>
      <x:c r="G209" s="40" t="n">
        <x:v>0</x:v>
      </x:c>
      <x:c r="H209" s="40" t="str">
        <x:v>Unlabeled</x:v>
      </x:c>
      <x:c r="I209" s="40"/>
      <x:c r="J209" s="40"/>
      <x:c r="K209" s="30" t="str">
        <x:v>Default No — no retained human paragraph-level label in the curated GPT Test</x:v>
      </x:c>
      <x:c r="L209" s="30"/>
      <x:c r="M209" s="40" t="str">
        <x:v>paragraph</x:v>
      </x:c>
      <x:c r="N209" s="40" t="str">
        <x:v>No</x:v>
      </x:c>
      <x:c r="O209" s="30"/>
      <x:c r="P209" s="30" t="str">
        <x:v>64:6:0;64:7:0;64:8:0;64:9:0</x:v>
      </x:c>
    </x:row>
    <x:row r="210" ht="45" customHeight="1">
      <x:c r="A210" s="30" t="str">
        <x:v>ERP-A209</x:v>
      </x:c>
      <x:c r="B210" s="30" t="str">
        <x:v>p 64</x:v>
      </x:c>
      <x:c r="C210" s="30" t="str">
        <x:v>Both the Industrial Canal East Bank south I-wall and Industrial Canal West Bank I-wall were overtopped by floodwaters from Hurricane Katrina. The peak water level was estimated to be 1.7 feet above the tops of the floodwalls and levees. The apparent failure mechanism is shown in Figure 7.8 and 7.9.</x:v>
      </x:c>
      <x:c r="D210" s="30" t="str">
        <x:v>ERP Report</x:v>
      </x:c>
      <x:c r="E210" s="30" t="str">
        <x:v>erpreport.pdf</x:v>
      </x:c>
      <x:c r="F210" s="40" t="str">
        <x:v>No</x:v>
      </x:c>
      <x:c r="G210" s="40" t="n">
        <x:v>0</x:v>
      </x:c>
      <x:c r="H210" s="40" t="str">
        <x:v>Unlabeled</x:v>
      </x:c>
      <x:c r="I210" s="40"/>
      <x:c r="J210" s="40"/>
      <x:c r="K210" s="30" t="str">
        <x:v>Default No — no retained human paragraph-level label in the curated GPT Test</x:v>
      </x:c>
      <x:c r="L210" s="30"/>
      <x:c r="M210" s="40" t="str">
        <x:v>paragraph</x:v>
      </x:c>
      <x:c r="N210" s="40" t="str">
        <x:v>No</x:v>
      </x:c>
      <x:c r="O210" s="30"/>
      <x:c r="P210" s="30" t="str">
        <x:v>64:11:0;64:12:0;64:13:0;64:14:0</x:v>
      </x:c>
    </x:row>
    <x:row r="211" ht="45" customHeight="1">
      <x:c r="A211" s="30" t="str">
        <x:v>ERP-A210</x:v>
      </x:c>
      <x:c r="B211" s="30" t="str">
        <x:v>p 65</x:v>
      </x:c>
      <x:c r="C211" s="30" t="str">
        <x:v>Earthen levees without I-walls all around New Orleans — including the levee at the Industrial Canal West Bank South breach — were overtopped by Hurricane Katrina’s storm surge. Out of the 50 total estimated levee breaches systemwide, the majority can be attributed to overtopping and erosion. The failure mechanism from overtopping is shown in Figure 7.10.</x:v>
      </x:c>
      <x:c r="D211" s="30" t="str">
        <x:v>ERP Report</x:v>
      </x:c>
      <x:c r="E211" s="30" t="str">
        <x:v>erpreport.pdf</x:v>
      </x:c>
      <x:c r="F211" s="40" t="str">
        <x:v>No</x:v>
      </x:c>
      <x:c r="G211" s="40" t="n">
        <x:v>0</x:v>
      </x:c>
      <x:c r="H211" s="40" t="str">
        <x:v>Unlabeled</x:v>
      </x:c>
      <x:c r="I211" s="40"/>
      <x:c r="J211" s="40"/>
      <x:c r="K211" s="30" t="str">
        <x:v>Default No — no retained human paragraph-level label in the curated GPT Test</x:v>
      </x:c>
      <x:c r="L211" s="30"/>
      <x:c r="M211" s="40" t="str">
        <x:v>paragraph</x:v>
      </x:c>
      <x:c r="N211" s="40" t="str">
        <x:v>No</x:v>
      </x:c>
      <x:c r="O211" s="30"/>
      <x:c r="P211" s="30" t="str">
        <x:v>65:6:0;65:7:0;65:8:0;65:9:0;65:10:0</x:v>
      </x:c>
    </x:row>
    <x:row r="212" ht="45" customHeight="1">
      <x:c r="A212" s="30" t="str">
        <x:v>ERP-A211</x:v>
      </x:c>
      <x:c r="B212" s="30" t="str">
        <x:v>p 65</x:v>
      </x:c>
      <x:c r="C212" s="30" t="str">
        <x:v>Levees constructed with properly compacted clay with a good grass cover appeared to have withstood the storm the best, as shown in Figure 7.11. Levees with higher silt and sand content in the embankment material —or levees built with hydraulic fill (in which the levee material was mixed with water to create a slurry, then pumped or flowed into place)—sustained the worst erosion damage, and in some cases were completely washed away, as shown in Figure 7.12.</x:v>
      </x:c>
      <x:c r="D212" s="30" t="str">
        <x:v>ERP Report</x:v>
      </x:c>
      <x:c r="E212" s="30" t="str">
        <x:v>erpreport.pdf</x:v>
      </x:c>
      <x:c r="F212" s="40" t="str">
        <x:v>No</x:v>
      </x:c>
      <x:c r="G212" s="40" t="n">
        <x:v>0</x:v>
      </x:c>
      <x:c r="H212" s="40" t="str">
        <x:v>Unlabeled</x:v>
      </x:c>
      <x:c r="I212" s="40"/>
      <x:c r="J212" s="40"/>
      <x:c r="K212" s="30" t="str">
        <x:v>Default No — no retained human paragraph-level label in the curated GPT Test</x:v>
      </x:c>
      <x:c r="L212" s="30"/>
      <x:c r="M212" s="40" t="str">
        <x:v>paragraph</x:v>
      </x:c>
      <x:c r="N212" s="40" t="str">
        <x:v>No</x:v>
      </x:c>
      <x:c r="O212" s="30"/>
      <x:c r="P212" s="30" t="str">
        <x:v>65:11:0;65:12:0;65:12:1;65:13:0;65:14:0;65:15:0;65:16:0</x:v>
      </x:c>
    </x:row>
    <x:row r="213" ht="45" customHeight="1">
      <x:c r="A213" s="30" t="str">
        <x:v>ERP-A212</x:v>
      </x:c>
      <x:c r="B213" s="30" t="str">
        <x:v>p 67</x:v>
      </x:c>
      <x:c r="C213" s="30" t="str">
        <x:v>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x:v>
      </x:c>
      <x:c r="D213" s="30" t="str">
        <x:v>ERP Report</x:v>
      </x:c>
      <x:c r="E213" s="30" t="str">
        <x:v>erpreport.pdf</x:v>
      </x:c>
      <x:c r="F213" s="40" t="str">
        <x:v>Yes</x:v>
      </x:c>
      <x:c r="G213" s="40" t="n">
        <x:v>1</x:v>
      </x:c>
      <x:c r="H213" s="40" t="str">
        <x:v>Derived from human-labeled parent span</x:v>
      </x:c>
      <x:c r="I213" s="40" t="str">
        <x:v>Anmol, Kyle</x:v>
      </x:c>
      <x:c r="J213" s="40" t="str">
        <x:v>ERP-013</x:v>
      </x:c>
      <x:c r="K213" s="30" t="str">
        <x:v>Paragraph-level label derived from the retained parent-span label and rationale using the revised paragraph-level codebook.</x:v>
      </x:c>
      <x:c r="L213" s="30" t="str">
        <x:v>The paragraph rejects the narrow conception of pump stations as routine drainage infrastructure and contrasts it with an integrated hurricane-protection role.</x:v>
      </x:c>
      <x:c r="M213" s="40" t="str">
        <x:v>paragraph</x:v>
      </x:c>
      <x:c r="N213" s="40" t="str">
        <x:v>Yes</x:v>
      </x:c>
      <x:c r="O213" s="30" t="str">
        <x:v>Paragraph-level Yes was derived from the human-labeled two-paragraph parent span and its rationale; confirm during team adjudication.</x:v>
      </x:c>
      <x:c r="P213" s="30" t="str">
        <x:v>67:5:0;67:6:0;67:7:0;67:8:0;67:9:0;67:10:0</x:v>
      </x:c>
    </x:row>
    <x:row r="214" ht="45" customHeight="1">
      <x:c r="A214" s="30" t="str">
        <x:v>ERP-A213</x:v>
      </x:c>
      <x:c r="B214" s="30" t="str">
        <x:v>p 67</x:v>
      </x:c>
      <x:c r="C214" s="30" t="str">
        <x:v>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x:v>
      </x:c>
      <x:c r="D214" s="30" t="str">
        <x:v>ERP Report</x:v>
      </x:c>
      <x:c r="E214" s="30" t="str">
        <x:v>erpreport.pdf</x:v>
      </x:c>
      <x:c r="F214" s="40" t="str">
        <x:v>No</x:v>
      </x:c>
      <x:c r="G214" s="40" t="n">
        <x:v>0</x:v>
      </x:c>
      <x:c r="H214" s="40" t="str">
        <x:v>Derived from human-labeled parent span</x:v>
      </x:c>
      <x:c r="I214" s="40" t="str">
        <x:v>Anmol, Kyle</x:v>
      </x:c>
      <x:c r="J214" s="40" t="str">
        <x:v>ERP-014</x:v>
      </x:c>
      <x:c r="K214" s="30" t="str">
        <x:v>Paragraph-level label derived from the retained parent-span label and rationale using the revised paragraph-level codebook.</x:v>
      </x:c>
      <x:c r="L214" s="30" t="str">
        <x:v>The paragraph documents that the operating pump stations had little effect because of their location, but it does not itself call for redesigning, relocating, or replacing the arrangement.</x:v>
      </x:c>
      <x:c r="M214" s="40" t="str">
        <x:v>paragraph</x:v>
      </x:c>
      <x:c r="N214" s="40" t="str">
        <x:v>Yes</x:v>
      </x:c>
      <x:c r="O214" s="30" t="str">
        <x:v>Paragraph-level No was derived from the human-labeled two-paragraph parent span and its rationale; confirm during team adjudication.</x:v>
      </x:c>
      <x:c r="P214" s="30" t="str">
        <x:v>67:11:0;67:12:0;67:13:0;67:14:0;67:15:0;67:16:0</x:v>
      </x:c>
    </x:row>
    <x:row r="215" ht="45" customHeight="1">
      <x:c r="A215" s="30" t="str">
        <x:v>ERP-A214</x:v>
      </x:c>
      <x:c r="B215" s="30" t="str">
        <x:v>p 67</x:v>
      </x:c>
      <x:c r="C215" s="30" t="str">
        <x:v>Pumping stations could not be operated for many reasons. Nearly all pump station operators in Jefferson and St. Bernard Parishes were evacuated when Hurricane Katrina threatened the area because the stations were not designed to withstand hurricane forces. Without operators, the pump stations lay idle. The storm knocked out electrical power early on, and many of the pump station engines cannot run without electricity. Pump stations themselves were flooded by water from levee overtopping and floodwall breaching, causing widespread equipment damage and failure. The buildings housing many of the older pump stations could not withstand the wind and water forces from the hurricane and sustained significant damage.</x:v>
      </x:c>
      <x:c r="D215" s="30" t="str">
        <x:v>ERP Report</x:v>
      </x:c>
      <x:c r="E215" s="30" t="str">
        <x:v>erpreport.pdf</x:v>
      </x:c>
      <x:c r="F215" s="40" t="str">
        <x:v>No</x:v>
      </x:c>
      <x:c r="G215" s="40" t="n">
        <x:v>0</x:v>
      </x:c>
      <x:c r="H215" s="40" t="str">
        <x:v>Unlabeled</x:v>
      </x:c>
      <x:c r="I215" s="40"/>
      <x:c r="J215" s="40"/>
      <x:c r="K215" s="30" t="str">
        <x:v>Default No — no retained human paragraph-level label in the curated GPT Test</x:v>
      </x:c>
      <x:c r="L215" s="30"/>
      <x:c r="M215" s="40" t="str">
        <x:v>paragraph</x:v>
      </x:c>
      <x:c r="N215" s="40" t="str">
        <x:v>No</x:v>
      </x:c>
      <x:c r="O215" s="30"/>
      <x:c r="P215" s="30" t="str">
        <x:v>67:17:0;67:18:0;67:19:0;67:20:0;67:21:0;67:22:0;67:23:0;67:24:0;67:25:0;67:26:0</x:v>
      </x:c>
    </x:row>
    <x:row r="216" ht="45" customHeight="1">
      <x:c r="A216" s="30" t="str">
        <x:v>ERP-A215</x:v>
      </x:c>
      <x:c r="B216" s="30" t="str">
        <x:v>p 68</x:v>
      </x:c>
      <x:c r="C216" s="30" t="str">
        <x:v>Even if the pumping system had survived the hurricane, it simply would not have been able to pump the huge amount of water that flooded into New Orleans because of overtopping and breaches. Ironically, the discharge from the stations was hard-piped into the same canals and waterways that had experienced significant breaches. Even if the pumps had continued to operate, they would have recirculated water back into the canals, only to have it flow back through the breaches.</x:v>
      </x:c>
      <x:c r="D216" s="30" t="str">
        <x:v>ERP Report</x:v>
      </x:c>
      <x:c r="E216" s="30" t="str">
        <x:v>erpreport.pdf</x:v>
      </x:c>
      <x:c r="F216" s="40" t="str">
        <x:v>No</x:v>
      </x:c>
      <x:c r="G216" s="40" t="n">
        <x:v>0</x:v>
      </x:c>
      <x:c r="H216" s="40" t="str">
        <x:v>Unlabeled</x:v>
      </x:c>
      <x:c r="I216" s="40"/>
      <x:c r="J216" s="40"/>
      <x:c r="K216" s="30" t="str">
        <x:v>Default No — no retained human paragraph-level label in the curated GPT Test</x:v>
      </x:c>
      <x:c r="L216" s="30"/>
      <x:c r="M216" s="40" t="str">
        <x:v>paragraph</x:v>
      </x:c>
      <x:c r="N216" s="40" t="str">
        <x:v>No</x:v>
      </x:c>
      <x:c r="O216" s="30"/>
      <x:c r="P216" s="30" t="str">
        <x:v>68:1:0;68:2:0;68:3:0;68:4:0;68:5:0;68:6:0;68:7:0</x:v>
      </x:c>
    </x:row>
    <x:row r="217" ht="45" customHeight="1">
      <x:c r="A217" s="30" t="str">
        <x:v>ERP-A216</x:v>
      </x:c>
      <x:c r="B217" s="30" t="str">
        <x:v>p 68</x:v>
      </x:c>
      <x:c r="C217" s="30" t="str">
        <x:v>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x:v>
      </x:c>
      <x:c r="D217" s="30" t="str">
        <x:v>ERP Report</x:v>
      </x:c>
      <x:c r="E217" s="30" t="str">
        <x:v>erpreport.pdf</x:v>
      </x:c>
      <x:c r="F217" s="40" t="str">
        <x:v>Yes</x:v>
      </x:c>
      <x:c r="G217" s="40" t="n">
        <x:v>1</x:v>
      </x:c>
      <x:c r="H217" s="40" t="str">
        <x:v>Direct human-labeled/adjudicated</x:v>
      </x:c>
      <x:c r="I217" s="40" t="str">
        <x:v>Anmol, Kyle</x:v>
      </x:c>
      <x:c r="J217" s="40" t="str">
        <x:v>ERP-015</x:v>
      </x:c>
      <x:c r="K217" s="30" t="str">
        <x:v>Retained human/adjudicated label from the curated GPT Test after PyMuPDF source reconciliation.</x:v>
      </x:c>
      <x:c r="L217" s="30" t="str">
        <x:v>This idenfiies a clear flaw in the design of pump stations wherein there is no reverse flow mechanism and calls for redesign.</x:v>
      </x:c>
      <x:c r="M217" s="40" t="str">
        <x:v>paragraph</x:v>
      </x:c>
      <x:c r="N217" s="40" t="str">
        <x:v>No</x:v>
      </x:c>
      <x:c r="O217" s="30"/>
      <x:c r="P217" s="30" t="str">
        <x:v>68:8:0;68:9:0;68:10:0;68:11:0;68:12:0;68:13:0</x:v>
      </x:c>
    </x:row>
    <x:row r="218" ht="45" customHeight="1">
      <x:c r="A218" s="30" t="str">
        <x:v>ERP-A217</x:v>
      </x:c>
      <x:c r="B218" s="30" t="str">
        <x:v>p 69</x:v>
      </x:c>
      <x:c r="C218" s="30" t="str">
        <x:v>Chapter 7 outlined the direct physical causes of the New Orleans hurricane protection system failures. This chapter describes the contributing factors. With the benefit of hindsight, we now see that questionable engineering decisions and management choices, and inadequate interfaces within and between organizations, all contributed to the problem.</x:v>
      </x:c>
      <x:c r="D218" s="30" t="str">
        <x:v>ERP Report</x:v>
      </x:c>
      <x:c r="E218" s="30" t="str">
        <x:v>erpreport.pdf</x:v>
      </x:c>
      <x:c r="F218" s="40" t="str">
        <x:v>No</x:v>
      </x:c>
      <x:c r="G218" s="40" t="n">
        <x:v>0</x:v>
      </x:c>
      <x:c r="H218" s="40" t="str">
        <x:v>Unlabeled</x:v>
      </x:c>
      <x:c r="I218" s="40"/>
      <x:c r="J218" s="40"/>
      <x:c r="K218" s="30" t="str">
        <x:v>Default No — no retained human paragraph-level label in the curated GPT Test</x:v>
      </x:c>
      <x:c r="L218" s="30"/>
      <x:c r="M218" s="40" t="str">
        <x:v>paragraph</x:v>
      </x:c>
      <x:c r="N218" s="40" t="str">
        <x:v>No</x:v>
      </x:c>
      <x:c r="O218" s="30"/>
      <x:c r="P218" s="30" t="str">
        <x:v>69:3:0;69:4:0;69:5:0;69:6:0;69:7:0</x:v>
      </x:c>
    </x:row>
    <x:row r="219" ht="45" customHeight="1">
      <x:c r="A219" s="30" t="str">
        <x:v>ERP-A218</x:v>
      </x:c>
      <x:c r="B219" s="30" t="str">
        <x:v>p 69</x:v>
      </x:c>
      <x:c r="C219" s="30" t="str">
        <x:v>Hurricane Katrina simply overwhelmed the hurricane protection system. The storm’s forces exceeded the hurricane protection system’s ability to withstand them. No one person or decision is to blame. The engineering failures were complex, and involved numerous decisions by many people within many organizations over a long period of time.</x:v>
      </x:c>
      <x:c r="D219" s="30" t="str">
        <x:v>ERP Report</x:v>
      </x:c>
      <x:c r="E219" s="30" t="str">
        <x:v>erpreport.pdf</x:v>
      </x:c>
      <x:c r="F219" s="40" t="str">
        <x:v>No</x:v>
      </x:c>
      <x:c r="G219" s="40" t="n">
        <x:v>0</x:v>
      </x:c>
      <x:c r="H219" s="40" t="str">
        <x:v>Unlabeled</x:v>
      </x:c>
      <x:c r="I219" s="40"/>
      <x:c r="J219" s="40"/>
      <x:c r="K219" s="30" t="str">
        <x:v>Default No — no retained human paragraph-level label in the curated GPT Test</x:v>
      </x:c>
      <x:c r="L219" s="30"/>
      <x:c r="M219" s="40" t="str">
        <x:v>paragraph</x:v>
      </x:c>
      <x:c r="N219" s="40" t="str">
        <x:v>No</x:v>
      </x:c>
      <x:c r="O219" s="30"/>
      <x:c r="P219" s="30" t="str">
        <x:v>69:8:0;69:9:0;69:10:0;69:11:0;69:12:0</x:v>
      </x:c>
    </x:row>
    <x:row r="220" ht="45" customHeight="1">
      <x:c r="A220" s="30" t="str">
        <x:v>ERP-A219</x:v>
      </x:c>
      <x:c r="B220" s="30" t="str">
        <x:v>p 69</x:v>
      </x:c>
      <x:c r="C220" s="30" t="str">
        <x:v>In terms of large engineered systems such as nuclear power plants or dams, the concept of “risk” captures both (a) the consequences to human health and safety if a failure were to occur, and (b) the probability of a failure. A hurricane protection system is a large engineered system like a nuclear power plant or a dam, and comprises the same complicated infrastructure and management issues. Therefore, it is helpful to look at risk through the lens of risk quantification for one of those structures.</x:v>
      </x:c>
      <x:c r="D220" s="30" t="str">
        <x:v>ERP Report</x:v>
      </x:c>
      <x:c r="E220" s="30" t="str">
        <x:v>erpreport.pdf</x:v>
      </x:c>
      <x:c r="F220" s="40" t="str">
        <x:v>No</x:v>
      </x:c>
      <x:c r="G220" s="40" t="n">
        <x:v>0</x:v>
      </x:c>
      <x:c r="H220" s="40" t="str">
        <x:v>Unlabeled</x:v>
      </x:c>
      <x:c r="I220" s="40"/>
      <x:c r="J220" s="40"/>
      <x:c r="K220" s="30" t="str">
        <x:v>Default No — no retained human paragraph-level label in the curated GPT Test</x:v>
      </x:c>
      <x:c r="L220" s="30"/>
      <x:c r="M220" s="40" t="str">
        <x:v>paragraph</x:v>
      </x:c>
      <x:c r="N220" s="40" t="str">
        <x:v>No</x:v>
      </x:c>
      <x:c r="O220" s="30"/>
      <x:c r="P220" s="30" t="str">
        <x:v>69:14:0;69:15:0;69:16:0;69:17:0;69:18:0;69:19:0;69:20:0</x:v>
      </x:c>
    </x:row>
    <x:row r="221" ht="45" customHeight="1">
      <x:c r="A221" s="30" t="str">
        <x:v>ERP-A220</x:v>
      </x:c>
      <x:c r="B221" s="30" t="str">
        <x:v>p 69</x:v>
      </x:c>
      <x:c r="C221" s="30" t="str">
        <x:v>A common approach for quantifying and comparing risks is to develop a risk evaluation chart, as shown in Figure 8.1, which is based on the United States Bureau of Reclamation’s (USBR’s) guidelines for public protection for major dams. “Thresholds” have been established — based on engineering judgment — that represent the level of risk that a society is willing to accept in order to benefit from accepting that risk. For combinations of fatalities and frequencies that plot above the upper line in Figure 8.1, there is “strong justification for taking actions to reduce risk for both long-term and short-term continued operations.”</x:v>
      </x:c>
      <x:c r="D221" s="30" t="str">
        <x:v>ERP Report</x:v>
      </x:c>
      <x:c r="E221" s="30" t="str">
        <x:v>erpreport.pdf</x:v>
      </x:c>
      <x:c r="F221" s="40" t="str">
        <x:v>No</x:v>
      </x:c>
      <x:c r="G221" s="40" t="n">
        <x:v>0</x:v>
      </x:c>
      <x:c r="H221" s="40" t="str">
        <x:v>Unlabeled</x:v>
      </x:c>
      <x:c r="I221" s="40"/>
      <x:c r="J221" s="40"/>
      <x:c r="K221" s="30" t="str">
        <x:v>Default No — no retained human paragraph-level label in the curated GPT Test</x:v>
      </x:c>
      <x:c r="L221" s="30"/>
      <x:c r="M221" s="40" t="str">
        <x:v>paragraph</x:v>
      </x:c>
      <x:c r="N221" s="40" t="str">
        <x:v>No</x:v>
      </x:c>
      <x:c r="O221" s="30"/>
      <x:c r="P221" s="30" t="str">
        <x:v>69:21:0;69:22:0;69:23:0;69:24:0;69:25:0;69:26:0;69:27:0;69:28:0;69:29:0</x:v>
      </x:c>
    </x:row>
    <x:row r="222" ht="45" customHeight="1">
      <x:c r="A222" s="30" t="str">
        <x:v>ERP-A221</x:v>
      </x:c>
      <x:c r="B222" s="30" t="str">
        <x:v>p 69</x:v>
      </x:c>
      <x:c r="C222" s="30" t="str">
        <x:v>Relative to what people are generally willing to accept or tolerate for dams, the level of risk to the residents of New Orleans was very high. For instance, if the hurricane protection system had been treated as a major dam, it would have needed to be designed so that the likelihood of failure would occur roughly once in 100,000 years to once in 1,000,000 years of operation. The red box shown in Figure 8.1 is an approximate graphical representation of the historical performance of the hurricane protection system: a catastrophic failure, resulting in approximately 1,000 fatalities, which occurred once in 40 years of operation.</x:v>
      </x:c>
      <x:c r="D222" s="30" t="str">
        <x:v>ERP Report</x:v>
      </x:c>
      <x:c r="E222" s="30" t="str">
        <x:v>erpreport.pdf</x:v>
      </x:c>
      <x:c r="F222" s="40" t="str">
        <x:v>No</x:v>
      </x:c>
      <x:c r="G222" s="40" t="n">
        <x:v>0</x:v>
      </x:c>
      <x:c r="H222" s="40" t="str">
        <x:v>Unlabeled</x:v>
      </x:c>
      <x:c r="I222" s="40"/>
      <x:c r="J222" s="40"/>
      <x:c r="K222" s="30" t="str">
        <x:v>Default No — no retained human paragraph-level label in the curated GPT Test</x:v>
      </x:c>
      <x:c r="L222" s="30"/>
      <x:c r="M222" s="40" t="str">
        <x:v>paragraph</x:v>
      </x:c>
      <x:c r="N222" s="40" t="str">
        <x:v>No</x:v>
      </x:c>
      <x:c r="O222" s="30"/>
      <x:c r="P222" s="30" t="str">
        <x:v>69:30:0;69:31:0;69:32:0;69:33:0;69:34:0;69:35:0;69:36:0;69:37:0;69:38:0</x:v>
      </x:c>
    </x:row>
    <x:row r="223" ht="45" customHeight="1">
      <x:c r="A223" s="30" t="str">
        <x:v>ERP-A222</x:v>
      </x:c>
      <x:c r="B223" s="30" t="str">
        <x:v>p 70</x:v>
      </x:c>
      <x:c r="C223" s="30" t="str">
        <x:v>The risk that society is willing to tolerate from a dam is not necessarily the same as that from a hurricane- or flood-protection system, primarily because the systems are different in terms of, for instance, size, resiliency, the speed with which an emergency develops, and the options available during actual emergencies. Among other differences, a dam is typically several thousand feet long, whereas a levee system is several hundred to several thousand miles long. Dams are generally more resilient than levees because they have emergency spillways to divert excess water, thus protecting the dam structure from catastrophic failure. Reservoir water levels are monitored, and water levels tend to rise slowly, as opposed to storm surges that rise rapidly. Areas downstream of the dams have emergency action plans in place to protect downstream residents. Also, evacuation of rural areas where most major dams are located is far easier than evacuation of major cities such as New Orleans.</x:v>
      </x:c>
      <x:c r="D223" s="30" t="str">
        <x:v>ERP Report</x:v>
      </x:c>
      <x:c r="E223" s="30" t="str">
        <x:v>erpreport.pdf</x:v>
      </x:c>
      <x:c r="F223" s="40" t="str">
        <x:v>No</x:v>
      </x:c>
      <x:c r="G223" s="40" t="n">
        <x:v>0</x:v>
      </x:c>
      <x:c r="H223" s="40" t="str">
        <x:v>Unlabeled</x:v>
      </x:c>
      <x:c r="I223" s="40"/>
      <x:c r="J223" s="40"/>
      <x:c r="K223" s="30" t="str">
        <x:v>Default No — no retained human paragraph-level label in the curated GPT Test</x:v>
      </x:c>
      <x:c r="L223" s="30"/>
      <x:c r="M223" s="40" t="str">
        <x:v>paragraph</x:v>
      </x:c>
      <x:c r="N223" s="40" t="str">
        <x:v>No</x:v>
      </x:c>
      <x:c r="O223" s="30"/>
      <x:c r="P223" s="30" t="str">
        <x:v>70:5:0;70:6:0;70:7:0;70:8:0;70:9:0;70:10:0;70:11:0;70:12:0;70:13:0;70:14:0;70:15:0;70:16:0;70:17:0</x:v>
      </x:c>
    </x:row>
    <x:row r="224" ht="45" customHeight="1">
      <x:c r="A224" s="30" t="str">
        <x:v>ERP-A223</x:v>
      </x:c>
      <x:c r="B224" s="30" t="str">
        <x:v>p 70</x:v>
      </x:c>
      <x:c r="C224" s="30" t="str">
        <x:v>Unlike a major dam in the United States, the risks associated with New Orleans’s hurricane protection system had never been quantified prior to Hurricane Katrina. As a result, the residents of New Orleans could not have known the actual risks with which they were living. Risk quantification could have raised the awareness of planners and policy-makers so they understood that this system might have been massively under-designed relative to the standards for other critical life-safety infrastructure.</x:v>
      </x:c>
      <x:c r="D224" s="30" t="str">
        <x:v>ERP Report</x:v>
      </x:c>
      <x:c r="E224" s="30" t="str">
        <x:v>erpreport.pdf</x:v>
      </x:c>
      <x:c r="F224" s="40" t="str">
        <x:v>No</x:v>
      </x:c>
      <x:c r="G224" s="40" t="n">
        <x:v>0</x:v>
      </x:c>
      <x:c r="H224" s="40" t="str">
        <x:v>Unlabeled</x:v>
      </x:c>
      <x:c r="I224" s="40"/>
      <x:c r="J224" s="40"/>
      <x:c r="K224" s="30" t="str">
        <x:v>Default No — no retained human paragraph-level label in the curated GPT Test</x:v>
      </x:c>
      <x:c r="L224" s="30"/>
      <x:c r="M224" s="40" t="str">
        <x:v>paragraph</x:v>
      </x:c>
      <x:c r="N224" s="40" t="str">
        <x:v>No</x:v>
      </x:c>
      <x:c r="O224" s="30"/>
      <x:c r="P224" s="30" t="str">
        <x:v>70:18:0;70:19:0;70:20:0;70:21:0;70:22:0;70:23:0;70:24:0</x:v>
      </x:c>
    </x:row>
    <x:row r="225" ht="45" customHeight="1">
      <x:c r="A225" s="30" t="str">
        <x:v>ERP-A224</x:v>
      </x:c>
      <x:c r="B225" s="30" t="str">
        <x:v>p 70</x:v>
      </x:c>
      <x:c r="C225" s="30" t="str">
        <x:v>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x:v>
      </x:c>
      <x:c r="D225" s="30" t="str">
        <x:v>ERP Report</x:v>
      </x:c>
      <x:c r="E225" s="30" t="str">
        <x:v>erpreport.pdf</x:v>
      </x:c>
      <x:c r="F225" s="40" t="str">
        <x:v>Yes</x:v>
      </x:c>
      <x:c r="G225" s="40" t="n">
        <x:v>1</x:v>
      </x:c>
      <x:c r="H225" s="40" t="str">
        <x:v>Direct human-labeled/adjudicated</x:v>
      </x:c>
      <x:c r="I225" s="40" t="str">
        <x:v>Anmol, Kyle</x:v>
      </x:c>
      <x:c r="J225" s="40" t="str">
        <x:v>ERP-016</x:v>
      </x:c>
      <x:c r="K225" s="30" t="str">
        <x:v>Retained human/adjudicated label from the curated GPT Test after PyMuPDF source reconciliation.</x:v>
      </x:c>
      <x:c r="L225" s="30" t="str">
        <x:v>This identifies a clear flaw in reisk estimation related to loss of life and asks for a rethink in estimates.</x:v>
      </x:c>
      <x:c r="M225" s="40" t="str">
        <x:v>paragraph</x:v>
      </x:c>
      <x:c r="N225" s="40" t="str">
        <x:v>No</x:v>
      </x:c>
      <x:c r="O225" s="30"/>
      <x:c r="P225" s="30" t="str">
        <x:v>70:25:0;70:26:0;70:27:0;70:28:0;70:29:0;70:30:0</x:v>
      </x:c>
    </x:row>
    <x:row r="226" ht="45" customHeight="1">
      <x:c r="A226" s="30" t="str">
        <x:v>ERP-A225</x:v>
      </x:c>
      <x:c r="B226" s="30" t="str">
        <x:v>p 71</x:v>
      </x:c>
      <x:c r="C226" s="30" t="str">
        <x:v>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x:v>
      </x:c>
      <x:c r="D226" s="30" t="str">
        <x:v>ERP Report</x:v>
      </x:c>
      <x:c r="E226" s="30" t="str">
        <x:v>erpreport.pdf</x:v>
      </x:c>
      <x:c r="F226" s="40" t="str">
        <x:v>No</x:v>
      </x:c>
      <x:c r="G226" s="40" t="n">
        <x:v>0</x:v>
      </x:c>
      <x:c r="H226" s="40" t="str">
        <x:v>Direct human-labeled/adjudicated</x:v>
      </x:c>
      <x:c r="I226" s="40" t="str">
        <x:v>Anmol, Kyle</x:v>
      </x:c>
      <x:c r="J226" s="40" t="str">
        <x:v>ERP-017</x:v>
      </x:c>
      <x:c r="K226" s="30" t="str">
        <x:v>Retained human/adjudicated label from the curated GPT Test after PyMuPDF source reconciliation.</x:v>
      </x:c>
      <x:c r="L226" s="30" t="str">
        <x:v>Not unlearning. There is no clear policy failure and fundamental change being suggested.</x:v>
      </x:c>
      <x:c r="M226" s="40" t="str">
        <x:v>paragraph</x:v>
      </x:c>
      <x:c r="N226" s="40" t="str">
        <x:v>No</x:v>
      </x:c>
      <x:c r="O226" s="30"/>
      <x:c r="P226" s="30" t="str">
        <x:v>71:1:0;71:2:0;71:3:0;71:4:0;71:5:0;71:6:0;71:7:0;71:8:0;71:9:0;71:10:0</x:v>
      </x:c>
    </x:row>
    <x:row r="227" ht="45" customHeight="1">
      <x:c r="A227" s="30" t="str">
        <x:v>ERP-A226</x:v>
      </x:c>
      <x:c r="B227" s="30" t="str">
        <x:v>p 71</x:v>
      </x:c>
      <x:c r="C227" s="30" t="str">
        <x:v>The southeast Louisiana hurricane protection system was planned, designed, and constructed over four decades without a system-wide approach or integration with land use, emergency evacuation, or recovery plans. Originally, the system grew in response to the need to protect from floods and to remove rainfall from the city. At some point, the decision was made to incorporate hurricane protection. Construction of the hurricane protection system began in earnest following Hurricane Betsy in 1965. Construction was not scheduled for completion until 2015.</x:v>
      </x:c>
      <x:c r="D227" s="30" t="str">
        <x:v>ERP Report</x:v>
      </x:c>
      <x:c r="E227" s="30" t="str">
        <x:v>erpreport.pdf</x:v>
      </x:c>
      <x:c r="F227" s="40" t="str">
        <x:v>No</x:v>
      </x:c>
      <x:c r="G227" s="40" t="n">
        <x:v>0</x:v>
      </x:c>
      <x:c r="H227" s="40" t="str">
        <x:v>Unlabeled</x:v>
      </x:c>
      <x:c r="I227" s="40"/>
      <x:c r="J227" s="40"/>
      <x:c r="K227" s="30" t="str">
        <x:v>Default No — no retained human paragraph-level label in the curated GPT Test</x:v>
      </x:c>
      <x:c r="L227" s="30"/>
      <x:c r="M227" s="40" t="str">
        <x:v>paragraph</x:v>
      </x:c>
      <x:c r="N227" s="40" t="str">
        <x:v>No</x:v>
      </x:c>
      <x:c r="O227" s="30"/>
      <x:c r="P227" s="30" t="str">
        <x:v>71:12:0;71:13:0;71:14:0;71:15:0;71:16:0;71:17:0;71:18:0;71:19:0</x:v>
      </x:c>
    </x:row>
    <x:row r="228" ht="45" customHeight="1">
      <x:c r="A228" s="30" t="str">
        <x:v>ERP-A227</x:v>
      </x:c>
      <x:c r="B228" s="30" t="str">
        <x:v>p 71</x:v>
      </x:c>
      <x:c r="C228" s="30" t="str">
        <x:v>The hurricane protection system, however, is a system in name only. In reality, it is a disjointed agglomeration of many individual projects that were conceived and constructed in a piecemeal fashion. Parts were then joined together in “make-do” arrangements.</x:v>
      </x:c>
      <x:c r="D228" s="30" t="str">
        <x:v>ERP Report</x:v>
      </x:c>
      <x:c r="E228" s="30" t="str">
        <x:v>erpreport.pdf</x:v>
      </x:c>
      <x:c r="F228" s="40" t="str">
        <x:v>No</x:v>
      </x:c>
      <x:c r="G228" s="40" t="n">
        <x:v>0</x:v>
      </x:c>
      <x:c r="H228" s="40" t="str">
        <x:v>Unlabeled</x:v>
      </x:c>
      <x:c r="I228" s="40"/>
      <x:c r="J228" s="40"/>
      <x:c r="K228" s="30" t="str">
        <x:v>Default No — no retained human paragraph-level label in the curated GPT Test</x:v>
      </x:c>
      <x:c r="L228" s="30"/>
      <x:c r="M228" s="40" t="str">
        <x:v>paragraph</x:v>
      </x:c>
      <x:c r="N228" s="40" t="str">
        <x:v>No</x:v>
      </x:c>
      <x:c r="O228" s="30"/>
      <x:c r="P228" s="30" t="str">
        <x:v>71:20:0;71:21:0;71:22:0;71:23:0</x:v>
      </x:c>
    </x:row>
    <x:row r="229" ht="45" customHeight="1">
      <x:c r="A229" s="30" t="str">
        <x:v>ERP-A228</x:v>
      </x:c>
      <x:c r="B229" s="30" t="str">
        <x:v>p 71</x:v>
      </x:c>
      <x:c r="C229" s="30" t="str">
        <x:v>For example, the pump stations at the southends of the 17th Street, Orleans (Figure 8.2), and London Avenue Canals are old masonry structures that were built nearly a century ago to pump out rainfall. Although they were thought of as being part of the hurricane protection system, they were never strengthened or retrofitted. As a result, the pump station walls could not resist the hydrostatic (water pressure) loads caused by a storm surge.</x:v>
      </x:c>
      <x:c r="D229" s="30" t="str">
        <x:v>ERP Report</x:v>
      </x:c>
      <x:c r="E229" s="30" t="str">
        <x:v>erpreport.pdf</x:v>
      </x:c>
      <x:c r="F229" s="40" t="str">
        <x:v>No</x:v>
      </x:c>
      <x:c r="G229" s="40" t="n">
        <x:v>0</x:v>
      </x:c>
      <x:c r="H229" s="40" t="str">
        <x:v>Unlabeled</x:v>
      </x:c>
      <x:c r="I229" s="40"/>
      <x:c r="J229" s="40"/>
      <x:c r="K229" s="30" t="str">
        <x:v>Default No — no retained human paragraph-level label in the curated GPT Test</x:v>
      </x:c>
      <x:c r="L229" s="30"/>
      <x:c r="M229" s="40" t="str">
        <x:v>paragraph</x:v>
      </x:c>
      <x:c r="N229" s="40" t="str">
        <x:v>No</x:v>
      </x:c>
      <x:c r="O229" s="30"/>
      <x:c r="P229" s="30" t="str">
        <x:v>71:24:0;71:25:0;71:26:0;71:27:0;71:28:0;71:29:0</x:v>
      </x:c>
    </x:row>
    <x:row r="230" ht="45" customHeight="1">
      <x:c r="A230" s="30" t="str">
        <x:v>ERP-A229</x:v>
      </x:c>
      <x:c r="B230" s="30" t="str">
        <x:v>p 71</x:v>
      </x:c>
      <x:c r="C230" s="30" t="str">
        <x:v>In addition to the gaps at the pump stations, there are hundreds of penetrations for roadways, rail lines, and pipelines throughout the levee system. Many of these penetrations have gates that are supposed to be moved into place under flood conditions either automatically or by hand operation. It was found, however, that many of the closure systems were either missing or inoperable, and offered little resistance to floodwaters.</x:v>
      </x:c>
      <x:c r="D230" s="30" t="str">
        <x:v>ERP Report</x:v>
      </x:c>
      <x:c r="E230" s="30" t="str">
        <x:v>erpreport.pdf</x:v>
      </x:c>
      <x:c r="F230" s="40" t="str">
        <x:v>No</x:v>
      </x:c>
      <x:c r="G230" s="40" t="n">
        <x:v>0</x:v>
      </x:c>
      <x:c r="H230" s="40" t="str">
        <x:v>Unlabeled</x:v>
      </x:c>
      <x:c r="I230" s="40"/>
      <x:c r="J230" s="40"/>
      <x:c r="K230" s="30" t="str">
        <x:v>Default No — no retained human paragraph-level label in the curated GPT Test</x:v>
      </x:c>
      <x:c r="L230" s="30"/>
      <x:c r="M230" s="40" t="str">
        <x:v>paragraph</x:v>
      </x:c>
      <x:c r="N230" s="40" t="str">
        <x:v>No</x:v>
      </x:c>
      <x:c r="O230" s="30"/>
      <x:c r="P230" s="30" t="str">
        <x:v>71:30:0;71:31:0;71:32:0;71:33:0;71:34:0;71:35:0</x:v>
      </x:c>
    </x:row>
    <x:row r="231" ht="45" customHeight="1">
      <x:c r="A231" s="30" t="str">
        <x:v>ERP-A230</x:v>
      </x:c>
      <x:c r="B231" s="30" t="str">
        <x:v>p 72</x:v>
      </x:c>
      <x:c r="C231" s="30" t="str">
        <x:v>The gates for the levee penetrations are often supported by concrete and steel structures, built several feet higher than the adjacent earthen levees. Many levee breaches occurred immediately adjacent to penetration structures where the floodwaters preferentially overtopped the lower earthen sections, which are much more erodible than the adjacent structures. Segmented construction of levees sometimes resulted in abrupt discontinuities in top elevations as well. For example, there are several reaches of levee where the concrete I-wall ends abruptly. The steel sheet pile wall continues at a lower top elevation, eventually transitioning to an earthen levee, again several feet lower in elevation. As with the penetration structures described above, water flowed over the more fragile, erodible sections first because the tops were lower, resulting in failure in numerous locations (Figure 8.3).</x:v>
      </x:c>
      <x:c r="D231" s="30" t="str">
        <x:v>ERP Report</x:v>
      </x:c>
      <x:c r="E231" s="30" t="str">
        <x:v>erpreport.pdf</x:v>
      </x:c>
      <x:c r="F231" s="40" t="str">
        <x:v>No</x:v>
      </x:c>
      <x:c r="G231" s="40" t="n">
        <x:v>0</x:v>
      </x:c>
      <x:c r="H231" s="40" t="str">
        <x:v>Unlabeled</x:v>
      </x:c>
      <x:c r="I231" s="40"/>
      <x:c r="J231" s="40"/>
      <x:c r="K231" s="30" t="str">
        <x:v>Default No — no retained human paragraph-level label in the curated GPT Test</x:v>
      </x:c>
      <x:c r="L231" s="30"/>
      <x:c r="M231" s="40" t="str">
        <x:v>paragraph</x:v>
      </x:c>
      <x:c r="N231" s="40" t="str">
        <x:v>No</x:v>
      </x:c>
      <x:c r="O231" s="30"/>
      <x:c r="P231" s="30" t="str">
        <x:v>72:6:0;72:7:0;72:8:0;72:9:0;72:10:0;72:11:0;72:12:0;72:13:0;72:14:0;72:15:0;72:16:0;72:17:0</x:v>
      </x:c>
    </x:row>
    <x:row r="232" ht="45" customHeight="1">
      <x:c r="A232" s="30" t="str">
        <x:v>ERP-A231</x:v>
      </x:c>
      <x:c r="B232" s="30" t="str">
        <x:v>p 73</x:v>
      </x:c>
      <x:c r="C232" s="30" t="str">
        <x:v>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x:v>
      </x:c>
      <x:c r="D232" s="30" t="str">
        <x:v>ERP Report</x:v>
      </x:c>
      <x:c r="E232" s="30" t="str">
        <x:v>erpreport.pdf</x:v>
      </x:c>
      <x:c r="F232" s="40" t="str">
        <x:v>No</x:v>
      </x:c>
      <x:c r="G232" s="40" t="n">
        <x:v>0</x:v>
      </x:c>
      <x:c r="H232" s="40" t="str">
        <x:v>Derived from human-labeled parent span</x:v>
      </x:c>
      <x:c r="I232" s="40" t="str">
        <x:v>Anmol, Kyle</x:v>
      </x:c>
      <x:c r="J232" s="40" t="str">
        <x:v>ERP-018</x:v>
      </x:c>
      <x:c r="K232" s="30" t="str">
        <x:v>Paragraph-level label derived from the retained parent-span label and rationale using the revised paragraph-level codebook.</x:v>
      </x:c>
      <x:c r="L232" s="30" t="str">
        <x:v>The paragraph defines and contrasts the SPH and PMH standards but does not independently reject an existing engineering approach or propose a revised one.</x:v>
      </x:c>
      <x:c r="M232" s="40" t="str">
        <x:v>paragraph</x:v>
      </x:c>
      <x:c r="N232" s="40" t="str">
        <x:v>Yes</x:v>
      </x:c>
      <x:c r="O232" s="30" t="str">
        <x:v>Paragraph-level No was derived from a human-labeled multi-unit parent span; confirm during team adjudication.</x:v>
      </x:c>
      <x:c r="P232" s="30" t="str">
        <x:v>73:6:0;73:7:0;73:8:0;73:9:0;73:10:0;73:11:0;73:12:0;73:13:0</x:v>
      </x:c>
    </x:row>
    <x:row r="233" ht="45" customHeight="1">
      <x:c r="A233" s="30" t="str">
        <x:v>ERP-A232</x:v>
      </x:c>
      <x:c r="B233" s="30" t="str">
        <x:v>pp 73-74</x:v>
      </x:c>
      <x:c r="C233" s="30" t="str">
        <x:v>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v>
      </x:c>
      <x:c r="D233" s="30" t="str">
        <x:v>ERP Report</x:v>
      </x:c>
      <x:c r="E233" s="30" t="str">
        <x:v>erpreport.pdf</x:v>
      </x:c>
      <x:c r="F233" s="40" t="str">
        <x:v>Yes</x:v>
      </x:c>
      <x:c r="G233" s="40" t="n">
        <x:v>1</x:v>
      </x:c>
      <x:c r="H233" s="40" t="str">
        <x:v>Derived from human-labeled parent span</x:v>
      </x:c>
      <x:c r="I233" s="40" t="str">
        <x:v>Anmol, Kyle</x:v>
      </x:c>
      <x:c r="J233" s="40" t="str">
        <x:v>ERP-019</x:v>
      </x:c>
      <x:c r="K233" s="30" t="str">
        <x:v>Paragraph-level label derived from the retained parent-span label and rationale using the revised paragraph-level codebook.</x:v>
      </x:c>
      <x:c r="L233" s="30" t="str">
        <x:v>The list criticizes USACE’s reliance on low-end and outdated SPH parameters and implicitly calls for evaluating the system against more severe PMH conditions, updating design parameters, and upgrading existing components.</x:v>
      </x:c>
      <x:c r="M233" s="40" t="str">
        <x:v>list_unit</x:v>
      </x:c>
      <x:c r="N233" s="40" t="str">
        <x:v>Yes</x:v>
      </x:c>
      <x:c r="O233" s="30" t="str">
        <x:v>The departure is implicit in a list of actions USACE failed to take; paragraph-level Yes should be confirmed during team adjudication.</x:v>
      </x:c>
      <x:c r="P233" s="30" t="str">
        <x:v>73:14:0;73:15:0;73:16:0;73:17:0;73:18:0;73:19:0;73:20:0;74:1:0;74:2:0;74:3:0;74:4:0;74:5:0;74:6:0</x:v>
      </x:c>
    </x:row>
    <x:row r="234" ht="45" customHeight="1">
      <x:c r="A234" s="30" t="str">
        <x:v>ERP-A233</x:v>
      </x:c>
      <x:c r="B234" s="30" t="str">
        <x:v>p 74</x:v>
      </x:c>
      <x:c r="C234" s="30" t="str">
        <x:v>Consistently using the SPH — when more severe hurricane parameters had been defined — led to hurricane protection systems that were not strong or high enough to withstand the forces of Hurricane Katrina. As an example, the Lake Pontchartrain and Vicinity Hurricane Protection Project was designed for a surface wind speed of 100 miles per hour (mph), even though the 1959 stated SPH values were 101 (moderate) and 111 (high) mph. The National Weather Service’s 1979 PMH stated values for surface wind speed were 151 (moderate) and 160 (high) mph. Hurricane Katrina’s maximum wind speed was measured at 161 mph as it traversed the Gulf of Mexico.</x:v>
      </x:c>
      <x:c r="D234" s="30" t="str">
        <x:v>ERP Report</x:v>
      </x:c>
      <x:c r="E234" s="30" t="str">
        <x:v>erpreport.pdf</x:v>
      </x:c>
      <x:c r="F234" s="40" t="str">
        <x:v>No</x:v>
      </x:c>
      <x:c r="G234" s="40" t="n">
        <x:v>0</x:v>
      </x:c>
      <x:c r="H234" s="40" t="str">
        <x:v>Unlabeled</x:v>
      </x:c>
      <x:c r="I234" s="40"/>
      <x:c r="J234" s="40"/>
      <x:c r="K234" s="30" t="str">
        <x:v>Default No — no retained human paragraph-level label in the curated GPT Test</x:v>
      </x:c>
      <x:c r="L234" s="30"/>
      <x:c r="M234" s="40" t="str">
        <x:v>paragraph</x:v>
      </x:c>
      <x:c r="N234" s="40" t="str">
        <x:v>No</x:v>
      </x:c>
      <x:c r="O234" s="30"/>
      <x:c r="P234" s="30" t="str">
        <x:v>74:7:0;74:8:0;74:9:0;74:10:0;74:11:0;74:12:0;74:13:0;74:14:0;74:15:0</x:v>
      </x:c>
    </x:row>
    <x:row r="235" ht="45" customHeight="1">
      <x:c r="A235" s="30" t="str">
        <x:v>ERP-A234</x:v>
      </x:c>
      <x:c r="B235" s="30" t="str">
        <x:v>p 74</x:v>
      </x:c>
      <x:c r="C235" s="30" t="str">
        <x:v>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x:v>
      </x:c>
      <x:c r="D235" s="30" t="str">
        <x:v>ERP Report</x:v>
      </x:c>
      <x:c r="E235" s="30" t="str">
        <x:v>erpreport.pdf</x:v>
      </x:c>
      <x:c r="F235" s="40" t="str">
        <x:v>Yes</x:v>
      </x:c>
      <x:c r="G235" s="40" t="n">
        <x:v>1</x:v>
      </x:c>
      <x:c r="H235" s="40" t="str">
        <x:v>Direct human-labeled/adjudicated</x:v>
      </x:c>
      <x:c r="I235" s="40" t="str">
        <x:v>Anmol, Kyle</x:v>
      </x:c>
      <x:c r="J235" s="40" t="str">
        <x:v>ERP-020</x:v>
      </x:c>
      <x:c r="K235" s="30" t="str">
        <x:v>Retained human/adjudicated label from the curated GPT Test after PyMuPDF source reconciliation. The original excerpt’s label was carried to the source-complete paragraph.</x:v>
      </x:c>
      <x:c r="L235" s="30" t="str">
        <x:v>It identifies selection of non-conservation estimates and asks for its replacement.</x:v>
      </x:c>
      <x:c r="M235" s="40" t="str">
        <x:v>paragraph</x:v>
      </x:c>
      <x:c r="N235" s="40" t="str">
        <x:v>No</x:v>
      </x:c>
      <x:c r="O235" s="30"/>
      <x:c r="P235" s="30" t="str">
        <x:v>74:16:0;74:17:0;74:18:0;74:19:0;74:20:0;74:21:0;74:22:0;74:23:0;74:24:0;74:25:0;74:26:0</x:v>
      </x:c>
    </x:row>
    <x:row r="236" ht="45" customHeight="1">
      <x:c r="A236" s="30" t="str">
        <x:v>ERP-A235</x:v>
      </x:c>
      <x:c r="B236" s="30" t="str">
        <x:v>p 74</x:v>
      </x:c>
      <x:c r="C236" s="30" t="str">
        <x:v>Using the SPH and associated meteorological conditions ultimately resulted in the hurricane protection system being under-designed. However there were other factors that compounded the problem of the levees being unable to withstand the storm surge from Hurricane Katrina.</x:v>
      </x:c>
      <x:c r="D236" s="30" t="str">
        <x:v>ERP Report</x:v>
      </x:c>
      <x:c r="E236" s="30" t="str">
        <x:v>erpreport.pdf</x:v>
      </x:c>
      <x:c r="F236" s="40" t="str">
        <x:v>No</x:v>
      </x:c>
      <x:c r="G236" s="40" t="n">
        <x:v>0</x:v>
      </x:c>
      <x:c r="H236" s="40" t="str">
        <x:v>Unlabeled</x:v>
      </x:c>
      <x:c r="I236" s="40"/>
      <x:c r="J236" s="40"/>
      <x:c r="K236" s="30" t="str">
        <x:v>Default No — no retained human paragraph-level label in the curated GPT Test</x:v>
      </x:c>
      <x:c r="L236" s="30"/>
      <x:c r="M236" s="40" t="str">
        <x:v>paragraph</x:v>
      </x:c>
      <x:c r="N236" s="40" t="str">
        <x:v>No</x:v>
      </x:c>
      <x:c r="O236" s="30"/>
      <x:c r="P236" s="30" t="str">
        <x:v>74:28:0;74:29:0;74:30:0;74:31:0</x:v>
      </x:c>
    </x:row>
    <x:row r="237" ht="45" customHeight="1">
      <x:c r="A237" s="30" t="str">
        <x:v>ERP-A236</x:v>
      </x:c>
      <x:c r="B237" s="30" t="str">
        <x:v>p 74</x:v>
      </x:c>
      <x:c r="C237" s="30" t="str">
        <x:v>Establishing an accurate vertical datum (the basis from which all elevations are measured) is a necessary first step for the design and construction of all engineered structures. Over time, the New Orleans levees and floodwalls were designed relative to local mean sea level. However, some were constructed relative to datums that were incorrectly assumed to be equal to (or offset from) the local mean sea level data (Figure 8.4).</x:v>
      </x:c>
      <x:c r="D237" s="30" t="str">
        <x:v>ERP Report</x:v>
      </x:c>
      <x:c r="E237" s="30" t="str">
        <x:v>erpreport.pdf</x:v>
      </x:c>
      <x:c r="F237" s="40" t="str">
        <x:v>No</x:v>
      </x:c>
      <x:c r="G237" s="40" t="n">
        <x:v>0</x:v>
      </x:c>
      <x:c r="H237" s="40" t="str">
        <x:v>Unlabeled</x:v>
      </x:c>
      <x:c r="I237" s="40"/>
      <x:c r="J237" s="40"/>
      <x:c r="K237" s="30" t="str">
        <x:v>Default No — no retained human paragraph-level label in the curated GPT Test</x:v>
      </x:c>
      <x:c r="L237" s="30"/>
      <x:c r="M237" s="40" t="str">
        <x:v>paragraph</x:v>
      </x:c>
      <x:c r="N237" s="40" t="str">
        <x:v>No</x:v>
      </x:c>
      <x:c r="O237" s="30"/>
      <x:c r="P237" s="30" t="str">
        <x:v>74:32:0;74:33:0;74:34:0;74:35:0;74:36:0;74:37:0</x:v>
      </x:c>
    </x:row>
    <x:row r="238" ht="45" customHeight="1">
      <x:c r="A238" s="30" t="str">
        <x:v>ERP-A237</x:v>
      </x:c>
      <x:c r="B238" s="30" t="str">
        <x:v>p 75</x:v>
      </x:c>
      <x:c r="C238" s="30" t="str">
        <x:v>It is well understood that the entire New Orleans region is subsiding. The average rate of subsidence is about 0.2 inches per year, although rates in excess of 1 inch per year occur at some locations. Compounding the problems of using improper datums was the fact that designers and engineers did not build in an allowance for subsidence in designing the hurricane protection system. Prudent engineering would dictate that the levees and floodwalls be built higher than needed, so that over time, as the ground subsided, the levees and floodwalls would still be high enough to protect against floodwaters. This was not done.</x:v>
      </x:c>
      <x:c r="D238" s="30" t="str">
        <x:v>ERP Report</x:v>
      </x:c>
      <x:c r="E238" s="30" t="str">
        <x:v>erpreport.pdf</x:v>
      </x:c>
      <x:c r="F238" s="40" t="str">
        <x:v>No</x:v>
      </x:c>
      <x:c r="G238" s="40" t="n">
        <x:v>0</x:v>
      </x:c>
      <x:c r="H238" s="40" t="str">
        <x:v>Unlabeled</x:v>
      </x:c>
      <x:c r="I238" s="40"/>
      <x:c r="J238" s="40"/>
      <x:c r="K238" s="30" t="str">
        <x:v>Default No — no retained human paragraph-level label in the curated GPT Test</x:v>
      </x:c>
      <x:c r="L238" s="30"/>
      <x:c r="M238" s="40" t="str">
        <x:v>paragraph</x:v>
      </x:c>
      <x:c r="N238" s="40" t="str">
        <x:v>No</x:v>
      </x:c>
      <x:c r="O238" s="30"/>
      <x:c r="P238" s="30" t="str">
        <x:v>75:4:0;75:5:0;75:6:0;75:7:0;75:8:0;75:9:0;75:10:0;75:11:0;75:12:0</x:v>
      </x:c>
    </x:row>
    <x:row r="239" ht="45" customHeight="1">
      <x:c r="A239" s="30" t="str">
        <x:v>ERP-A238</x:v>
      </x:c>
      <x:c r="B239" s="30" t="str">
        <x:v>p 75</x:v>
      </x:c>
      <x:c r="C239" s="30" t="str">
        <x:v>A “freeboard” (extra height at the top of the wall to accommodate waves) allowance was included, but the freeboard was not intended to compensate for subsidence impacts. In many projects, the freeboard has been completely lost to subsidence. In older parts of the system, along the Industrial Canal (built more than 35 years ago) for instance, the impact of subsidence plus incorrect use of datum has resulted in the levees and floodwalls being up to 3 feet lower than the original design. The peak storm surges were generally only 1 to 3 feet above the tops of the levees and walls; therefore, had the tops of levees and floodwalls been at the proper elevations, fewer overtoppings and breaching failures would have occurred.</x:v>
      </x:c>
      <x:c r="D239" s="30" t="str">
        <x:v>ERP Report</x:v>
      </x:c>
      <x:c r="E239" s="30" t="str">
        <x:v>erpreport.pdf</x:v>
      </x:c>
      <x:c r="F239" s="40" t="str">
        <x:v>No</x:v>
      </x:c>
      <x:c r="G239" s="40" t="n">
        <x:v>0</x:v>
      </x:c>
      <x:c r="H239" s="40" t="str">
        <x:v>Unlabeled</x:v>
      </x:c>
      <x:c r="I239" s="40"/>
      <x:c r="J239" s="40"/>
      <x:c r="K239" s="30" t="str">
        <x:v>Default No — no retained human paragraph-level label in the curated GPT Test</x:v>
      </x:c>
      <x:c r="L239" s="30"/>
      <x:c r="M239" s="40" t="str">
        <x:v>paragraph</x:v>
      </x:c>
      <x:c r="N239" s="40" t="str">
        <x:v>No</x:v>
      </x:c>
      <x:c r="O239" s="30"/>
      <x:c r="P239" s="30" t="str">
        <x:v>75:13:0;75:14:0;75:15:0;75:16:0;75:17:0;75:18:0;75:19:0;75:20:0;75:21:0;75:22:0</x:v>
      </x:c>
    </x:row>
    <x:row r="240" ht="45" customHeight="1">
      <x:c r="A240" s="30" t="str">
        <x:v>ERP-A239</x:v>
      </x:c>
      <x:c r="B240" s="30" t="str">
        <x:v>pp 75-76</x:v>
      </x:c>
      <x:c r="C240" s="30" t="str">
        <x:v>USACE officials have stated that Congressional authorization would not allow the USACE to consider water levels above “authorized levels” as estimated from the SPH. By this logic, the USACE did not specify the tops of the levees to be above authorized levels to account for possible subsidence. Similarly, the USACE did not call for armoring to protect from erosion caused by overtopping.</x:v>
      </x:c>
      <x:c r="D240" s="30" t="str">
        <x:v>ERP Report</x:v>
      </x:c>
      <x:c r="E240" s="30" t="str">
        <x:v>erpreport.pdf</x:v>
      </x:c>
      <x:c r="F240" s="40" t="str">
        <x:v>No</x:v>
      </x:c>
      <x:c r="G240" s="40" t="n">
        <x:v>0</x:v>
      </x:c>
      <x:c r="H240" s="40" t="str">
        <x:v>Unlabeled</x:v>
      </x:c>
      <x:c r="I240" s="40"/>
      <x:c r="J240" s="40"/>
      <x:c r="K240" s="30" t="str">
        <x:v>Default No — no retained human paragraph-level label in the curated GPT Test</x:v>
      </x:c>
      <x:c r="L240" s="30"/>
      <x:c r="M240" s="40" t="str">
        <x:v>paragraph</x:v>
      </x:c>
      <x:c r="N240" s="40" t="str">
        <x:v>No</x:v>
      </x:c>
      <x:c r="O240" s="30"/>
      <x:c r="P240" s="30" t="str">
        <x:v>75:23:0;75:24:0;76:1:0;76:2:0;76:3:0;76:4:0</x:v>
      </x:c>
    </x:row>
    <x:row r="241" ht="45" customHeight="1">
      <x:c r="A241" s="30" t="str">
        <x:v>ERP-A240</x:v>
      </x:c>
      <x:c r="B241" s="30" t="str">
        <x:v>p 76</x:v>
      </x:c>
      <x:c r="C241" s="30" t="str">
        <x:v>The result of these ill-considered decisions — coupled with the fact that the area is experiencing ongoing subsidence — is that the tops of some levees and floodwalls are as much as several feet lower than originally intended. Floodwaters from Hurricane Katrina more easily overtopped these levees. If it were not for the fact that the levees breached and I-walls toppled due to geotechnical failures (as described in Chapter 7), the overtopping caused by walls that were too low would have been the major source of flooding in New Orleans.</x:v>
      </x:c>
      <x:c r="D241" s="30" t="str">
        <x:v>ERP Report</x:v>
      </x:c>
      <x:c r="E241" s="30" t="str">
        <x:v>erpreport.pdf</x:v>
      </x:c>
      <x:c r="F241" s="40" t="str">
        <x:v>No</x:v>
      </x:c>
      <x:c r="G241" s="40" t="n">
        <x:v>0</x:v>
      </x:c>
      <x:c r="H241" s="40" t="str">
        <x:v>Unlabeled</x:v>
      </x:c>
      <x:c r="I241" s="40"/>
      <x:c r="J241" s="40"/>
      <x:c r="K241" s="30" t="str">
        <x:v>Default No — no retained human paragraph-level label in the curated GPT Test</x:v>
      </x:c>
      <x:c r="L241" s="30"/>
      <x:c r="M241" s="40" t="str">
        <x:v>paragraph</x:v>
      </x:c>
      <x:c r="N241" s="40" t="str">
        <x:v>No</x:v>
      </x:c>
      <x:c r="O241" s="30"/>
      <x:c r="P241" s="30" t="str">
        <x:v>76:5:0;76:6:0;76:7:0;76:8:0;76:9:0;76:10:0;76:11:0;76:12:0</x:v>
      </x:c>
    </x:row>
    <x:row r="242" ht="45" customHeight="1">
      <x:c r="A242" s="30" t="str">
        <x:v>ERP-A241</x:v>
      </x:c>
      <x:c r="B242" s="30" t="str">
        <x:v>p 76</x:v>
      </x:c>
      <x:c r="C242" s="30" t="str">
        <x:v>In addition to discontinuities in the physical hurricane protection system caused by its piecemeal construction and incorrect elevations, there were discontinuities in organizational responsibility for the hurricane protection system as well. The management of the hurricane protection system is chaotic and dysfunctional.</x:v>
      </x:c>
      <x:c r="D242" s="30" t="str">
        <x:v>ERP Report</x:v>
      </x:c>
      <x:c r="E242" s="30" t="str">
        <x:v>erpreport.pdf</x:v>
      </x:c>
      <x:c r="F242" s="40" t="str">
        <x:v>No</x:v>
      </x:c>
      <x:c r="G242" s="40" t="n">
        <x:v>0</x:v>
      </x:c>
      <x:c r="H242" s="40" t="str">
        <x:v>Unlabeled</x:v>
      </x:c>
      <x:c r="I242" s="40"/>
      <x:c r="J242" s="40"/>
      <x:c r="K242" s="30" t="str">
        <x:v>Default No — no retained human paragraph-level label in the curated GPT Test</x:v>
      </x:c>
      <x:c r="L242" s="30"/>
      <x:c r="M242" s="40" t="str">
        <x:v>paragraph</x:v>
      </x:c>
      <x:c r="N242" s="40" t="str">
        <x:v>No</x:v>
      </x:c>
      <x:c r="O242" s="30"/>
      <x:c r="P242" s="30" t="str">
        <x:v>76:14:0;76:15:0;76:16:0;76:17:0;76:18:0</x:v>
      </x:c>
    </x:row>
    <x:row r="243" ht="45" customHeight="1">
      <x:c r="A243" s="30" t="str">
        <x:v>ERP-A242</x:v>
      </x:c>
      <x:c r="B243" s="30" t="str">
        <x:v>p 76</x:v>
      </x:c>
      <x:c r="C243" s="30" t="str">
        <x:v>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x:v>
      </x:c>
      <x:c r="D243" s="30" t="str">
        <x:v>ERP Report</x:v>
      </x:c>
      <x:c r="E243" s="30" t="str">
        <x:v>erpreport.pdf</x:v>
      </x:c>
      <x:c r="F243" s="40" t="str">
        <x:v>Yes</x:v>
      </x:c>
      <x:c r="G243" s="40" t="n">
        <x:v>1</x:v>
      </x:c>
      <x:c r="H243" s="40" t="str">
        <x:v>Direct human-labeled/adjudicated</x:v>
      </x:c>
      <x:c r="I243" s="40" t="str">
        <x:v>Anmol, Kyle</x:v>
      </x:c>
      <x:c r="J243" s="40" t="str">
        <x:v>ERP-021</x:v>
      </x:c>
      <x:c r="K243" s="30" t="str">
        <x:v>Retained human/adjudicated label from the curated GPT Test after PyMuPDF source reconciliation.</x:v>
      </x:c>
      <x:c r="L243" s="30" t="str">
        <x:v>It identifies agency mandates, roles adn responsbilities as a clear area requiring rethink.</x:v>
      </x:c>
      <x:c r="M243" s="40" t="str">
        <x:v>paragraph</x:v>
      </x:c>
      <x:c r="N243" s="40" t="str">
        <x:v>No</x:v>
      </x:c>
      <x:c r="O243" s="30"/>
      <x:c r="P243" s="30" t="str">
        <x:v>76:19:0;76:20:0;76:21:0;76:22:0;76:23:0;76:24:0;76:25:0;76:26:0;76:27:0;76:28:0</x:v>
      </x:c>
    </x:row>
    <x:row r="244" ht="45" customHeight="1">
      <x:c r="A244" s="30" t="str">
        <x:v>ERP-A243</x:v>
      </x:c>
      <x:c r="B244" s="30" t="str">
        <x:v>p 78</x:v>
      </x:c>
      <x:c r="C244" s="30" t="str">
        <x:v>Examples of the consequences of the lack of inter-agency coordination are plentiful. For instance, the agencies responsible for floodgates at France Road in Orleans Parish (the crossing for the New Orleans Public Belt Railroad) include the Port of New Orleans, the Orleans Levee District, the New Orleans Public Belt Railroad, and the New Orleans District of the USACE. The floodgates were out of service and left open during Hurricane Katrina because of repairs, allowing water to flood through them unimpeded.</x:v>
      </x:c>
      <x:c r="D244" s="30" t="str">
        <x:v>ERP Report</x:v>
      </x:c>
      <x:c r="E244" s="30" t="str">
        <x:v>erpreport.pdf</x:v>
      </x:c>
      <x:c r="F244" s="40" t="str">
        <x:v>No</x:v>
      </x:c>
      <x:c r="G244" s="40" t="n">
        <x:v>0</x:v>
      </x:c>
      <x:c r="H244" s="40" t="str">
        <x:v>Unlabeled</x:v>
      </x:c>
      <x:c r="I244" s="40"/>
      <x:c r="J244" s="40"/>
      <x:c r="K244" s="30" t="str">
        <x:v>Default No — no retained human paragraph-level label in the curated GPT Test</x:v>
      </x:c>
      <x:c r="L244" s="30"/>
      <x:c r="M244" s="40" t="str">
        <x:v>paragraph</x:v>
      </x:c>
      <x:c r="N244" s="40" t="str">
        <x:v>No</x:v>
      </x:c>
      <x:c r="O244" s="30"/>
      <x:c r="P244" s="30" t="str">
        <x:v>78:1:0;78:2:0;78:3:0;78:4:0;78:5:0;78:6:0;78:7:0</x:v>
      </x:c>
    </x:row>
    <x:row r="245" ht="45" customHeight="1">
      <x:c r="A245" s="30" t="str">
        <x:v>ERP-A244</x:v>
      </x:c>
      <x:c r="B245" s="30" t="str">
        <x:v>p 78</x:v>
      </x:c>
      <x:c r="C245" s="30" t="str">
        <x:v>Separate organizations control design and maintenance. By necessity, the USACE made assumptions that the levees would be maintained properly over time. In fact, the levees were not always maintained properly. For instance, trees were allowed to grow on the levees, and swimming pools and hot tubs had encroached on levee rights-of-way. Although there was likely some informal or semi-formal communication between agencies, the group of agencies did not work together to ensure that the New Orleans area was protected from hurricane damage.</x:v>
      </x:c>
      <x:c r="D245" s="30" t="str">
        <x:v>ERP Report</x:v>
      </x:c>
      <x:c r="E245" s="30" t="str">
        <x:v>erpreport.pdf</x:v>
      </x:c>
      <x:c r="F245" s="40" t="str">
        <x:v>No</x:v>
      </x:c>
      <x:c r="G245" s="40" t="n">
        <x:v>0</x:v>
      </x:c>
      <x:c r="H245" s="40" t="str">
        <x:v>Unlabeled</x:v>
      </x:c>
      <x:c r="I245" s="40"/>
      <x:c r="J245" s="40"/>
      <x:c r="K245" s="30" t="str">
        <x:v>Default No — no retained human paragraph-level label in the curated GPT Test</x:v>
      </x:c>
      <x:c r="L245" s="30"/>
      <x:c r="M245" s="40" t="str">
        <x:v>paragraph</x:v>
      </x:c>
      <x:c r="N245" s="40" t="str">
        <x:v>No</x:v>
      </x:c>
      <x:c r="O245" s="30"/>
      <x:c r="P245" s="30" t="str">
        <x:v>78:8:0;78:9:0;78:10:0;78:11:0;78:12:0;78:13:0;78:14:0;78:15:0</x:v>
      </x:c>
    </x:row>
    <x:row r="246" ht="45" customHeight="1">
      <x:c r="A246" s="30" t="str">
        <x:v>ERP-A245</x:v>
      </x:c>
      <x:c r="B246" s="30" t="str">
        <x:v>p 78</x:v>
      </x:c>
      <x:c r="C246" s="30" t="str">
        <x:v>It is only natural that during an emergency situation such as Hurricane Katrina, without pre-planning and coordination, major gaps in emergency response will occur. Nowhere is this more evident than in Jefferson Parish, where the parish president — apparently out of concern for the safety and welfare of the pump station operators — ordered the operators to evacuate prior to the storm. There was evidently no plan or infrastructure in place to enable safe, continuous operation of pumping stations during a major</x:v>
      </x:c>
      <x:c r="D246" s="30" t="str">
        <x:v>ERP Report</x:v>
      </x:c>
      <x:c r="E246" s="30" t="str">
        <x:v>erpreport.pdf</x:v>
      </x:c>
      <x:c r="F246" s="40" t="str">
        <x:v>No</x:v>
      </x:c>
      <x:c r="G246" s="40" t="n">
        <x:v>0</x:v>
      </x:c>
      <x:c r="H246" s="40" t="str">
        <x:v>Unlabeled</x:v>
      </x:c>
      <x:c r="I246" s="40"/>
      <x:c r="J246" s="40"/>
      <x:c r="K246" s="30" t="str">
        <x:v>Default No — no retained human paragraph-level label in the curated GPT Test</x:v>
      </x:c>
      <x:c r="L246" s="30"/>
      <x:c r="M246" s="40" t="str">
        <x:v>paragraph</x:v>
      </x:c>
      <x:c r="N246" s="40" t="str">
        <x:v>No</x:v>
      </x:c>
      <x:c r="O246" s="30"/>
      <x:c r="P246" s="30" t="str">
        <x:v>78:16:0;78:17:0;78:18:0;78:19:0;78:20:0;78:21:0;78:22:0</x:v>
      </x:c>
    </x:row>
    <x:row r="247" ht="45" customHeight="1">
      <x:c r="A247" s="30" t="str">
        <x:v>ERP-A246</x:v>
      </x:c>
      <x:c r="B247" s="30" t="str">
        <x:v>pp 78-79</x:v>
      </x:c>
      <x:c r="C247" s="30" t="str">
        <x:v>The USACE acts as “Engineer” on behalf of the levee districts. However, the USACE’s position is that it cannot do anything that a local sponsor (in this case, a levee district) does not approve. Several key USACE attempts to implement system-wide solutions were often met by fierce local opposition, and were not approved. For instance, following Hurricane Betsy, the USACE proposed providing hurricane protection along the Lake Pontchartrain lakefront instead of along the canals. This proposal was strongly opposed by the Sewerage and Water Board of New Orleans and by the Orleans Levee District, and ultimately dropped by the USACE.</x:v>
      </x:c>
      <x:c r="D247" s="30" t="str">
        <x:v>ERP Report</x:v>
      </x:c>
      <x:c r="E247" s="30" t="str">
        <x:v>erpreport.pdf</x:v>
      </x:c>
      <x:c r="F247" s="40" t="str">
        <x:v>No</x:v>
      </x:c>
      <x:c r="G247" s="40" t="n">
        <x:v>0</x:v>
      </x:c>
      <x:c r="H247" s="40" t="str">
        <x:v>Unlabeled</x:v>
      </x:c>
      <x:c r="I247" s="40"/>
      <x:c r="J247" s="40"/>
      <x:c r="K247" s="30" t="str">
        <x:v>Default No — no retained human paragraph-level label in the curated GPT Test</x:v>
      </x:c>
      <x:c r="L247" s="30"/>
      <x:c r="M247" s="40" t="str">
        <x:v>paragraph</x:v>
      </x:c>
      <x:c r="N247" s="40" t="str">
        <x:v>No</x:v>
      </x:c>
      <x:c r="O247" s="30"/>
      <x:c r="P247" s="30" t="str">
        <x:v>78:24:0;78:25:0;78:26:0;78:27:0;79:1:0;79:2:0;79:3:0;79:3:1;79:3:2</x:v>
      </x:c>
    </x:row>
    <x:row r="248" ht="45" customHeight="1">
      <x:c r="A248" s="30" t="str">
        <x:v>ERP-A247</x:v>
      </x:c>
      <x:c r="B248" s="30" t="str">
        <x:v>p 79</x:v>
      </x:c>
      <x:c r="C248" s="30" t="str">
        <x:v>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x:v>
      </x:c>
      <x:c r="D248" s="30" t="str">
        <x:v>ERP Report</x:v>
      </x:c>
      <x:c r="E248" s="30" t="str">
        <x:v>erpreport.pdf</x:v>
      </x:c>
      <x:c r="F248" s="40" t="str">
        <x:v>Yes</x:v>
      </x:c>
      <x:c r="G248" s="40" t="n">
        <x:v>1</x:v>
      </x:c>
      <x:c r="H248" s="40" t="str">
        <x:v>Direct human-labeled/adjudicated</x:v>
      </x:c>
      <x:c r="I248" s="40" t="str">
        <x:v>Anmol, Kyle</x:v>
      </x:c>
      <x:c r="J248" s="40" t="str">
        <x:v>ERP-022</x:v>
      </x:c>
      <x:c r="K248" s="30" t="str">
        <x:v>Retained human/adjudicated label from the curated GPT Test after PyMuPDF source reconciliation.</x:v>
      </x:c>
      <x:c r="L248" s="30" t="str">
        <x:v>It identifies culture, agency mandates, roles and responsibilities as a clear area requiring rethinking.</x:v>
      </x:c>
      <x:c r="M248" s="40" t="str">
        <x:v>paragraph</x:v>
      </x:c>
      <x:c r="N248" s="40" t="str">
        <x:v>No</x:v>
      </x:c>
      <x:c r="O248" s="30"/>
      <x:c r="P248" s="30" t="str">
        <x:v>79:3:3;79:3:4;79:3:5;79:3:6;79:3:7;79:3:8;79:3:9;79:3:10;79:3:11;79:3:12;79:4:0;79:5:0</x:v>
      </x:c>
    </x:row>
    <x:row r="249" ht="45" customHeight="1">
      <x:c r="A249" s="30" t="str">
        <x:v>ERP-A248</x:v>
      </x:c>
      <x:c r="B249" s="30" t="str">
        <x:v>p 79</x:v>
      </x:c>
      <x:c r="C249" s="30" t="str">
        <x:v>During the design of major engineering projects, senior experts in the appropriate fields of engineering are often called in to conduct external peer review. These peer reviewers typically provide input on the overall direction of the project, the validity of assumptions, the correctness of analytical methods, and the design approach. Design peer reviews are conducted to provide a completely independent assessment of a public works project.</x:v>
      </x:c>
      <x:c r="D249" s="30" t="str">
        <x:v>ERP Report</x:v>
      </x:c>
      <x:c r="E249" s="30" t="str">
        <x:v>erpreport.pdf</x:v>
      </x:c>
      <x:c r="F249" s="40" t="str">
        <x:v>No</x:v>
      </x:c>
      <x:c r="G249" s="40" t="n">
        <x:v>0</x:v>
      </x:c>
      <x:c r="H249" s="40" t="str">
        <x:v>Unlabeled</x:v>
      </x:c>
      <x:c r="I249" s="40"/>
      <x:c r="J249" s="40"/>
      <x:c r="K249" s="30" t="str">
        <x:v>Default No — no retained human paragraph-level label in the curated GPT Test</x:v>
      </x:c>
      <x:c r="L249" s="30"/>
      <x:c r="M249" s="40" t="str">
        <x:v>paragraph</x:v>
      </x:c>
      <x:c r="N249" s="40" t="str">
        <x:v>No</x:v>
      </x:c>
      <x:c r="O249" s="30"/>
      <x:c r="P249" s="30" t="str">
        <x:v>79:7:0;79:7:1;79:7:2;79:7:3;79:7:4;79:7:5</x:v>
      </x:c>
    </x:row>
    <x:row r="250" ht="45" customHeight="1">
      <x:c r="A250" s="30" t="str">
        <x:v>ERP-A249</x:v>
      </x:c>
      <x:c r="B250" s="30" t="str">
        <x:v>p 79</x:v>
      </x:c>
      <x:c r="C250" s="30" t="str">
        <x:v>External peer reviews were conducted on very few, if any, of New Orleans’s hurricane protection system projects. In fact, the USACE’s internal directives fall short of ASCE’s recommended policies to protect the public health, safety, and welfare against the catastrophic failure of water resources projects.</x:v>
      </x:c>
      <x:c r="D250" s="30" t="str">
        <x:v>ERP Report</x:v>
      </x:c>
      <x:c r="E250" s="30" t="str">
        <x:v>erpreport.pdf</x:v>
      </x:c>
      <x:c r="F250" s="40" t="str">
        <x:v>No</x:v>
      </x:c>
      <x:c r="G250" s="40" t="n">
        <x:v>0</x:v>
      </x:c>
      <x:c r="H250" s="40" t="str">
        <x:v>Unlabeled</x:v>
      </x:c>
      <x:c r="I250" s="40"/>
      <x:c r="J250" s="40"/>
      <x:c r="K250" s="30" t="str">
        <x:v>Default No — no retained human paragraph-level label in the curated GPT Test</x:v>
      </x:c>
      <x:c r="L250" s="30"/>
      <x:c r="M250" s="40" t="str">
        <x:v>paragraph</x:v>
      </x:c>
      <x:c r="N250" s="40" t="str">
        <x:v>No</x:v>
      </x:c>
      <x:c r="O250" s="30"/>
      <x:c r="P250" s="30" t="str">
        <x:v>79:8:0;79:8:1;79:8:2;79:8:3</x:v>
      </x:c>
    </x:row>
    <x:row r="251" ht="45" customHeight="1">
      <x:c r="A251" s="30" t="str">
        <x:v>ERP-A250</x:v>
      </x:c>
      <x:c r="B251" s="30" t="str">
        <x:v>p 79</x:v>
      </x:c>
      <x:c r="C251" s="30" t="str">
        <x:v>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x:v>
      </x:c>
      <x:c r="D251" s="30" t="str">
        <x:v>ERP Report</x:v>
      </x:c>
      <x:c r="E251" s="30" t="str">
        <x:v>erpreport.pdf</x:v>
      </x:c>
      <x:c r="F251" s="40" t="str">
        <x:v>No</x:v>
      </x:c>
      <x:c r="G251" s="40" t="n">
        <x:v>0</x:v>
      </x:c>
      <x:c r="H251" s="40" t="str">
        <x:v>Derived from human-labeled parent span</x:v>
      </x:c>
      <x:c r="I251" s="40" t="str">
        <x:v>Anmol, Kyle</x:v>
      </x:c>
      <x:c r="J251" s="40" t="str">
        <x:v>ERP-023</x:v>
      </x:c>
      <x:c r="K251" s="30" t="str">
        <x:v>Paragraph-level label derived from the retained parent-span label and rationale using the revised paragraph-level codebook.</x:v>
      </x:c>
      <x:c r="L251" s="30" t="str">
        <x:v>The paragraph diagnoses weaknesses in USACE peer-review procedures and resulting engineering errors, but it does not itself state what practice should replace them.</x:v>
      </x:c>
      <x:c r="M251" s="40" t="str">
        <x:v>paragraph</x:v>
      </x:c>
      <x:c r="N251" s="40" t="str">
        <x:v>Yes</x:v>
      </x:c>
      <x:c r="O251" s="30" t="str">
        <x:v>Paragraph-level No was derived from the human-labeled parent span and rationale; confirm during team adjudication.</x:v>
      </x:c>
      <x:c r="P251" s="30" t="str">
        <x:v>79:9:0;79:9:1;79:9:2;79:9:3;79:9:4;79:9:5;79:9:6</x:v>
      </x:c>
    </x:row>
    <x:row r="252" ht="45" customHeight="1">
      <x:c r="A252" s="30" t="str">
        <x:v>ERP-A251</x:v>
      </x:c>
      <x:c r="B252" s="30" t="str">
        <x:v>p 79</x:v>
      </x:c>
      <x:c r="C252" s="30" t="str">
        <x:v>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x:v>
      </x:c>
      <x:c r="D252" s="30" t="str">
        <x:v>ERP Report</x:v>
      </x:c>
      <x:c r="E252" s="30" t="str">
        <x:v>erpreport.pdf</x:v>
      </x:c>
      <x:c r="F252" s="40" t="str">
        <x:v>Yes</x:v>
      </x:c>
      <x:c r="G252" s="40" t="n">
        <x:v>1</x:v>
      </x:c>
      <x:c r="H252" s="40" t="str">
        <x:v>Derived from human-labeled parent span</x:v>
      </x:c>
      <x:c r="I252" s="40" t="str">
        <x:v>Anmol, Kyle</x:v>
      </x:c>
      <x:c r="J252" s="40" t="str">
        <x:v>ERP-024</x:v>
      </x:c>
      <x:c r="K252" s="30" t="str">
        <x:v>Paragraph-level label derived from the retained parent-span label and rationale using the revised paragraph-level codebook.</x:v>
      </x:c>
      <x:c r="L252" s="30" t="str">
        <x:v>The paragraph identifies self-referential engineering decision-making and organizational habit as inadequate and presents effective external peer review as the alternative that could prevent such errors.</x:v>
      </x:c>
      <x:c r="M252" s="40" t="str">
        <x:v>paragraph</x:v>
      </x:c>
      <x:c r="N252" s="40" t="str">
        <x:v>Yes</x:v>
      </x:c>
      <x:c r="O252" s="30" t="str">
        <x:v>The recommendation is expressed partly through a counterfactual; confirm the paragraph-level Yes during team adjudication.</x:v>
      </x:c>
      <x:c r="P252" s="30" t="str">
        <x:v>79:10:0;79:10:1;79:11:0;79:12:0;79:13:0;79:14:0;79:15:0;79:16:0</x:v>
      </x:c>
    </x:row>
    <x:row r="253" ht="45" customHeight="1">
      <x:c r="A253" s="30" t="str">
        <x:v>ERP-A252</x:v>
      </x:c>
      <x:c r="B253" s="30" t="str">
        <x:v>p 80</x:v>
      </x:c>
      <x:c r="C253"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x:v>
      </x:c>
      <x:c r="D253" s="30" t="str">
        <x:v>ERP Report</x:v>
      </x:c>
      <x:c r="E253" s="30" t="str">
        <x:v>erpreport.pdf</x:v>
      </x:c>
      <x:c r="F253" s="40" t="str">
        <x:v>No</x:v>
      </x:c>
      <x:c r="G253" s="40" t="n">
        <x:v>0</x:v>
      </x:c>
      <x:c r="H253" s="40" t="str">
        <x:v>Derived from human-labeled parent span</x:v>
      </x:c>
      <x:c r="I253" s="40" t="str">
        <x:v>Anmol, Kyle</x:v>
      </x:c>
      <x:c r="J253" s="40" t="str">
        <x:v>ERP-025</x:v>
      </x:c>
      <x:c r="K253" s="30" t="str">
        <x:v>Paragraph-level label derived from the retained parent-span label and rationale using the revised paragraph-level codebook.</x:v>
      </x:c>
      <x:c r="L253" s="30" t="str">
        <x:v>The paragraph describes the ordinary federal and local funding process but does not identify it as inadequate or call for its replacement.</x:v>
      </x:c>
      <x:c r="M253" s="40" t="str">
        <x:v>paragraph</x:v>
      </x:c>
      <x:c r="N253" s="40" t="str">
        <x:v>Yes</x:v>
      </x:c>
      <x:c r="O253" s="30" t="str">
        <x:v>Paragraph-level No was derived from a human-labeled multi-paragraph parent span; confirm during team adjudication.</x:v>
      </x:c>
      <x:c r="P253" s="30" t="str">
        <x:v>80:2:0;80:3:0;80:4:0;80:5:0;80:6:0;80:7:0</x:v>
      </x:c>
    </x:row>
    <x:row r="254" ht="45" customHeight="1">
      <x:c r="A254" s="30" t="str">
        <x:v>ERP-A253</x:v>
      </x:c>
      <x:c r="B254" s="30" t="str">
        <x:v>p 80</x:v>
      </x:c>
      <x:c r="C254" s="30" t="str">
        <x:v>Because of the Congressional budgeting process, the stream of funding for the New Orleans hurricane protection system was irregular, at best. If a project was not sufficiently funded, the USACE was often required to delay implementation or to scale back the project.</x:v>
      </x:c>
      <x:c r="D254" s="30" t="str">
        <x:v>ERP Report</x:v>
      </x:c>
      <x:c r="E254" s="30" t="str">
        <x:v>erpreport.pdf</x:v>
      </x:c>
      <x:c r="F254" s="40" t="str">
        <x:v>No</x:v>
      </x:c>
      <x:c r="G254" s="40" t="n">
        <x:v>0</x:v>
      </x:c>
      <x:c r="H254" s="40" t="str">
        <x:v>Derived from human-labeled parent span</x:v>
      </x:c>
      <x:c r="I254" s="40" t="str">
        <x:v>Anmol, Kyle</x:v>
      </x:c>
      <x:c r="J254" s="40" t="str">
        <x:v>ERP-026</x:v>
      </x:c>
      <x:c r="K254" s="30" t="str">
        <x:v>Paragraph-level label derived from the retained parent-span label and rationale using the revised paragraph-level codebook.</x:v>
      </x:c>
      <x:c r="L254" s="30" t="str">
        <x:v>The paragraph documents irregular funding and resulting delay or project reduction, but it remains diagnostic and does not propose a fundamental replacement.</x:v>
      </x:c>
      <x:c r="M254" s="40" t="str">
        <x:v>paragraph</x:v>
      </x:c>
      <x:c r="N254" s="40" t="str">
        <x:v>Yes</x:v>
      </x:c>
      <x:c r="O254" s="30" t="str">
        <x:v>Paragraph-level No was derived from a human-labeled multi-paragraph parent span; confirm during team adjudication.</x:v>
      </x:c>
      <x:c r="P254" s="30" t="str">
        <x:v>80:8:0;80:9:0;80:10:0;80:11:0</x:v>
      </x:c>
    </x:row>
    <x:row r="255" ht="45" customHeight="1">
      <x:c r="A255" s="30" t="str">
        <x:v>ERP-A254</x:v>
      </x:c>
      <x:c r="B255" s="30" t="str">
        <x:v>p 80</x:v>
      </x:c>
      <x:c r="C255" s="30" t="str">
        <x:v>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x:v>
      </x:c>
      <x:c r="D255" s="30" t="str">
        <x:v>ERP Report</x:v>
      </x:c>
      <x:c r="E255" s="30" t="str">
        <x:v>erpreport.pdf</x:v>
      </x:c>
      <x:c r="F255" s="40" t="str">
        <x:v>Yes</x:v>
      </x:c>
      <x:c r="G255" s="40" t="n">
        <x:v>1</x:v>
      </x:c>
      <x:c r="H255" s="40" t="str">
        <x:v>Derived from human-labeled parent span</x:v>
      </x:c>
      <x:c r="I255" s="40" t="str">
        <x:v>Anmol, Kyle</x:v>
      </x:c>
      <x:c r="J255" s="40" t="str">
        <x:v>ERP-027</x:v>
      </x:c>
      <x:c r="K255" s="30" t="str">
        <x:v>Paragraph-level label derived from the retained parent-span label and rationale using the revised paragraph-level codebook.</x:v>
      </x:c>
      <x:c r="L255" s="30" t="str">
        <x:v>The paragraph explicitly identifies the push-pull funding mechanism for critical life-safety infrastructure as essentially flawed and calls, at least implicitly, for fundamental reconsideration of that allocation structure.</x:v>
      </x:c>
      <x:c r="M255" s="40" t="str">
        <x:v>paragraph</x:v>
      </x:c>
      <x:c r="N255" s="40" t="str">
        <x:v>Yes</x:v>
      </x:c>
      <x:c r="O255" s="30" t="str">
        <x:v>The Yes decision relies on the phrase 'essentially flawed' as an implicit call for fundamental rethinking; confirm during team adjudication.</x:v>
      </x:c>
      <x:c r="P255" s="30" t="str">
        <x:v>80:12:0;80:13:0;80:14:0;80:15:0;80:16:0;80:17:0</x:v>
      </x:c>
    </x:row>
    <x:row r="256" ht="45" customHeight="1">
      <x:c r="A256" s="30" t="str">
        <x:v>ERP-A255</x:v>
      </x:c>
      <x:c r="B256" s="30" t="str">
        <x:v>p 80</x:v>
      </x:c>
      <x:c r="C256" s="30" t="str">
        <x:v>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x:v>
      </x:c>
      <x:c r="D256" s="30" t="str">
        <x:v>ERP Report</x:v>
      </x:c>
      <x:c r="E256" s="30" t="str">
        <x:v>erpreport.pdf</x:v>
      </x:c>
      <x:c r="F256" s="40" t="str">
        <x:v>No</x:v>
      </x:c>
      <x:c r="G256" s="40" t="n">
        <x:v>0</x:v>
      </x:c>
      <x:c r="H256" s="40" t="str">
        <x:v>Derived from human-labeled parent span</x:v>
      </x:c>
      <x:c r="I256" s="40" t="str">
        <x:v>Anmol, Kyle</x:v>
      </x:c>
      <x:c r="J256" s="40" t="str">
        <x:v>ERP-028</x:v>
      </x:c>
      <x:c r="K256" s="30" t="str">
        <x:v>Paragraph-level label derived from the retained parent-span label and rationale using the revised paragraph-level codebook.</x:v>
      </x:c>
      <x:c r="L256" s="30" t="str">
        <x:v>The paragraph diagnoses the project-by-project approach and reductionist thinking, but it does not itself state a replacement funding or management mechanism.</x:v>
      </x:c>
      <x:c r="M256" s="40" t="str">
        <x:v>paragraph</x:v>
      </x:c>
      <x:c r="N256" s="40" t="str">
        <x:v>Yes</x:v>
      </x:c>
      <x:c r="O256" s="30" t="str">
        <x:v>Paragraph-level No was derived from a human-labeled multi-paragraph parent span; confirm during team adjudication.</x:v>
      </x:c>
      <x:c r="P256" s="30" t="str">
        <x:v>80:18:0;80:19:0;80:20:0;80:21:0;80:22:0;80:23:0;80:24:0;80:25:0;80:26:0</x:v>
      </x:c>
    </x:row>
    <x:row r="257" ht="45" customHeight="1">
      <x:c r="A257" s="30" t="str">
        <x:v>ERP-A256</x:v>
      </x:c>
      <x:c r="B257" s="30" t="str">
        <x:v>p 80</x:v>
      </x:c>
      <x:c r="C257" s="30" t="str">
        <x:v>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x:v>
      </x:c>
      <x:c r="D257" s="30" t="str">
        <x:v>ERP Report</x:v>
      </x:c>
      <x:c r="E257" s="30" t="str">
        <x:v>erpreport.pdf</x:v>
      </x:c>
      <x:c r="F257" s="40" t="str">
        <x:v>No</x:v>
      </x:c>
      <x:c r="G257" s="40" t="n">
        <x:v>0</x:v>
      </x:c>
      <x:c r="H257" s="40" t="str">
        <x:v>Derived from human-labeled parent span</x:v>
      </x:c>
      <x:c r="I257" s="40" t="str">
        <x:v>Anmol, Kyle</x:v>
      </x:c>
      <x:c r="J257" s="40" t="str">
        <x:v>ERP-029</x:v>
      </x:c>
      <x:c r="K257" s="30" t="str">
        <x:v>Paragraph-level label derived from the retained parent-span label and rationale using the revised paragraph-level codebook.</x:v>
      </x:c>
      <x:c r="L257" s="30" t="str">
        <x:v>The paragraph describes a decision not to armor levees and a possible authority constraint, but it does not itself call for changing the governing practice.</x:v>
      </x:c>
      <x:c r="M257" s="40" t="str">
        <x:v>paragraph</x:v>
      </x:c>
      <x:c r="N257" s="40" t="str">
        <x:v>Yes</x:v>
      </x:c>
      <x:c r="O257" s="30" t="str">
        <x:v>Paragraph-level No was derived from a human-labeled multi-paragraph parent span; confirm during team adjudication.</x:v>
      </x:c>
      <x:c r="P257" s="30" t="str">
        <x:v>80:27:0;80:28:0;80:29:0;80:30:0;80:31:0;80:32:0;80:33:0</x:v>
      </x:c>
    </x:row>
    <x:row r="258" ht="45" customHeight="1">
      <x:c r="A258" s="30" t="str">
        <x:v>ERP-A257</x:v>
      </x:c>
      <x:c r="B258" s="30" t="str">
        <x:v>p 80</x:v>
      </x:c>
      <x:c r="C258" s="30" t="str">
        <x:v>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D258" s="30" t="str">
        <x:v>ERP Report</x:v>
      </x:c>
      <x:c r="E258" s="30" t="str">
        <x:v>erpreport.pdf</x:v>
      </x:c>
      <x:c r="F258" s="40" t="str">
        <x:v>No</x:v>
      </x:c>
      <x:c r="G258" s="40" t="n">
        <x:v>0</x:v>
      </x:c>
      <x:c r="H258" s="40" t="str">
        <x:v>Derived from human-labeled parent span</x:v>
      </x:c>
      <x:c r="I258" s="40" t="str">
        <x:v>Anmol, Kyle</x:v>
      </x:c>
      <x:c r="J258" s="40" t="str">
        <x:v>ERP-030</x:v>
      </x:c>
      <x:c r="K258" s="30" t="str">
        <x:v>Paragraph-level label derived from the retained parent-span label and rationale using the revised paragraph-level codebook.</x:v>
      </x:c>
      <x:c r="L258" s="30" t="str">
        <x:v>The paragraph criticizes congressional control and USACE’s acceptance of it, but its call for more vigorous advocacy and adequate funding is not a clear replacement of the funding structure.</x:v>
      </x:c>
      <x:c r="M258" s="40" t="str">
        <x:v>paragraph</x:v>
      </x:c>
      <x:c r="N258" s="40" t="str">
        <x:v>Yes</x:v>
      </x:c>
      <x:c r="O258" s="30" t="str">
        <x:v>Paragraph-level No was derived from a human-labeled multi-paragraph parent span; confirm during team adjudication.</x:v>
      </x:c>
      <x:c r="P258" s="30" t="str">
        <x:v>80:34:0;80:35:0;80:36:0;80:37:0;80:38:0;80:39:0;80:40:0</x:v>
      </x:c>
    </x:row>
    <x:row r="259" ht="45" customHeight="1">
      <x:c r="A259" s="30" t="str">
        <x:v>ERP-A258</x:v>
      </x:c>
      <x:c r="B259" s="30" t="str">
        <x:v>p 81</x:v>
      </x:c>
      <x:c r="C259" s="30" t="str">
        <x:v>Serious deficiencies in the southeast Louisiana hurricane protection system must be corrected if the New Orleans area is to avoid a similar catastrophe when the next major hurricane strikes. There are flaws in the way the hurricane protection system was conceived, budgeted, funded, designed, constructed, operated, and managed.</x:v>
      </x:c>
      <x:c r="D259" s="30" t="str">
        <x:v>ERP Report</x:v>
      </x:c>
      <x:c r="E259" s="30" t="str">
        <x:v>erpreport.pdf</x:v>
      </x:c>
      <x:c r="F259" s="40" t="str">
        <x:v>No</x:v>
      </x:c>
      <x:c r="G259" s="40" t="n">
        <x:v>0</x:v>
      </x:c>
      <x:c r="H259" s="40" t="str">
        <x:v>Unlabeled</x:v>
      </x:c>
      <x:c r="I259" s="40"/>
      <x:c r="J259" s="40"/>
      <x:c r="K259" s="30" t="str">
        <x:v>Default No — no retained human paragraph-level label in the curated GPT Test</x:v>
      </x:c>
      <x:c r="L259" s="30"/>
      <x:c r="M259" s="40" t="str">
        <x:v>paragraph</x:v>
      </x:c>
      <x:c r="N259" s="40" t="str">
        <x:v>No</x:v>
      </x:c>
      <x:c r="O259" s="30"/>
      <x:c r="P259" s="30" t="str">
        <x:v>81:3:0;81:4:0;81:5:0;81:6:0;81:7:0</x:v>
      </x:c>
    </x:row>
    <x:row r="260" ht="45" customHeight="1">
      <x:c r="A260" s="30" t="str">
        <x:v>ERP-A259</x:v>
      </x:c>
      <x:c r="B260" s="30" t="str">
        <x:v>p 81</x:v>
      </x:c>
      <x:c r="C260" s="30" t="str">
        <x:v>There is no quick fix for problems of this complexity. Overcoming the deficiencies in the New Orleans hurricane protection system — and instituting real change in its engineering, management, and governance — will require leadership, courage, conviction, and funding.</x:v>
      </x:c>
      <x:c r="D260" s="30" t="str">
        <x:v>ERP Report</x:v>
      </x:c>
      <x:c r="E260" s="30" t="str">
        <x:v>erpreport.pdf</x:v>
      </x:c>
      <x:c r="F260" s="40" t="str">
        <x:v>No</x:v>
      </x:c>
      <x:c r="G260" s="40" t="n">
        <x:v>0</x:v>
      </x:c>
      <x:c r="H260" s="40" t="str">
        <x:v>Unlabeled</x:v>
      </x:c>
      <x:c r="I260" s="40"/>
      <x:c r="J260" s="40"/>
      <x:c r="K260" s="30" t="str">
        <x:v>Default No — no retained human paragraph-level label in the curated GPT Test</x:v>
      </x:c>
      <x:c r="L260" s="30"/>
      <x:c r="M260" s="40" t="str">
        <x:v>paragraph</x:v>
      </x:c>
      <x:c r="N260" s="40" t="str">
        <x:v>No</x:v>
      </x:c>
      <x:c r="O260" s="30"/>
      <x:c r="P260" s="30" t="str">
        <x:v>81:8:0;81:9:0;81:10:0;81:11:0</x:v>
      </x:c>
    </x:row>
    <x:row r="261" ht="45" customHeight="1">
      <x:c r="A261" s="30" t="str">
        <x:v>ERP-A260</x:v>
      </x:c>
      <x:c r="B261" s="30" t="str">
        <x:v>p 81</x:v>
      </x:c>
      <x:c r="C261" s="30" t="str">
        <x:v>The lessons learned from Hurricane Katrina also have profound implications for other American communities and a sobering message for people</x:v>
      </x:c>
      <x:c r="D261" s="30" t="str">
        <x:v>ERP Report</x:v>
      </x:c>
      <x:c r="E261" s="30" t="str">
        <x:v>erpreport.pdf</x:v>
      </x:c>
      <x:c r="F261" s="40" t="str">
        <x:v>No</x:v>
      </x:c>
      <x:c r="G261" s="40" t="n">
        <x:v>0</x:v>
      </x:c>
      <x:c r="H261" s="40" t="str">
        <x:v>Unlabeled</x:v>
      </x:c>
      <x:c r="I261" s="40"/>
      <x:c r="J261" s="40"/>
      <x:c r="K261" s="30" t="str">
        <x:v>Default No — no retained human paragraph-level label in the curated GPT Test</x:v>
      </x:c>
      <x:c r="L261" s="30"/>
      <x:c r="M261" s="40" t="str">
        <x:v>paragraph</x:v>
      </x:c>
      <x:c r="N261" s="40" t="str">
        <x:v>No</x:v>
      </x:c>
      <x:c r="O261" s="30"/>
      <x:c r="P261" s="30" t="str">
        <x:v>81:12:0;81:13:0</x:v>
      </x:c>
    </x:row>
    <x:row r="262" ht="45" customHeight="1">
      <x:c r="A262" s="30" t="str">
        <x:v>ERP-A261</x:v>
      </x:c>
      <x:c r="B262" s="30" t="str">
        <x:v>p 81</x:v>
      </x:c>
      <x:c r="C262" s="30" t="str">
        <x:v>lead to a far greater tragedy than the one we have witnessed in New Orleans.</x:v>
      </x:c>
      <x:c r="D262" s="30" t="str">
        <x:v>ERP Report</x:v>
      </x:c>
      <x:c r="E262" s="30" t="str">
        <x:v>erpreport.pdf</x:v>
      </x:c>
      <x:c r="F262" s="40" t="str">
        <x:v>No</x:v>
      </x:c>
      <x:c r="G262" s="40" t="n">
        <x:v>0</x:v>
      </x:c>
      <x:c r="H262" s="40" t="str">
        <x:v>Unlabeled</x:v>
      </x:c>
      <x:c r="I262" s="40"/>
      <x:c r="J262" s="40"/>
      <x:c r="K262" s="30" t="str">
        <x:v>Default No — no retained human paragraph-level label in the curated GPT Test</x:v>
      </x:c>
      <x:c r="L262" s="30"/>
      <x:c r="M262" s="40" t="str">
        <x:v>paragraph</x:v>
      </x:c>
      <x:c r="N262" s="40" t="str">
        <x:v>No</x:v>
      </x:c>
      <x:c r="O262" s="30"/>
      <x:c r="P262" s="30" t="str">
        <x:v>81:15:0</x:v>
      </x:c>
    </x:row>
    <x:row r="263" ht="45" customHeight="1">
      <x:c r="A263" s="30" t="str">
        <x:v>ERP-A262</x:v>
      </x:c>
      <x:c r="B263" s="30" t="str">
        <x:v>p 81</x:v>
      </x:c>
      <x:c r="C263" s="30" t="str">
        <x:v>What follows are ten critical actions the ASCE Hurricane Katrina External Review Panel believes necessary. Each action falls under one of four required shifts in thought and approach: understand risk and embrace safety; re-evaluate and fix the hurricane protection system; revamp the management of the hurricane protection system; and demand engineering quality. We consider each action essential, and we strongly recommend that each be implemented.</x:v>
      </x:c>
      <x:c r="D263" s="30" t="str">
        <x:v>ERP Report</x:v>
      </x:c>
      <x:c r="E263" s="30" t="str">
        <x:v>erpreport.pdf</x:v>
      </x:c>
      <x:c r="F263" s="40" t="str">
        <x:v>No</x:v>
      </x:c>
      <x:c r="G263" s="40" t="n">
        <x:v>0</x:v>
      </x:c>
      <x:c r="H263" s="40" t="str">
        <x:v>Unlabeled</x:v>
      </x:c>
      <x:c r="I263" s="40"/>
      <x:c r="J263" s="40"/>
      <x:c r="K263" s="30" t="str">
        <x:v>Default No — no retained human paragraph-level label in the curated GPT Test</x:v>
      </x:c>
      <x:c r="L263" s="30"/>
      <x:c r="M263" s="40" t="str">
        <x:v>paragraph</x:v>
      </x:c>
      <x:c r="N263" s="40" t="str">
        <x:v>No</x:v>
      </x:c>
      <x:c r="O263" s="30"/>
      <x:c r="P263" s="30" t="str">
        <x:v>81:16:0;81:17:0;81:18:0;81:19:0;81:20:0;81:21:0;81:22:0</x:v>
      </x:c>
    </x:row>
    <x:row r="264" ht="45" customHeight="1">
      <x:c r="A264" s="30" t="str">
        <x:v>ERP-A263</x:v>
      </x:c>
      <x:c r="B264" s="30" t="str">
        <x:v>p 81</x:v>
      </x:c>
      <x:c r="C264" s="30" t="str">
        <x:v>When Hurricane Katrina came ashore, the hurricane protection system failed, with tragic consequences. The catastrophe that befell New Orleans was born, in part, out of failure to recognize the fragility of the levee system in the face of storms of Hurricane Katrina’s magnitude. Few appreciated how devastating the consequences of failure could be. There was far too little priority or urgency given to the hurricane protection system by political leaders at all levels of government, by designers and operators, and by the people who lived in its shadow — evidenced by the fact that the system took decades to build and remains incomplete yet today.</x:v>
      </x:c>
      <x:c r="D264" s="30" t="str">
        <x:v>ERP Report</x:v>
      </x:c>
      <x:c r="E264" s="30" t="str">
        <x:v>erpreport.pdf</x:v>
      </x:c>
      <x:c r="F264" s="40" t="str">
        <x:v>No</x:v>
      </x:c>
      <x:c r="G264" s="40" t="n">
        <x:v>0</x:v>
      </x:c>
      <x:c r="H264" s="40" t="str">
        <x:v>Unlabeled</x:v>
      </x:c>
      <x:c r="I264" s="40"/>
      <x:c r="J264" s="40"/>
      <x:c r="K264" s="30" t="str">
        <x:v>Default No — no retained human paragraph-level label in the curated GPT Test</x:v>
      </x:c>
      <x:c r="L264" s="30"/>
      <x:c r="M264" s="40" t="str">
        <x:v>paragraph</x:v>
      </x:c>
      <x:c r="N264" s="40" t="str">
        <x:v>No</x:v>
      </x:c>
      <x:c r="O264" s="30"/>
      <x:c r="P264" s="30" t="str">
        <x:v>81:24:0;81:25:0;81:26:0;81:27:0;81:28:0;81:29:0;81:30:0;81:31:0;81:32:0</x:v>
      </x:c>
    </x:row>
    <x:row r="265" ht="45" customHeight="1">
      <x:c r="A265" s="30" t="str">
        <x:v>ERP-A264</x:v>
      </x:c>
      <x:c r="B265" s="30" t="str">
        <x:v>p 81</x:v>
      </x:c>
      <x:c r="C265" s="30" t="str">
        <x:v>The people of New Orleans — and all those who live in hurricane- and flood-prone communities around the country — must understand and acknowledge the risks under which they live. From this knowledge comes insight into what risks are acceptable for their communities and for the nation.</x:v>
      </x:c>
      <x:c r="D265" s="30" t="str">
        <x:v>ERP Report</x:v>
      </x:c>
      <x:c r="E265" s="30" t="str">
        <x:v>erpreport.pdf</x:v>
      </x:c>
      <x:c r="F265" s="40" t="str">
        <x:v>No</x:v>
      </x:c>
      <x:c r="G265" s="40" t="n">
        <x:v>0</x:v>
      </x:c>
      <x:c r="H265" s="40" t="str">
        <x:v>Unlabeled</x:v>
      </x:c>
      <x:c r="I265" s="40"/>
      <x:c r="J265" s="40"/>
      <x:c r="K265" s="30" t="str">
        <x:v>Default No — no retained human paragraph-level label in the curated GPT Test</x:v>
      </x:c>
      <x:c r="L265" s="30"/>
      <x:c r="M265" s="40" t="str">
        <x:v>paragraph</x:v>
      </x:c>
      <x:c r="N265" s="40" t="str">
        <x:v>No</x:v>
      </x:c>
      <x:c r="O265" s="30"/>
      <x:c r="P265" s="30" t="str">
        <x:v>81:33:0;81:34:0;81:35:0;81:36:0</x:v>
      </x:c>
    </x:row>
    <x:row r="266" ht="45" customHeight="1">
      <x:c r="A266" s="30" t="str">
        <x:v>ERP-A265</x:v>
      </x:c>
      <x:c r="B266" s="30" t="str">
        <x:v>p 82</x:v>
      </x:c>
      <x:c r="C266" s="30" t="str">
        <x:v>No single authority has ever been charged with responsibility for defining in clear, specific, and unambiguous terms what was to be expected from the hurricane protection system in the New Orleans region in terms of protection from flooding and loss of life. As the hurricane protection system for New Orleans was being designed and debated amongst the USACE and state and local stakeholders, compromises were made based on cost, land use, environmental issues, and other conflicting priorities. Protection of the public’s safety was not always the outcome of these compromises.</x:v>
      </x:c>
      <x:c r="D266" s="30" t="str">
        <x:v>ERP Report</x:v>
      </x:c>
      <x:c r="E266" s="30" t="str">
        <x:v>erpreport.pdf</x:v>
      </x:c>
      <x:c r="F266" s="40" t="str">
        <x:v>No</x:v>
      </x:c>
      <x:c r="G266" s="40" t="n">
        <x:v>0</x:v>
      </x:c>
      <x:c r="H266" s="40" t="str">
        <x:v>Unlabeled</x:v>
      </x:c>
      <x:c r="I266" s="40"/>
      <x:c r="J266" s="40"/>
      <x:c r="K266" s="30" t="str">
        <x:v>Default No — no retained human paragraph-level label in the curated GPT Test</x:v>
      </x:c>
      <x:c r="L266" s="30"/>
      <x:c r="M266" s="40" t="str">
        <x:v>paragraph</x:v>
      </x:c>
      <x:c r="N266" s="40" t="str">
        <x:v>No</x:v>
      </x:c>
      <x:c r="O266" s="30"/>
      <x:c r="P266" s="30" t="str">
        <x:v>82:3:0;82:4:0;82:5:0;82:6:0;82:7:0;82:8:0;82:9:0;82:10:0</x:v>
      </x:c>
    </x:row>
    <x:row r="267" ht="45" customHeight="1">
      <x:c r="A267" s="30" t="str">
        <x:v>ERP-A266</x:v>
      </x:c>
      <x:c r="B267" s="30" t="str">
        <x:v>p 82</x:v>
      </x:c>
      <x:c r="C267" s="30" t="str">
        <x:v>It is human nature — both at a personal and institutional level — to lose focus of long-term needs in the light of short-term demands. The infrequency of major hurricanes tends to lull society into neglect and inaction, but long-term safety must take precedence. Without a significant elevation of safety as a priority, the hurricane and flood protection systems in New Orleans, and across the nation, have the potential to return to a low priority. All responsible agencies in New Orleans and throughout the nation should re-evaluate their policies and practices to ensure that protection of public safety, health, and welfare is the top priority for the infrequent but potentially devastating impacts from hurricanes and flooding.</x:v>
      </x:c>
      <x:c r="D267" s="30" t="str">
        <x:v>ERP Report</x:v>
      </x:c>
      <x:c r="E267" s="30" t="str">
        <x:v>erpreport.pdf</x:v>
      </x:c>
      <x:c r="F267" s="40" t="str">
        <x:v>No</x:v>
      </x:c>
      <x:c r="G267" s="40" t="n">
        <x:v>0</x:v>
      </x:c>
      <x:c r="H267" s="40" t="str">
        <x:v>Unlabeled</x:v>
      </x:c>
      <x:c r="I267" s="40"/>
      <x:c r="J267" s="40"/>
      <x:c r="K267" s="30" t="str">
        <x:v>Default No — no retained human paragraph-level label in the curated GPT Test</x:v>
      </x:c>
      <x:c r="L267" s="30"/>
      <x:c r="M267" s="40" t="str">
        <x:v>paragraph</x:v>
      </x:c>
      <x:c r="N267" s="40" t="str">
        <x:v>No</x:v>
      </x:c>
      <x:c r="O267" s="30"/>
      <x:c r="P267" s="30" t="str">
        <x:v>82:11:0;82:12:0;82:13:0;82:14:0;82:15:0;82:16:0;82:17:0;82:18:0;82:19:0;82:20:0</x:v>
      </x:c>
    </x:row>
    <x:row r="268" ht="45" customHeight="1">
      <x:c r="A268" s="30" t="str">
        <x:v>ERP-A267</x:v>
      </x:c>
      <x:c r="B268" s="30" t="str">
        <x:v>p 82</x:v>
      </x:c>
      <x:c r="C268" s="30" t="str">
        <x:v>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x:v>
      </x:c>
      <x:c r="D268" s="30" t="str">
        <x:v>ERP Report</x:v>
      </x:c>
      <x:c r="E268" s="30" t="str">
        <x:v>erpreport.pdf</x:v>
      </x:c>
      <x:c r="F268" s="40" t="str">
        <x:v>Yes</x:v>
      </x:c>
      <x:c r="G268" s="40" t="n">
        <x:v>1</x:v>
      </x:c>
      <x:c r="H268" s="40" t="str">
        <x:v>Direct human-labeled/adjudicated</x:v>
      </x:c>
      <x:c r="I268" s="40" t="str">
        <x:v>Anmol, Kyle</x:v>
      </x:c>
      <x:c r="J268" s="40" t="str">
        <x:v>ERP-031</x:v>
      </x:c>
      <x:c r="K268" s="30" t="str">
        <x:v>Retained human/adjudicated label from the curated GPT Test after PyMuPDF source reconciliation.</x:v>
      </x:c>
      <x:c r="L268" s="30" t="str">
        <x:v>This is unlearning. They identify a lack of consistency as a problem and identify establishing a fund for leveee safety as a new way of solving this problem.</x:v>
      </x:c>
      <x:c r="M268" s="40" t="str">
        <x:v>paragraph</x:v>
      </x:c>
      <x:c r="N268" s="40" t="str">
        <x:v>No</x:v>
      </x:c>
      <x:c r="O268" s="30"/>
      <x:c r="P268" s="30" t="str">
        <x:v>82:21:0;82:22:0;82:23:0;82:24:0;82:25:0;82:26:0;82:27:0;82:28:0</x:v>
      </x:c>
    </x:row>
    <x:row r="269" ht="45" customHeight="1">
      <x:c r="A269" s="30" t="str">
        <x:v>ERP-A268</x:v>
      </x:c>
      <x:c r="B269" s="30" t="str">
        <x:v>p 82</x:v>
      </x:c>
      <x:c r="C269" s="30" t="str">
        <x:v>Assessment of risk is a key engineering function. Engineers must assess and communicate clearly to decision-makers and the public how risk-cost-benefit tradeoffs will impact performance and safety. They must take an active role in formulating public policy and in decision-making at all levels of government.</x:v>
      </x:c>
      <x:c r="D269" s="30" t="str">
        <x:v>ERP Report</x:v>
      </x:c>
      <x:c r="E269" s="30" t="str">
        <x:v>erpreport.pdf</x:v>
      </x:c>
      <x:c r="F269" s="40" t="str">
        <x:v>No</x:v>
      </x:c>
      <x:c r="G269" s="40" t="n">
        <x:v>0</x:v>
      </x:c>
      <x:c r="H269" s="40" t="str">
        <x:v>Unlabeled</x:v>
      </x:c>
      <x:c r="I269" s="40"/>
      <x:c r="J269" s="40"/>
      <x:c r="K269" s="30" t="str">
        <x:v>Default No — no retained human paragraph-level label in the curated GPT Test</x:v>
      </x:c>
      <x:c r="L269" s="30"/>
      <x:c r="M269" s="40" t="str">
        <x:v>paragraph</x:v>
      </x:c>
      <x:c r="N269" s="40" t="str">
        <x:v>No</x:v>
      </x:c>
      <x:c r="O269" s="30"/>
      <x:c r="P269" s="30" t="str">
        <x:v>82:31:0;82:32:0;82:33:0;82:34:0</x:v>
      </x:c>
    </x:row>
    <x:row r="270" ht="45" customHeight="1">
      <x:c r="A270" s="30" t="str">
        <x:v>ERP-A269</x:v>
      </x:c>
      <x:c r="B270" s="30" t="str">
        <x:v>p 83</x:v>
      </x:c>
      <x:c r="C270" s="30" t="str">
        <x:v>The IPET has undertaken the critically important effort of quantifying the risks associated with the New Orleans hurricane protection system. Using sophisticated risk models, the IPET is analyzing the potential consequences from a range of storm scenarios. Among the variables considered are hurricane intensity, hurricane location and direction of approach, height and strength of levees, ability of pump stations to remove water, whether levee penetrations are closed, and land elevation and its propensity for flooding.</x:v>
      </x:c>
      <x:c r="D270" s="30" t="str">
        <x:v>ERP Report</x:v>
      </x:c>
      <x:c r="E270" s="30" t="str">
        <x:v>erpreport.pdf</x:v>
      </x:c>
      <x:c r="F270" s="40" t="str">
        <x:v>No</x:v>
      </x:c>
      <x:c r="G270" s="40" t="n">
        <x:v>0</x:v>
      </x:c>
      <x:c r="H270" s="40" t="str">
        <x:v>Unlabeled</x:v>
      </x:c>
      <x:c r="I270" s="40"/>
      <x:c r="J270" s="40"/>
      <x:c r="K270" s="30" t="str">
        <x:v>Default No — no retained human paragraph-level label in the curated GPT Test</x:v>
      </x:c>
      <x:c r="L270" s="30"/>
      <x:c r="M270" s="40" t="str">
        <x:v>paragraph</x:v>
      </x:c>
      <x:c r="N270" s="40" t="str">
        <x:v>No</x:v>
      </x:c>
      <x:c r="O270" s="30"/>
      <x:c r="P270" s="30" t="str">
        <x:v>83:1:0;83:2:0;83:3:0;83:4:0;83:5:0;83:6:0;83:7:0</x:v>
      </x:c>
    </x:row>
    <x:row r="271" ht="45" customHeight="1">
      <x:c r="A271" s="30" t="str">
        <x:v>ERP-A270</x:v>
      </x:c>
      <x:c r="B271" s="30" t="str">
        <x:v>p 83</x:v>
      </x:c>
      <x:c r="C271" s="30" t="str">
        <x:v>The ASCE Hurricane Katrina External Review Panel encourages the IPET’s work toward quantifying risk for each geographic region of the New Orleans area. Completing this work must remain a very high priority. Only then can fully informed decisions be made regarding the future of the region.</x:v>
      </x:c>
      <x:c r="D271" s="30" t="str">
        <x:v>ERP Report</x:v>
      </x:c>
      <x:c r="E271" s="30" t="str">
        <x:v>erpreport.pdf</x:v>
      </x:c>
      <x:c r="F271" s="40" t="str">
        <x:v>No</x:v>
      </x:c>
      <x:c r="G271" s="40" t="n">
        <x:v>0</x:v>
      </x:c>
      <x:c r="H271" s="40" t="str">
        <x:v>Unlabeled</x:v>
      </x:c>
      <x:c r="I271" s="40"/>
      <x:c r="J271" s="40"/>
      <x:c r="K271" s="30" t="str">
        <x:v>Default No — no retained human paragraph-level label in the curated GPT Test</x:v>
      </x:c>
      <x:c r="L271" s="30"/>
      <x:c r="M271" s="40" t="str">
        <x:v>paragraph</x:v>
      </x:c>
      <x:c r="N271" s="40" t="str">
        <x:v>No</x:v>
      </x:c>
      <x:c r="O271" s="30"/>
      <x:c r="P271" s="30" t="str">
        <x:v>83:8:0;83:9:0;83:10:0;83:11:0</x:v>
      </x:c>
    </x:row>
    <x:row r="272" ht="45" customHeight="1">
      <x:c r="A272" s="30" t="str">
        <x:v>ERP-A271</x:v>
      </x:c>
      <x:c r="B272" s="30" t="str">
        <x:v>p 83</x:v>
      </x:c>
      <x:c r="C272" s="30" t="str">
        <x:v>The level of risk also changes with time, depending on changes in the natural and man-made environment. Therefore, the risk analyses need to be updated as new information becomes available.</x:v>
      </x:c>
      <x:c r="D272" s="30" t="str">
        <x:v>ERP Report</x:v>
      </x:c>
      <x:c r="E272" s="30" t="str">
        <x:v>erpreport.pdf</x:v>
      </x:c>
      <x:c r="F272" s="40" t="str">
        <x:v>No</x:v>
      </x:c>
      <x:c r="G272" s="40" t="n">
        <x:v>0</x:v>
      </x:c>
      <x:c r="H272" s="40" t="str">
        <x:v>Unlabeled</x:v>
      </x:c>
      <x:c r="I272" s="40"/>
      <x:c r="J272" s="40"/>
      <x:c r="K272" s="30" t="str">
        <x:v>Default No — no retained human paragraph-level label in the curated GPT Test</x:v>
      </x:c>
      <x:c r="L272" s="30"/>
      <x:c r="M272" s="40" t="str">
        <x:v>paragraph</x:v>
      </x:c>
      <x:c r="N272" s="40" t="str">
        <x:v>No</x:v>
      </x:c>
      <x:c r="O272" s="30"/>
      <x:c r="P272" s="30" t="str">
        <x:v>83:12:0;83:13:0;83:14:0</x:v>
      </x:c>
    </x:row>
    <x:row r="273" ht="45" customHeight="1">
      <x:c r="A273" s="30" t="str">
        <x:v>ERP-A272</x:v>
      </x:c>
      <x:c r="B273" s="30" t="str">
        <x:v>p 83</x:v>
      </x:c>
      <x:c r="C273" s="30" t="str">
        <x:v>The USACE should complete the work necessary to quantify and effectively communicate the risk as soon as possible, and, because risk assessment and communication is not static, should periodically update the assessment of risk. This risk assessment approach should be extended to all areas of the nation that are vulnerable to major losses from hurricanes and flooding.</x:v>
      </x:c>
      <x:c r="D273" s="30" t="str">
        <x:v>ERP Report</x:v>
      </x:c>
      <x:c r="E273" s="30" t="str">
        <x:v>erpreport.pdf</x:v>
      </x:c>
      <x:c r="F273" s="40" t="str">
        <x:v>No</x:v>
      </x:c>
      <x:c r="G273" s="40" t="n">
        <x:v>0</x:v>
      </x:c>
      <x:c r="H273" s="40" t="str">
        <x:v>Unlabeled</x:v>
      </x:c>
      <x:c r="I273" s="40"/>
      <x:c r="J273" s="40"/>
      <x:c r="K273" s="30" t="str">
        <x:v>Default No — no retained human paragraph-level label in the curated GPT Test</x:v>
      </x:c>
      <x:c r="L273" s="30"/>
      <x:c r="M273" s="40" t="str">
        <x:v>paragraph</x:v>
      </x:c>
      <x:c r="N273" s="40" t="str">
        <x:v>No</x:v>
      </x:c>
      <x:c r="O273" s="30"/>
      <x:c r="P273" s="30" t="str">
        <x:v>83:15:0;83:16:0;83:17:0;83:18:0;83:19:0;83:20:0</x:v>
      </x:c>
    </x:row>
    <x:row r="274" ht="45" customHeight="1">
      <x:c r="A274" s="30" t="str">
        <x:v>ERP-A273</x:v>
      </x:c>
      <x:c r="B274" s="30" t="str">
        <x:v>p 83</x:v>
      </x:c>
      <x:c r="C274" s="30" t="str">
        <x:v>The future of New Orleans and the State of Louisiana depends on peoples’ confidence in the hurricane protection system. Local, state, and federal leaders — in concert with the engineering community — need to embrace a common risk-based decision support tool for planning and decision-making. These leaders need to initiate and maintain an honest and open dialogue with all major stakeholders about the risks of living in a hurricane-prone region.</x:v>
      </x:c>
      <x:c r="D274" s="30" t="str">
        <x:v>ERP Report</x:v>
      </x:c>
      <x:c r="E274" s="30" t="str">
        <x:v>erpreport.pdf</x:v>
      </x:c>
      <x:c r="F274" s="40" t="str">
        <x:v>No</x:v>
      </x:c>
      <x:c r="G274" s="40" t="n">
        <x:v>0</x:v>
      </x:c>
      <x:c r="H274" s="40" t="str">
        <x:v>Unlabeled</x:v>
      </x:c>
      <x:c r="I274" s="40"/>
      <x:c r="J274" s="40"/>
      <x:c r="K274" s="30" t="str">
        <x:v>Default No — no retained human paragraph-level label in the curated GPT Test</x:v>
      </x:c>
      <x:c r="L274" s="30"/>
      <x:c r="M274" s="40" t="str">
        <x:v>paragraph</x:v>
      </x:c>
      <x:c r="N274" s="40" t="str">
        <x:v>No</x:v>
      </x:c>
      <x:c r="O274" s="30"/>
      <x:c r="P274" s="30" t="str">
        <x:v>83:23:0;83:24:0;83:25:0;83:26:0;83:27:0;83:28:0</x:v>
      </x:c>
    </x:row>
    <x:row r="275" ht="45" customHeight="1">
      <x:c r="A275" s="30" t="str">
        <x:v>ERP-A274</x:v>
      </x:c>
      <x:c r="B275" s="30" t="str">
        <x:v>p 83</x:v>
      </x:c>
      <x:c r="C275" s="30" t="str">
        <x:v>The people of New Orleans — and those who live in flood- and hurricane-prone communities around the country — must have a voice in decisions about the conditions under which they live. Decisions that have the potential for profound impact are best based on knowledge, insight, and timely, structured debate.</x:v>
      </x:c>
      <x:c r="D275" s="30" t="str">
        <x:v>ERP Report</x:v>
      </x:c>
      <x:c r="E275" s="30" t="str">
        <x:v>erpreport.pdf</x:v>
      </x:c>
      <x:c r="F275" s="40" t="str">
        <x:v>No</x:v>
      </x:c>
      <x:c r="G275" s="40" t="n">
        <x:v>0</x:v>
      </x:c>
      <x:c r="H275" s="40" t="str">
        <x:v>Unlabeled</x:v>
      </x:c>
      <x:c r="I275" s="40"/>
      <x:c r="J275" s="40"/>
      <x:c r="K275" s="30" t="str">
        <x:v>Default No — no retained human paragraph-level label in the curated GPT Test</x:v>
      </x:c>
      <x:c r="L275" s="30"/>
      <x:c r="M275" s="40" t="str">
        <x:v>paragraph</x:v>
      </x:c>
      <x:c r="N275" s="40" t="str">
        <x:v>No</x:v>
      </x:c>
      <x:c r="O275" s="30"/>
      <x:c r="P275" s="30" t="str">
        <x:v>83:29:0;83:30:0;83:31:0;83:32:0;83:33:0</x:v>
      </x:c>
    </x:row>
    <x:row r="276" ht="45" customHeight="1">
      <x:c r="A276" s="30" t="str">
        <x:v>ERP-A275</x:v>
      </x:c>
      <x:c r="B276" s="30" t="str">
        <x:v>pp 83-84</x:v>
      </x:c>
      <x:c r="C276" s="30" t="str">
        <x:v>Local, state, and federal agencies should create and maintain quality programs of public risk communication in New Orleans and other areas threatened by hurricanes and flooding. The public risk communication program should be based on state-of-the-art best practices for process and content, and address a full range of pertinent topics. The public needs to know, for instance, the probability that a major hurricane will hit a particular region and the level of protection provided by their region’s hurricane protection system. People also need to know the full range of citizen-based emergency preparedness and response options and evacuation plans.</x:v>
      </x:c>
      <x:c r="D276" s="30" t="str">
        <x:v>ERP Report</x:v>
      </x:c>
      <x:c r="E276" s="30" t="str">
        <x:v>erpreport.pdf</x:v>
      </x:c>
      <x:c r="F276" s="40" t="str">
        <x:v>No</x:v>
      </x:c>
      <x:c r="G276" s="40" t="n">
        <x:v>0</x:v>
      </x:c>
      <x:c r="H276" s="40" t="str">
        <x:v>Unlabeled</x:v>
      </x:c>
      <x:c r="I276" s="40"/>
      <x:c r="J276" s="40"/>
      <x:c r="K276" s="30" t="str">
        <x:v>Default No — no retained human paragraph-level label in the curated GPT Test</x:v>
      </x:c>
      <x:c r="L276" s="30"/>
      <x:c r="M276" s="40" t="str">
        <x:v>paragraph</x:v>
      </x:c>
      <x:c r="N276" s="40" t="str">
        <x:v>No</x:v>
      </x:c>
      <x:c r="O276" s="30"/>
      <x:c r="P276" s="30" t="str">
        <x:v>83:34:0;83:35:0;83:36:0;83:37:0;84:1:0;84:2:0;84:3:0;84:4:0;84:5:0</x:v>
      </x:c>
    </x:row>
    <x:row r="277" ht="45" customHeight="1">
      <x:c r="A277" s="30" t="str">
        <x:v>ERP-A276</x:v>
      </x:c>
      <x:c r="B277" s="30" t="str">
        <x:v>p 84</x:v>
      </x:c>
      <x:c r="C277" s="30" t="str">
        <x:v>The ultimate goal of the risk communication program should be to produce an informed and engaged public. A number of examples could be used as a model for the New Orleans risk communication initiative, including the work of the State of California’s Office of Emergency Services as part of the Parkfield Earthquake Prediction Experiment in the 1980s, and the work done by the United States Geological Survey in the San Francisco Bay area after the Loma Prieta earthquake in 1989.</x:v>
      </x:c>
      <x:c r="D277" s="30" t="str">
        <x:v>ERP Report</x:v>
      </x:c>
      <x:c r="E277" s="30" t="str">
        <x:v>erpreport.pdf</x:v>
      </x:c>
      <x:c r="F277" s="40" t="str">
        <x:v>No</x:v>
      </x:c>
      <x:c r="G277" s="40" t="n">
        <x:v>0</x:v>
      </x:c>
      <x:c r="H277" s="40" t="str">
        <x:v>Unlabeled</x:v>
      </x:c>
      <x:c r="I277" s="40"/>
      <x:c r="J277" s="40"/>
      <x:c r="K277" s="30" t="str">
        <x:v>Default No — no retained human paragraph-level label in the curated GPT Test</x:v>
      </x:c>
      <x:c r="L277" s="30"/>
      <x:c r="M277" s="40" t="str">
        <x:v>paragraph</x:v>
      </x:c>
      <x:c r="N277" s="40" t="str">
        <x:v>No</x:v>
      </x:c>
      <x:c r="O277" s="30"/>
      <x:c r="P277" s="30" t="str">
        <x:v>84:6:0;84:7:0;84:8:0;84:9:0;84:10:0;84:11:0;84:12:0</x:v>
      </x:c>
    </x:row>
    <x:row r="278" ht="45" customHeight="1">
      <x:c r="A278" s="30" t="str">
        <x:v>ERP-A277</x:v>
      </x:c>
      <x:c r="B278" s="30" t="str">
        <x:v>p 84</x:v>
      </x:c>
      <x:c r="C278" s="30" t="str">
        <x:v>Major hurricanes of the scale of Katrina are infrequent. Without an effective risk communication program, people will gradually forget about the risks. In doing so, they will unknowingly contribute to the severity of the consequences from the next hurricane that strikes.</x:v>
      </x:c>
      <x:c r="D278" s="30" t="str">
        <x:v>ERP Report</x:v>
      </x:c>
      <x:c r="E278" s="30" t="str">
        <x:v>erpreport.pdf</x:v>
      </x:c>
      <x:c r="F278" s="40" t="str">
        <x:v>No</x:v>
      </x:c>
      <x:c r="G278" s="40" t="n">
        <x:v>0</x:v>
      </x:c>
      <x:c r="H278" s="40" t="str">
        <x:v>Unlabeled</x:v>
      </x:c>
      <x:c r="I278" s="40"/>
      <x:c r="J278" s="40"/>
      <x:c r="K278" s="30" t="str">
        <x:v>Default No — no retained human paragraph-level label in the curated GPT Test</x:v>
      </x:c>
      <x:c r="L278" s="30"/>
      <x:c r="M278" s="40" t="str">
        <x:v>paragraph</x:v>
      </x:c>
      <x:c r="N278" s="40" t="str">
        <x:v>No</x:v>
      </x:c>
      <x:c r="O278" s="30"/>
      <x:c r="P278" s="30" t="str">
        <x:v>84:13:0;84:14:0;84:15:0;84:16:0</x:v>
      </x:c>
    </x:row>
    <x:row r="279" ht="45" customHeight="1">
      <x:c r="A279" s="30" t="str">
        <x:v>ERP-A278</x:v>
      </x:c>
      <x:c r="B279" s="30" t="str">
        <x:v>p 84</x:v>
      </x:c>
      <x:c r="C279" s="30" t="str">
        <x:v>The first line of defense in the hurricane protection system for New Orleans includes levees and floodwalls to hold back the high water from a storm surge, yet it failed catastrophically at more than 50 different locations during Hurricane Katrina. There was no second line of defense except for the pump stations, which were ineffective.</x:v>
      </x:c>
      <x:c r="D279" s="30" t="str">
        <x:v>ERP Report</x:v>
      </x:c>
      <x:c r="E279" s="30" t="str">
        <x:v>erpreport.pdf</x:v>
      </x:c>
      <x:c r="F279" s="40" t="str">
        <x:v>No</x:v>
      </x:c>
      <x:c r="G279" s="40" t="n">
        <x:v>0</x:v>
      </x:c>
      <x:c r="H279" s="40" t="str">
        <x:v>Unlabeled</x:v>
      </x:c>
      <x:c r="I279" s="40"/>
      <x:c r="J279" s="40"/>
      <x:c r="K279" s="30" t="str">
        <x:v>Default No — no retained human paragraph-level label in the curated GPT Test</x:v>
      </x:c>
      <x:c r="L279" s="30"/>
      <x:c r="M279" s="40" t="str">
        <x:v>paragraph</x:v>
      </x:c>
      <x:c r="N279" s="40" t="str">
        <x:v>No</x:v>
      </x:c>
      <x:c r="O279" s="30"/>
      <x:c r="P279" s="30" t="str">
        <x:v>84:18:0;84:19:0;84:20:0;84:21:0;84:22:0</x:v>
      </x:c>
    </x:row>
    <x:row r="280" ht="45" customHeight="1">
      <x:c r="A280" s="30" t="str">
        <x:v>ERP-A279</x:v>
      </x:c>
      <x:c r="B280" s="30" t="str">
        <x:v>p 84</x:v>
      </x:c>
      <x:c r="C280" s="30" t="str">
        <x:v>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x:v>
      </x:c>
      <x:c r="D280" s="30" t="str">
        <x:v>ERP Report</x:v>
      </x:c>
      <x:c r="E280" s="30" t="str">
        <x:v>erpreport.pdf</x:v>
      </x:c>
      <x:c r="F280" s="40" t="str">
        <x:v>Yes</x:v>
      </x:c>
      <x:c r="G280" s="40" t="n">
        <x:v>1</x:v>
      </x:c>
      <x:c r="H280" s="40" t="str">
        <x:v>Direct human-labeled/adjudicated</x:v>
      </x:c>
      <x:c r="I280" s="40" t="str">
        <x:v>Anmol, Kyle</x:v>
      </x:c>
      <x:c r="J280" s="40" t="str">
        <x:v>ERP-032</x:v>
      </x:c>
      <x:c r="K280" s="30" t="str">
        <x:v>Retained human/adjudicated label from the curated GPT Test after PyMuPDF source reconciliation.</x:v>
      </x:c>
      <x:c r="L280" s="30" t="str">
        <x:v>They identify a clear set of engineering and design problems. And calls for a more systmeic approach.</x:v>
      </x:c>
      <x:c r="M280" s="40" t="str">
        <x:v>paragraph</x:v>
      </x:c>
      <x:c r="N280" s="40" t="str">
        <x:v>No</x:v>
      </x:c>
      <x:c r="O280" s="30"/>
      <x:c r="P280" s="30" t="str">
        <x:v>84:23:0;84:24:0;84:25:0;84:26:0;84:27:0;84:28:0;84:29:0;84:30:0;84:31:0</x:v>
      </x:c>
    </x:row>
    <x:row r="281" ht="45" customHeight="1">
      <x:c r="A281" s="30" t="str">
        <x:v>ERP-A280</x:v>
      </x:c>
      <x:c r="B281" s="30" t="str">
        <x:v>pp 84-85</x:v>
      </x:c>
      <x:c r="C281" s="30" t="str">
        <x:v>The nation learns lessons after every major disaster: lessons in decision-making, structural integrity, disaster response, and communications. The nation is now at a unique juncture where past mistakes in the hurricane protection system for New Orleans can be learned from and rectified.</x:v>
      </x:c>
      <x:c r="D281" s="30" t="str">
        <x:v>ERP Report</x:v>
      </x:c>
      <x:c r="E281" s="30" t="str">
        <x:v>erpreport.pdf</x:v>
      </x:c>
      <x:c r="F281" s="40" t="str">
        <x:v>No</x:v>
      </x:c>
      <x:c r="G281" s="40" t="n">
        <x:v>0</x:v>
      </x:c>
      <x:c r="H281" s="40" t="str">
        <x:v>Unlabeled</x:v>
      </x:c>
      <x:c r="I281" s="40"/>
      <x:c r="J281" s="40"/>
      <x:c r="K281" s="30" t="str">
        <x:v>Default No — no retained human paragraph-level label in the curated GPT Test</x:v>
      </x:c>
      <x:c r="L281" s="30"/>
      <x:c r="M281" s="40" t="str">
        <x:v>paragraph</x:v>
      </x:c>
      <x:c r="N281" s="40" t="str">
        <x:v>No</x:v>
      </x:c>
      <x:c r="O281" s="30"/>
      <x:c r="P281" s="30" t="str">
        <x:v>84:34:0;84:35:0;85:1:0;85:2:0</x:v>
      </x:c>
    </x:row>
    <x:row r="282" ht="45" customHeight="1">
      <x:c r="A282" s="30" t="str">
        <x:v>ERP-A281</x:v>
      </x:c>
      <x:c r="B282" s="30" t="str">
        <x:v>p 85</x:v>
      </x:c>
      <x:c r="C282" s="30" t="str">
        <x:v>The IPET has made excellent progress on the task of identifying deficiencies in the hurricane protection system. There is still much to be done to build on IPET’s work, and we strongly urge that this work be funded and pursued to its completion. Information from the IPET analyses, coupled with a clear definition of the public’s expectations (as framed in Call-to-Action Number 3), will form the basis for rethinking the entire hurricane protection system.</x:v>
      </x:c>
      <x:c r="D282" s="30" t="str">
        <x:v>ERP Report</x:v>
      </x:c>
      <x:c r="E282" s="30" t="str">
        <x:v>erpreport.pdf</x:v>
      </x:c>
      <x:c r="F282" s="40" t="str">
        <x:v>No</x:v>
      </x:c>
      <x:c r="G282" s="40" t="n">
        <x:v>0</x:v>
      </x:c>
      <x:c r="H282" s="40" t="str">
        <x:v>Unlabeled</x:v>
      </x:c>
      <x:c r="I282" s="40"/>
      <x:c r="J282" s="40"/>
      <x:c r="K282" s="30" t="str">
        <x:v>Default No — no retained human paragraph-level label in the curated GPT Test</x:v>
      </x:c>
      <x:c r="L282" s="30"/>
      <x:c r="M282" s="40" t="str">
        <x:v>paragraph</x:v>
      </x:c>
      <x:c r="N282" s="40" t="str">
        <x:v>No</x:v>
      </x:c>
      <x:c r="O282" s="30"/>
      <x:c r="P282" s="30" t="str">
        <x:v>85:3:0;85:4:0;85:5:0;85:6:0;85:7:0;85:8:0;85:9:0</x:v>
      </x:c>
    </x:row>
    <x:row r="283" ht="45" customHeight="1">
      <x:c r="A283" s="30" t="str">
        <x:v>ERP-A282</x:v>
      </x:c>
      <x:c r="B283" s="30" t="str">
        <x:v>p 85</x:v>
      </x:c>
      <x:c r="C283" s="30" t="str">
        <x:v>At the outset, the design hurricane and storm surge levels need to be re-assessed and updated using a risk-based approach. The design hurricane conditions cannot be static design criteria. Risk and levels of acceptable risk evolve with time — as does the knowledge on which storm criteria are based.</x:v>
      </x:c>
      <x:c r="D283" s="30" t="str">
        <x:v>ERP Report</x:v>
      </x:c>
      <x:c r="E283" s="30" t="str">
        <x:v>erpreport.pdf</x:v>
      </x:c>
      <x:c r="F283" s="40" t="str">
        <x:v>No</x:v>
      </x:c>
      <x:c r="G283" s="40" t="n">
        <x:v>0</x:v>
      </x:c>
      <x:c r="H283" s="40" t="str">
        <x:v>Unlabeled</x:v>
      </x:c>
      <x:c r="I283" s="40"/>
      <x:c r="J283" s="40"/>
      <x:c r="K283" s="30" t="str">
        <x:v>Default No — no retained human paragraph-level label in the curated GPT Test</x:v>
      </x:c>
      <x:c r="L283" s="30"/>
      <x:c r="M283" s="40" t="str">
        <x:v>paragraph</x:v>
      </x:c>
      <x:c r="N283" s="40" t="str">
        <x:v>No</x:v>
      </x:c>
      <x:c r="O283" s="30"/>
      <x:c r="P283" s="30" t="str">
        <x:v>85:10:0;85:11:0;85:12:0;85:13:0;85:14:0</x:v>
      </x:c>
    </x:row>
    <x:row r="284" ht="45" customHeight="1">
      <x:c r="A284" s="30" t="str">
        <x:v>ERP-A283</x:v>
      </x:c>
      <x:c r="B284" s="30" t="str">
        <x:v>p 85</x:v>
      </x:c>
      <x:c r="C284" s="30" t="str">
        <x:v>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x:v>
      </x:c>
      <x:c r="D284" s="30" t="str">
        <x:v>ERP Report</x:v>
      </x:c>
      <x:c r="E284" s="30" t="str">
        <x:v>erpreport.pdf</x:v>
      </x:c>
      <x:c r="F284" s="40" t="str">
        <x:v>Yes</x:v>
      </x:c>
      <x:c r="G284" s="40" t="n">
        <x:v>1</x:v>
      </x:c>
      <x:c r="H284" s="40" t="str">
        <x:v>Direct human-labeled/adjudicated</x:v>
      </x:c>
      <x:c r="I284" s="40" t="str">
        <x:v>Anmol, Kyle</x:v>
      </x:c>
      <x:c r="J284" s="40" t="str">
        <x:v>ERP-033</x:v>
      </x:c>
      <x:c r="K284" s="30" t="str">
        <x:v>Retained human/adjudicated label from the curated GPT Test after PyMuPDF source reconciliation.</x:v>
      </x:c>
      <x:c r="L284" s="30" t="str">
        <x:v>This calls for fundamental reforms that take into account land use decisions adn various other reforms that discard old thinking and practices.</x:v>
      </x:c>
      <x:c r="M284" s="40" t="str">
        <x:v>paragraph</x:v>
      </x:c>
      <x:c r="N284" s="40" t="str">
        <x:v>No</x:v>
      </x:c>
      <x:c r="O284" s="30"/>
      <x:c r="P284" s="30" t="str">
        <x:v>85:15:0;85:16:0;85:17:0;85:18:0;85:19:0;85:20:0;85:21:0;85:22:0;85:23:0</x:v>
      </x:c>
    </x:row>
    <x:row r="285" ht="45" customHeight="1">
      <x:c r="A285" s="30" t="str">
        <x:v>ERP-A284</x:v>
      </x:c>
      <x:c r="B285" s="30" t="str">
        <x:v>p 85</x:v>
      </x:c>
      <x:c r="C285" s="30" t="str">
        <x:v>The ASCE Hurricane Katrina External Review Panel calls on New Orleans and all hurricane- and flood-prone communities around the nation to use the lessons learned from Hurricane Katrina to develop roadmaps for safety and protection. Local, state, and federal leaders should review the overall strategy and systems approach, integrating hurricane protection tactics, land-use considerations, and emergency response strategies into a coherent and well-thought-out system.</x:v>
      </x:c>
      <x:c r="D285" s="30" t="str">
        <x:v>ERP Report</x:v>
      </x:c>
      <x:c r="E285" s="30" t="str">
        <x:v>erpreport.pdf</x:v>
      </x:c>
      <x:c r="F285" s="40" t="str">
        <x:v>No</x:v>
      </x:c>
      <x:c r="G285" s="40" t="n">
        <x:v>0</x:v>
      </x:c>
      <x:c r="H285" s="40" t="str">
        <x:v>Unlabeled</x:v>
      </x:c>
      <x:c r="I285" s="40"/>
      <x:c r="J285" s="40"/>
      <x:c r="K285" s="30" t="str">
        <x:v>Default No — no retained human paragraph-level label in the curated GPT Test</x:v>
      </x:c>
      <x:c r="L285" s="30"/>
      <x:c r="M285" s="40" t="str">
        <x:v>paragraph</x:v>
      </x:c>
      <x:c r="N285" s="40" t="str">
        <x:v>No</x:v>
      </x:c>
      <x:c r="O285" s="30"/>
      <x:c r="P285" s="30" t="str">
        <x:v>85:24:0;85:25:0;85:26:0;85:27:0;85:28:0;85:29:0;85:30:0</x:v>
      </x:c>
    </x:row>
    <x:row r="286" ht="45" customHeight="1">
      <x:c r="A286" s="30" t="str">
        <x:v>ERP-A285</x:v>
      </x:c>
      <x:c r="B286" s="30" t="str">
        <x:v>p 85</x:v>
      </x:c>
      <x:c r="C286" s="30" t="str">
        <x:v>Hurricane Katrina obliterated many critical hurricane protection structures and wreaked great damage on others. The disaster also brought to light many weaknesses and deficiencies in the existing system that, if not fixed, will remain vulnerable to future hurricanes. The work to be done includes making up for past design deficiencies as well as strengthening existing components of the system to make them more resilient to damage.</x:v>
      </x:c>
      <x:c r="D286" s="30" t="str">
        <x:v>ERP Report</x:v>
      </x:c>
      <x:c r="E286" s="30" t="str">
        <x:v>erpreport.pdf</x:v>
      </x:c>
      <x:c r="F286" s="40" t="str">
        <x:v>No</x:v>
      </x:c>
      <x:c r="G286" s="40" t="n">
        <x:v>0</x:v>
      </x:c>
      <x:c r="H286" s="40" t="str">
        <x:v>Unlabeled</x:v>
      </x:c>
      <x:c r="I286" s="40"/>
      <x:c r="J286" s="40"/>
      <x:c r="K286" s="30" t="str">
        <x:v>Default No — no retained human paragraph-level label in the curated GPT Test</x:v>
      </x:c>
      <x:c r="L286" s="30"/>
      <x:c r="M286" s="40" t="str">
        <x:v>paragraph</x:v>
      </x:c>
      <x:c r="N286" s="40" t="str">
        <x:v>No</x:v>
      </x:c>
      <x:c r="O286" s="30"/>
      <x:c r="P286" s="30" t="str">
        <x:v>85:32:0;85:33:0;85:34:0;85:35:0;85:36:0;85:37:0</x:v>
      </x:c>
    </x:row>
    <x:row r="287" ht="45" customHeight="1">
      <x:c r="A287" s="30" t="str">
        <x:v>ERP-A286</x:v>
      </x:c>
      <x:c r="B287" s="30" t="str">
        <x:v>p 86</x:v>
      </x:c>
      <x:c r="C287" s="30" t="str">
        <x:v>Hurricane Katrina offers a cautionary tale and subsequent mandate to other hurricane-prone communities as well. Now is the time to fix deficient or damaged parts of existing flood and hurricane protection systems throughout the country to provide the intended levels of protection. Local, state, and federal leaders should continue the work necessary to correct the deficiencies in the hurricane protection systems, and bring this work to completion with urgency. In the New Orleans region, “must-do” items include:</x:v>
      </x:c>
      <x:c r="D287" s="30" t="str">
        <x:v>ERP Report</x:v>
      </x:c>
      <x:c r="E287" s="30" t="str">
        <x:v>erpreport.pdf</x:v>
      </x:c>
      <x:c r="F287" s="40" t="str">
        <x:v>No</x:v>
      </x:c>
      <x:c r="G287" s="40" t="n">
        <x:v>0</x:v>
      </x:c>
      <x:c r="H287" s="40" t="str">
        <x:v>Unlabeled</x:v>
      </x:c>
      <x:c r="I287" s="40"/>
      <x:c r="J287" s="40"/>
      <x:c r="K287" s="30" t="str">
        <x:v>Default No — no retained human paragraph-level label in the curated GPT Test</x:v>
      </x:c>
      <x:c r="L287" s="30"/>
      <x:c r="M287" s="40" t="str">
        <x:v>paragraph</x:v>
      </x:c>
      <x:c r="N287" s="40" t="str">
        <x:v>No</x:v>
      </x:c>
      <x:c r="O287" s="30"/>
      <x:c r="P287" s="30" t="str">
        <x:v>86:1:0;86:2:0;86:3:0;86:4:0;86:5:0;86:6:0;86:7:0;86:8:0</x:v>
      </x:c>
    </x:row>
    <x:row r="288" ht="45" customHeight="1">
      <x:c r="A288" s="30" t="str">
        <x:v>ERP-A287</x:v>
      </x:c>
      <x:c r="B288" s="30" t="str">
        <x:v>p 86</x:v>
      </x:c>
      <x:c r="C288" s="30" t="str">
        <x:v>• Establish mechanisms to incorporate changing information. The dynamics of the hurricane protection system — such as levee heights and meteorological and oceanographic conditions — need to be monitored routinely, especially when processes like subsidence are known to occur. Advances in surveying technology need to be fully utilized to establish and regularly update geodetic vertical datum and water surface elevations. Levee design, construction, and maintenance must be tied to elevations that provide the true level of flood and hurricane protection intended for New Orleans.</x:v>
      </x:c>
      <x:c r="D288" s="30" t="str">
        <x:v>ERP Report</x:v>
      </x:c>
      <x:c r="E288" s="30" t="str">
        <x:v>erpreport.pdf</x:v>
      </x:c>
      <x:c r="F288" s="40" t="str">
        <x:v>No</x:v>
      </x:c>
      <x:c r="G288" s="40" t="n">
        <x:v>0</x:v>
      </x:c>
      <x:c r="H288" s="40" t="str">
        <x:v>Unlabeled</x:v>
      </x:c>
      <x:c r="I288" s="40"/>
      <x:c r="J288" s="40"/>
      <x:c r="K288" s="30" t="str">
        <x:v>Default No — no retained human paragraph-level label in the curated GPT Test</x:v>
      </x:c>
      <x:c r="L288" s="30"/>
      <x:c r="M288" s="40" t="str">
        <x:v>bullet</x:v>
      </x:c>
      <x:c r="N288" s="40" t="str">
        <x:v>No</x:v>
      </x:c>
      <x:c r="O288" s="30"/>
      <x:c r="P288" s="30" t="str">
        <x:v>86:9:0;86:10:0;86:11:0;86:12:0;86:13:0;86:14:0;86:15:0;86:16:0;86:17:0;86:18:0</x:v>
      </x:c>
    </x:row>
    <x:row r="289" ht="45" customHeight="1">
      <x:c r="A289" s="30" t="str">
        <x:v>ERP-A288</x:v>
      </x:c>
      <x:c r="B289" s="30" t="str">
        <x:v>p 86</x:v>
      </x:c>
      <x:c r="C289" s="30" t="str">
        <x:v>• Make the levees functional even if overtopped. During Hurricane Katrina, water rushing over the levees severely damaged and compromised their integrity. Overtopping of levees due to hurricanes is inevitable. To prevent damage, the levees need to be armored by resurfacing them with protective non-erodible materials.</x:v>
      </x:c>
      <x:c r="D289" s="30" t="str">
        <x:v>ERP Report</x:v>
      </x:c>
      <x:c r="E289" s="30" t="str">
        <x:v>erpreport.pdf</x:v>
      </x:c>
      <x:c r="F289" s="40" t="str">
        <x:v>No</x:v>
      </x:c>
      <x:c r="G289" s="40" t="n">
        <x:v>0</x:v>
      </x:c>
      <x:c r="H289" s="40" t="str">
        <x:v>Unlabeled</x:v>
      </x:c>
      <x:c r="I289" s="40"/>
      <x:c r="J289" s="40"/>
      <x:c r="K289" s="30" t="str">
        <x:v>Default No — no retained human paragraph-level label in the curated GPT Test</x:v>
      </x:c>
      <x:c r="L289" s="30"/>
      <x:c r="M289" s="40" t="str">
        <x:v>bullet</x:v>
      </x:c>
      <x:c r="N289" s="40" t="str">
        <x:v>No</x:v>
      </x:c>
      <x:c r="O289" s="30"/>
      <x:c r="P289" s="30" t="str">
        <x:v>86:19:0;86:20:0;86:21:0;86:22:0;86:23:0;86:24:0</x:v>
      </x:c>
    </x:row>
    <x:row r="290" ht="45" customHeight="1">
      <x:c r="A290" s="30" t="str">
        <x:v>ERP-A289</x:v>
      </x:c>
      <x:c r="B290" s="30" t="str">
        <x:v>p 86</x:v>
      </x:c>
      <x:c r="C290" s="30" t="str">
        <x:v>• Strengthen or upgrade the floodwalls and levees. Floodwalls and levees must be fully investigated and analyzed to ensure that they have adequate margins of safety against failure, consistent with critical life-safety structures. Such was not the case pre-Katrina, and may not always be the case now.</x:v>
      </x:c>
      <x:c r="D290" s="30" t="str">
        <x:v>ERP Report</x:v>
      </x:c>
      <x:c r="E290" s="30" t="str">
        <x:v>erpreport.pdf</x:v>
      </x:c>
      <x:c r="F290" s="40" t="str">
        <x:v>No</x:v>
      </x:c>
      <x:c r="G290" s="40" t="n">
        <x:v>0</x:v>
      </x:c>
      <x:c r="H290" s="40" t="str">
        <x:v>Unlabeled</x:v>
      </x:c>
      <x:c r="I290" s="40"/>
      <x:c r="J290" s="40"/>
      <x:c r="K290" s="30" t="str">
        <x:v>Default No — no retained human paragraph-level label in the curated GPT Test</x:v>
      </x:c>
      <x:c r="L290" s="30"/>
      <x:c r="M290" s="40" t="str">
        <x:v>bullet</x:v>
      </x:c>
      <x:c r="N290" s="40" t="str">
        <x:v>No</x:v>
      </x:c>
      <x:c r="O290" s="30"/>
      <x:c r="P290" s="30" t="str">
        <x:v>86:25:0;86:26:0;86:27:0;86:28:0;86:29:0</x:v>
      </x:c>
    </x:row>
    <x:row r="291" ht="45" customHeight="1">
      <x:c r="A291" s="30" t="str">
        <x:v>ERP-A290</x:v>
      </x:c>
      <x:c r="B291" s="30" t="str">
        <x:v>p 86</x:v>
      </x:c>
      <x:c r="C291" s="30" t="str">
        <x:v>•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x:v>
      </x:c>
      <x:c r="D291" s="30" t="str">
        <x:v>ERP Report</x:v>
      </x:c>
      <x:c r="E291" s="30" t="str">
        <x:v>erpreport.pdf</x:v>
      </x:c>
      <x:c r="F291" s="40" t="str">
        <x:v>No</x:v>
      </x:c>
      <x:c r="G291" s="40" t="n">
        <x:v>0</x:v>
      </x:c>
      <x:c r="H291" s="40" t="str">
        <x:v>Direct human-labeled/adjudicated</x:v>
      </x:c>
      <x:c r="I291" s="40" t="str">
        <x:v>Anmol, Kyle</x:v>
      </x:c>
      <x:c r="J291" s="40" t="str">
        <x:v>ERP-034</x:v>
      </x:c>
      <x:c r="K291" s="30" t="str">
        <x:v>Retained human/adjudicated label from the curated GPT Test after PyMuPDF source reconciliation.</x:v>
      </x:c>
      <x:c r="L291" s="30" t="str">
        <x:v>Not unlearning. It calls for upgrade and reinforcement, not a fundamental rethink of the system.</x:v>
      </x:c>
      <x:c r="M291" s="40" t="str">
        <x:v>bullet</x:v>
      </x:c>
      <x:c r="N291" s="40" t="str">
        <x:v>No</x:v>
      </x:c>
      <x:c r="O291" s="30"/>
      <x:c r="P291" s="30" t="str">
        <x:v>86:30:0;86:31:0;86:32:0;86:33:0;86:34:0;86:35:0;86:36:0</x:v>
      </x:c>
    </x:row>
    <x:row r="292" ht="45" customHeight="1">
      <x:c r="A292" s="30" t="str">
        <x:v>ERP-A291</x:v>
      </x:c>
      <x:c r="B292" s="30" t="str">
        <x:v>p 87</x:v>
      </x:c>
      <x:c r="C292" s="30" t="str">
        <x:v>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x:v>
      </x:c>
      <x:c r="D292" s="30" t="str">
        <x:v>ERP Report</x:v>
      </x:c>
      <x:c r="E292" s="30" t="str">
        <x:v>erpreport.pdf</x:v>
      </x:c>
      <x:c r="F292" s="40" t="str">
        <x:v>No</x:v>
      </x:c>
      <x:c r="G292" s="40" t="n">
        <x:v>0</x:v>
      </x:c>
      <x:c r="H292" s="40" t="str">
        <x:v>Derived from human-labeled parent span</x:v>
      </x:c>
      <x:c r="I292" s="40" t="str">
        <x:v>Anmol, Kyle</x:v>
      </x:c>
      <x:c r="J292" s="40" t="str">
        <x:v>ERP-035</x:v>
      </x:c>
      <x:c r="K292" s="30" t="str">
        <x:v>Paragraph-level label derived from the retained parent-span label and rationale using the revised paragraph-level codebook.</x:v>
      </x:c>
      <x:c r="L292" s="30" t="str">
        <x:v>The paragraph diagnoses fragmented and dysfunctional management but does not itself specify the replacement governance arrangement.</x:v>
      </x:c>
      <x:c r="M292" s="40" t="str">
        <x:v>paragraph</x:v>
      </x:c>
      <x:c r="N292" s="40" t="str">
        <x:v>Yes</x:v>
      </x:c>
      <x:c r="O292" s="30" t="str">
        <x:v>Paragraph-level No was derived from the human-labeled parent span; confirm during team adjudication.</x:v>
      </x:c>
      <x:c r="P292" s="30" t="str">
        <x:v>87:2:0;87:3:0;87:4:0;87:5:0;87:6:0</x:v>
      </x:c>
    </x:row>
    <x:row r="293" ht="45" customHeight="1">
      <x:c r="A293" s="30" t="str">
        <x:v>ERP-A292</x:v>
      </x:c>
      <x:c r="B293" s="30" t="str">
        <x:v>p 87</x:v>
      </x:c>
      <x:c r="C293" s="30" t="str">
        <x:v>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x:v>
      </x:c>
      <x:c r="D293" s="30" t="str">
        <x:v>ERP Report</x:v>
      </x:c>
      <x:c r="E293" s="30" t="str">
        <x:v>erpreport.pdf</x:v>
      </x:c>
      <x:c r="F293" s="40" t="str">
        <x:v>Yes</x:v>
      </x:c>
      <x:c r="G293" s="40" t="n">
        <x:v>1</x:v>
      </x:c>
      <x:c r="H293" s="40" t="str">
        <x:v>Derived from human-labeled parent span</x:v>
      </x:c>
      <x:c r="I293" s="40" t="str">
        <x:v>Anmol, Kyle</x:v>
      </x:c>
      <x:c r="J293" s="40" t="str">
        <x:v>ERP-036</x:v>
      </x:c>
      <x:c r="K293" s="30" t="str">
        <x:v>Paragraph-level label derived from the retained parent-span label and rationale using the revised paragraph-level codebook.</x:v>
      </x:c>
      <x:c r="L293" s="30" t="str">
        <x:v>The paragraph calls for correcting management deficiencies through a more unified approach to hurricane protection, providing the departure from fragmented management.</x:v>
      </x:c>
      <x:c r="M293" s="40" t="str">
        <x:v>paragraph</x:v>
      </x:c>
      <x:c r="N293" s="40" t="str">
        <x:v>Yes</x:v>
      </x:c>
      <x:c r="O293" s="30" t="str">
        <x:v>The alternative is stated generally as a unified approach; confirm the paragraph-level Yes during team adjudication.</x:v>
      </x:c>
      <x:c r="P293" s="30" t="str">
        <x:v>87:7:0;87:8:0;87:9:0;87:10:0;87:11:0</x:v>
      </x:c>
    </x:row>
    <x:row r="294" ht="45" customHeight="1">
      <x:c r="A294" s="30" t="str">
        <x:v>ERP-A293</x:v>
      </x:c>
      <x:c r="B294" s="30" t="str">
        <x:v>p 87</x:v>
      </x:c>
      <x:c r="C294" s="30" t="str">
        <x:v>No complex program or system can be successful without good leadership, management, and someone in charge. The New Orleans hurricane protection system evolved over decades under the initiative and management of numerous agencies, none of which had definitive authority to adjudicate conflicting priorities. Until someone is put in charge of overall management and made accountable, organizational dysfunction will continue.</x:v>
      </x:c>
      <x:c r="D294" s="30" t="str">
        <x:v>ERP Report</x:v>
      </x:c>
      <x:c r="E294" s="30" t="str">
        <x:v>erpreport.pdf</x:v>
      </x:c>
      <x:c r="F294" s="40" t="str">
        <x:v>No</x:v>
      </x:c>
      <x:c r="G294" s="40" t="n">
        <x:v>0</x:v>
      </x:c>
      <x:c r="H294" s="40" t="str">
        <x:v>Unlabeled</x:v>
      </x:c>
      <x:c r="I294" s="40"/>
      <x:c r="J294" s="40"/>
      <x:c r="K294" s="30" t="str">
        <x:v>Default No — no retained human paragraph-level label in the curated GPT Test</x:v>
      </x:c>
      <x:c r="L294" s="30"/>
      <x:c r="M294" s="40" t="str">
        <x:v>paragraph</x:v>
      </x:c>
      <x:c r="N294" s="40" t="str">
        <x:v>No</x:v>
      </x:c>
      <x:c r="O294" s="30"/>
      <x:c r="P294" s="30" t="str">
        <x:v>87:13:0;87:14:0;87:15:0;87:16:0;87:17:0;87:18:0</x:v>
      </x:c>
    </x:row>
    <x:row r="295" ht="45" customHeight="1">
      <x:c r="A295" s="30" t="str">
        <x:v>ERP-A294</x:v>
      </x:c>
      <x:c r="B295" s="30" t="str">
        <x:v>p 87</x:v>
      </x:c>
      <x:c r="C295" s="30" t="str">
        <x:v>Local, state, and federal leaders should agree to assign to a single individual the responsibility for managing critical hurricane and flood protection systems such as the one in the New Orleans area. The ASCE Hurricane Katrina External Review Panel recommends that the “person-in-charge” or “authority” or commissioner be a high-level, licensed engineer (or, alternatively, a panel comprising licensed engineers). We suggest that this authority should have the wherewithal and latitude of a direct gubernatorial appointment.</x:v>
      </x:c>
      <x:c r="D295" s="30" t="str">
        <x:v>ERP Report</x:v>
      </x:c>
      <x:c r="E295" s="30" t="str">
        <x:v>erpreport.pdf</x:v>
      </x:c>
      <x:c r="F295" s="40" t="str">
        <x:v>No</x:v>
      </x:c>
      <x:c r="G295" s="40" t="n">
        <x:v>0</x:v>
      </x:c>
      <x:c r="H295" s="40" t="str">
        <x:v>Unlabeled</x:v>
      </x:c>
      <x:c r="I295" s="40"/>
      <x:c r="J295" s="40"/>
      <x:c r="K295" s="30" t="str">
        <x:v>Default No — no retained human paragraph-level label in the curated GPT Test</x:v>
      </x:c>
      <x:c r="L295" s="30"/>
      <x:c r="M295" s="40" t="str">
        <x:v>paragraph</x:v>
      </x:c>
      <x:c r="N295" s="40" t="str">
        <x:v>No</x:v>
      </x:c>
      <x:c r="O295" s="30"/>
      <x:c r="P295" s="30" t="str">
        <x:v>87:19:0;87:20:0;87:21:0;87:22:0;87:23:0;87:24:0;87:25:0;87:26:0</x:v>
      </x:c>
    </x:row>
    <x:row r="296" ht="45" customHeight="1">
      <x:c r="A296" s="30" t="str">
        <x:v>ERP-A295</x:v>
      </x:c>
      <x:c r="B296" s="30" t="str">
        <x:v>p 87</x:v>
      </x:c>
      <x:c r="C296" s="30" t="str">
        <x:v>This authority must be empowered and authorized by the mutual consent of all responsible agencies to become deeply engaged with all these agencies. The authority’s over-arching responsibility will be to keep hurricanerelated safety at the forefront of public priorities. The authority will provide leadership, strategic vision, definition of roles and responsibilities, formalized avenues of communication, prioritization of funding, and coordination of critical construction, maintenance, and operations.</x:v>
      </x:c>
      <x:c r="D296" s="30" t="str">
        <x:v>ERP Report</x:v>
      </x:c>
      <x:c r="E296" s="30" t="str">
        <x:v>erpreport.pdf</x:v>
      </x:c>
      <x:c r="F296" s="40" t="str">
        <x:v>No</x:v>
      </x:c>
      <x:c r="G296" s="40" t="n">
        <x:v>0</x:v>
      </x:c>
      <x:c r="H296" s="40" t="str">
        <x:v>Unlabeled</x:v>
      </x:c>
      <x:c r="I296" s="40"/>
      <x:c r="J296" s="40"/>
      <x:c r="K296" s="30" t="str">
        <x:v>Default No — no retained human paragraph-level label in the curated GPT Test</x:v>
      </x:c>
      <x:c r="L296" s="30"/>
      <x:c r="M296" s="40" t="str">
        <x:v>paragraph</x:v>
      </x:c>
      <x:c r="N296" s="40" t="str">
        <x:v>No</x:v>
      </x:c>
      <x:c r="O296" s="30"/>
      <x:c r="P296" s="30" t="str">
        <x:v>87:27:0;87:28:0;87:29:0;87:30:0;87:31:0;87:32:0;87:33:0</x:v>
      </x:c>
    </x:row>
    <x:row r="297" ht="45" customHeight="1">
      <x:c r="A297" s="30" t="str">
        <x:v>ERP-A296</x:v>
      </x:c>
      <x:c r="B297" s="30" t="str">
        <x:v>pp 87-88</x:v>
      </x:c>
      <x:c r="C297" s="30" t="str">
        <x:v>Changes to the New Orleans area levee board structure approved by voters in 2006 will help streamline communications and establish a stronger technical basis for managing the levees. The ASCE Hurricane Katrina External Review Panel endorses this effort, which comprises a good first step until the appointment of the authority goes into effect.</x:v>
      </x:c>
      <x:c r="D297" s="30" t="str">
        <x:v>ERP Report</x:v>
      </x:c>
      <x:c r="E297" s="30" t="str">
        <x:v>erpreport.pdf</x:v>
      </x:c>
      <x:c r="F297" s="40" t="str">
        <x:v>No</x:v>
      </x:c>
      <x:c r="G297" s="40" t="n">
        <x:v>0</x:v>
      </x:c>
      <x:c r="H297" s="40" t="str">
        <x:v>Unlabeled</x:v>
      </x:c>
      <x:c r="I297" s="40"/>
      <x:c r="J297" s="40"/>
      <x:c r="K297" s="30" t="str">
        <x:v>Default No — no retained human paragraph-level label in the curated GPT Test</x:v>
      </x:c>
      <x:c r="L297" s="30"/>
      <x:c r="M297" s="40" t="str">
        <x:v>paragraph</x:v>
      </x:c>
      <x:c r="N297" s="40" t="str">
        <x:v>No</x:v>
      </x:c>
      <x:c r="O297" s="30"/>
      <x:c r="P297" s="30" t="str">
        <x:v>87:34:0;87:35:0;88:1:0;88:2:0;88:3:0</x:v>
      </x:c>
    </x:row>
    <x:row r="298" ht="45" customHeight="1">
      <x:c r="A298" s="30" t="str">
        <x:v>ERP-A297</x:v>
      </x:c>
      <x:c r="B298" s="30" t="str">
        <x:v>p 88</x:v>
      </x:c>
      <x:c r="C298" s="30" t="str">
        <x:v>There has been an historic lack of coordination between agencies at all levels: local, state, and federal. The only practical way to overcome this organizational confusion is to implement strong, sustainable mechanisms for communication, cooperation, and coordination. We envision that the commissioner (as identified in Call-to-Action Number 6) will be able to provide overall direction and make sure that all parties are working together.</x:v>
      </x:c>
      <x:c r="D298" s="30" t="str">
        <x:v>ERP Report</x:v>
      </x:c>
      <x:c r="E298" s="30" t="str">
        <x:v>erpreport.pdf</x:v>
      </x:c>
      <x:c r="F298" s="40" t="str">
        <x:v>No</x:v>
      </x:c>
      <x:c r="G298" s="40" t="n">
        <x:v>0</x:v>
      </x:c>
      <x:c r="H298" s="40" t="str">
        <x:v>Unlabeled</x:v>
      </x:c>
      <x:c r="I298" s="40"/>
      <x:c r="J298" s="40"/>
      <x:c r="K298" s="30" t="str">
        <x:v>Default No — no retained human paragraph-level label in the curated GPT Test</x:v>
      </x:c>
      <x:c r="L298" s="30"/>
      <x:c r="M298" s="40" t="str">
        <x:v>paragraph</x:v>
      </x:c>
      <x:c r="N298" s="40" t="str">
        <x:v>No</x:v>
      </x:c>
      <x:c r="O298" s="30"/>
      <x:c r="P298" s="30" t="str">
        <x:v>88:6:0;88:7:0;88:8:0;88:9:0;88:10:0;88:11:0</x:v>
      </x:c>
    </x:row>
    <x:row r="299" ht="45" customHeight="1">
      <x:c r="A299" s="30" t="str">
        <x:v>ERP-A298</x:v>
      </x:c>
      <x:c r="B299" s="30" t="str">
        <x:v>p 88</x:v>
      </x:c>
      <x:c r="C299" s="30" t="str">
        <x:v>All agencies involved in the hurricane protection system should implement far better and more effective mechanisms for coordination and cooperation. The agencies responsible for funding must coordinate with and advocate for those responsible for implementation. Those responsible for the hurricane protection system must establish iron-clad protocols with those who are responsible for emergency response. Those responsible for maintenance of the hurricane protection system must collaborate with system designers and constructors to upgrade their inspection, repair, and operations to ensure that the system is hurricane-ready and flood-ready. Those responsible for operating the floodgates must take direction from those responsible for emergency preparedness, and close the levee penetrations when a hurricane threatens.</x:v>
      </x:c>
      <x:c r="D299" s="30" t="str">
        <x:v>ERP Report</x:v>
      </x:c>
      <x:c r="E299" s="30" t="str">
        <x:v>erpreport.pdf</x:v>
      </x:c>
      <x:c r="F299" s="40" t="str">
        <x:v>No</x:v>
      </x:c>
      <x:c r="G299" s="40" t="n">
        <x:v>0</x:v>
      </x:c>
      <x:c r="H299" s="40" t="str">
        <x:v>Unlabeled</x:v>
      </x:c>
      <x:c r="I299" s="40"/>
      <x:c r="J299" s="40"/>
      <x:c r="K299" s="30" t="str">
        <x:v>Default No — no retained human paragraph-level label in the curated GPT Test</x:v>
      </x:c>
      <x:c r="L299" s="30"/>
      <x:c r="M299" s="40" t="str">
        <x:v>paragraph</x:v>
      </x:c>
      <x:c r="N299" s="40" t="str">
        <x:v>No</x:v>
      </x:c>
      <x:c r="O299" s="30"/>
      <x:c r="P299" s="30" t="str">
        <x:v>88:12:0;88:13:0;88:14:0;88:15:0;88:16:0;88:17:0;88:18:0;88:19:0;88:20:0;88:21:0;88:22:0;88:23:0</x:v>
      </x:c>
    </x:row>
    <x:row r="300" ht="45" customHeight="1">
      <x:c r="A300" s="30" t="str">
        <x:v>ERP-A299</x:v>
      </x:c>
      <x:c r="B300" s="30" t="str">
        <x:v>p 88</x:v>
      </x:c>
      <x:c r="C300" s="30" t="str">
        <x:v>The ASCE Hurricane Katrina External Review Panel believes that the failures in New Orleans’s hurricane protection system constitute one of the worst catastrophes ever to befall this country. The flaws uncovered as a result of Hurricane Katrina must serve as a sobering reminder to engineers everywhere that their work has life-or-death implications. Whatever the constraints — whether related to cost, schedule, political resistance, or inertia — engineers must continue to uphold the highest standards of their profession, knowing that peoples’ lives are at stake.</x:v>
      </x:c>
      <x:c r="D300" s="30" t="str">
        <x:v>ERP Report</x:v>
      </x:c>
      <x:c r="E300" s="30" t="str">
        <x:v>erpreport.pdf</x:v>
      </x:c>
      <x:c r="F300" s="40" t="str">
        <x:v>No</x:v>
      </x:c>
      <x:c r="G300" s="40" t="n">
        <x:v>0</x:v>
      </x:c>
      <x:c r="H300" s="40" t="str">
        <x:v>Unlabeled</x:v>
      </x:c>
      <x:c r="I300" s="40"/>
      <x:c r="J300" s="40"/>
      <x:c r="K300" s="30" t="str">
        <x:v>Default No — no retained human paragraph-level label in the curated GPT Test</x:v>
      </x:c>
      <x:c r="L300" s="30"/>
      <x:c r="M300" s="40" t="str">
        <x:v>paragraph</x:v>
      </x:c>
      <x:c r="N300" s="40" t="str">
        <x:v>No</x:v>
      </x:c>
      <x:c r="O300" s="30"/>
      <x:c r="P300" s="30" t="str">
        <x:v>88:25:0;88:26:0;88:27:0;88:28:0;88:29:0;88:30:0;88:31:0;88:32:0</x:v>
      </x:c>
    </x:row>
    <x:row r="301" ht="45" customHeight="1">
      <x:c r="A301" s="30" t="str">
        <x:v>ERP-A300</x:v>
      </x:c>
      <x:c r="B301" s="30" t="str">
        <x:v>p 89</x:v>
      </x:c>
      <x:c r="C301" s="30" t="str">
        <x:v>The USACE and its consultants — as well as ASCE and its members — must upgrade engineering design procedures, placing greater emphasis on safety, taking into account lessons learned from Hurricane Katrina, and incorporating the latest research findings and best engineering practices. The engineering community should review and update engineering design procedures for hurricane and flood protection systems to ensure that these updated procedures take all reasonable steps to protect the public safety, health, and welfare.</x:v>
      </x:c>
      <x:c r="D301" s="30" t="str">
        <x:v>ERP Report</x:v>
      </x:c>
      <x:c r="E301" s="30" t="str">
        <x:v>erpreport.pdf</x:v>
      </x:c>
      <x:c r="F301" s="40" t="str">
        <x:v>No</x:v>
      </x:c>
      <x:c r="G301" s="40" t="n">
        <x:v>0</x:v>
      </x:c>
      <x:c r="H301" s="40" t="str">
        <x:v>Unlabeled</x:v>
      </x:c>
      <x:c r="I301" s="40"/>
      <x:c r="J301" s="40"/>
      <x:c r="K301" s="30" t="str">
        <x:v>Default No — no retained human paragraph-level label in the curated GPT Test</x:v>
      </x:c>
      <x:c r="L301" s="30"/>
      <x:c r="M301" s="40" t="str">
        <x:v>paragraph</x:v>
      </x:c>
      <x:c r="N301" s="40" t="str">
        <x:v>No</x:v>
      </x:c>
      <x:c r="O301" s="30"/>
      <x:c r="P301" s="30" t="str">
        <x:v>89:2:0;89:3:0;89:4:0;89:5:0;89:6:0;89:7:0;89:8:0;89:9:0</x:v>
      </x:c>
    </x:row>
    <x:row r="302" ht="45" customHeight="1">
      <x:c r="A302" s="30" t="str">
        <x:v>ERP-A301</x:v>
      </x:c>
      <x:c r="B302" s="30" t="str">
        <x:v>p 89</x:v>
      </x:c>
      <x:c r="C302" s="30" t="str">
        <x:v>The USACE—and engineering research organizations around the country —should increase research into the design and construction of better hurricane protection systems. The latest technological advances should be used to improve the models, designs, retrofits, and maintenance of hurricane protection systems in New Orleans and other parts of the country.</x:v>
      </x:c>
      <x:c r="D302" s="30" t="str">
        <x:v>ERP Report</x:v>
      </x:c>
      <x:c r="E302" s="30" t="str">
        <x:v>erpreport.pdf</x:v>
      </x:c>
      <x:c r="F302" s="40" t="str">
        <x:v>No</x:v>
      </x:c>
      <x:c r="G302" s="40" t="n">
        <x:v>0</x:v>
      </x:c>
      <x:c r="H302" s="40" t="str">
        <x:v>Unlabeled</x:v>
      </x:c>
      <x:c r="I302" s="40"/>
      <x:c r="J302" s="40"/>
      <x:c r="K302" s="30" t="str">
        <x:v>Default No — no retained human paragraph-level label in the curated GPT Test</x:v>
      </x:c>
      <x:c r="L302" s="30"/>
      <x:c r="M302" s="40" t="str">
        <x:v>paragraph</x:v>
      </x:c>
      <x:c r="N302" s="40" t="str">
        <x:v>No</x:v>
      </x:c>
      <x:c r="O302" s="30"/>
      <x:c r="P302" s="30" t="str">
        <x:v>89:10:0;89:11:0;89:12:0;89:13:0;89:14:0</x:v>
      </x:c>
    </x:row>
    <x:row r="303" ht="45" customHeight="1">
      <x:c r="A303" s="30" t="str">
        <x:v>ERP-A302</x:v>
      </x:c>
      <x:c r="B303" s="30" t="str">
        <x:v>p 89</x:v>
      </x:c>
      <x:c r="C303" s="30" t="str">
        <x:v>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x:v>
      </x:c>
      <x:c r="D303" s="30" t="str">
        <x:v>ERP Report</x:v>
      </x:c>
      <x:c r="E303" s="30" t="str">
        <x:v>erpreport.pdf</x:v>
      </x:c>
      <x:c r="F303" s="40" t="str">
        <x:v>No</x:v>
      </x:c>
      <x:c r="G303" s="40" t="n">
        <x:v>0</x:v>
      </x:c>
      <x:c r="H303" s="40" t="str">
        <x:v>Derived from human-labeled parent span</x:v>
      </x:c>
      <x:c r="I303" s="40" t="str">
        <x:v>Anmol, Kyle</x:v>
      </x:c>
      <x:c r="J303" s="40" t="str">
        <x:v>ERP-037</x:v>
      </x:c>
      <x:c r="K303" s="30" t="str">
        <x:v>Paragraph-level label derived from the retained parent-span label and rationale using the revised paragraph-level codebook.</x:v>
      </x:c>
      <x:c r="L303" s="30" t="str">
        <x:v>The paragraph states ASCE’s existing peer-review policy but does not identify a prior practice in this case as inadequate or call for a new departure.</x:v>
      </x:c>
      <x:c r="M303" s="40" t="str">
        <x:v>paragraph</x:v>
      </x:c>
      <x:c r="N303" s="40" t="str">
        <x:v>Yes</x:v>
      </x:c>
      <x:c r="O303" s="30" t="str">
        <x:v>Paragraph-level No was derived from the human-labeled parent span; confirm during team adjudication.</x:v>
      </x:c>
      <x:c r="P303" s="30" t="str">
        <x:v>89:16:0;89:17:0;89:18:0;89:19:0;89:20:0;89:21:0</x:v>
      </x:c>
    </x:row>
    <x:row r="304" ht="45" customHeight="1">
      <x:c r="A304" s="30" t="str">
        <x:v>ERP-A303</x:v>
      </x:c>
      <x:c r="B304" s="30" t="str">
        <x:v>p 89</x:v>
      </x:c>
      <x:c r="C304" s="30" t="str">
        <x:v>The ASCE Hurricane Katrina External Review Panel believes that many of the major deficiencies in New Orleans’s hurricane protection system could have been avoided if the engineering plans and designs had undergone high-level, independent engineering review by external experts.</x:v>
      </x:c>
      <x:c r="D304" s="30" t="str">
        <x:v>ERP Report</x:v>
      </x:c>
      <x:c r="E304" s="30" t="str">
        <x:v>erpreport.pdf</x:v>
      </x:c>
      <x:c r="F304" s="40" t="str">
        <x:v>No</x:v>
      </x:c>
      <x:c r="G304" s="40" t="n">
        <x:v>0</x:v>
      </x:c>
      <x:c r="H304" s="40" t="str">
        <x:v>Derived from human-labeled parent span</x:v>
      </x:c>
      <x:c r="I304" s="40" t="str">
        <x:v>Anmol, Kyle</x:v>
      </x:c>
      <x:c r="J304" s="40" t="str">
        <x:v>ERP-038</x:v>
      </x:c>
      <x:c r="K304" s="30" t="str">
        <x:v>Paragraph-level label derived from the retained parent-span label and rationale using the revised paragraph-level codebook.</x:v>
      </x:c>
      <x:c r="L304" s="30" t="str">
        <x:v>The paragraph states that external review could have prevented deficiencies, but it remains a retrospective counterfactual rather than a direct call to replace a practice.</x:v>
      </x:c>
      <x:c r="M304" s="40" t="str">
        <x:v>paragraph</x:v>
      </x:c>
      <x:c r="N304" s="40" t="str">
        <x:v>Yes</x:v>
      </x:c>
      <x:c r="O304" s="30" t="str">
        <x:v>Strong boundary case: the counterfactual implies a different practice but does not directly recommend it; confirm during team adjudication.</x:v>
      </x:c>
      <x:c r="P304" s="30" t="str">
        <x:v>89:22:0;89:23:0;89:24:0;89:25:0</x:v>
      </x:c>
    </x:row>
    <x:row r="305" ht="45" customHeight="1">
      <x:c r="A305" s="30" t="str">
        <x:v>ERP-A304</x:v>
      </x:c>
      <x:c r="B305" s="30" t="str">
        <x:v>p 89</x:v>
      </x:c>
      <x:c r="C305" s="30" t="str">
        <x:v>Agencies responsible for design of hurricane and flood protection systems and other critical life-safety structures should engage independent experts in high-level review of every project.</x:v>
      </x:c>
      <x:c r="D305" s="30" t="str">
        <x:v>ERP Report</x:v>
      </x:c>
      <x:c r="E305" s="30" t="str">
        <x:v>erpreport.pdf</x:v>
      </x:c>
      <x:c r="F305" s="40" t="str">
        <x:v>Yes</x:v>
      </x:c>
      <x:c r="G305" s="40" t="n">
        <x:v>1</x:v>
      </x:c>
      <x:c r="H305" s="40" t="str">
        <x:v>Derived from human-labeled parent span</x:v>
      </x:c>
      <x:c r="I305" s="40" t="str">
        <x:v>Anmol, Kyle</x:v>
      </x:c>
      <x:c r="J305" s="40" t="str">
        <x:v>ERP-039</x:v>
      </x:c>
      <x:c r="K305" s="30" t="str">
        <x:v>Paragraph-level label derived from the retained parent-span label and rationale using the revised paragraph-level codebook.</x:v>
      </x:c>
      <x:c r="L305" s="30" t="str">
        <x:v>The paragraph directly calls on responsible agencies to engage independent experts in high-level review of every project, replacing the absence of systematic external review.</x:v>
      </x:c>
      <x:c r="M305" s="40" t="str">
        <x:v>paragraph</x:v>
      </x:c>
      <x:c r="N305" s="40" t="str">
        <x:v>Yes</x:v>
      </x:c>
      <x:c r="O305" s="30" t="str">
        <x:v>Paragraph-level Yes was derived from the human-labeled parent span and rationale; confirm during team adjudication.</x:v>
      </x:c>
      <x:c r="P305" s="30" t="str">
        <x:v>89:26:0;89:27:0;89:28:0</x:v>
      </x:c>
    </x:row>
    <x:row r="306" ht="45" customHeight="1">
      <x:c r="A306" s="30" t="str">
        <x:v>ERP-A305</x:v>
      </x:c>
      <x:c r="B306" s="30" t="str">
        <x:v>p 90</x:v>
      </x:c>
      <x:c r="C306" s="30" t="str">
        <x:v>Although the conditions leading up to the New Orleans catastrophe are unique, the fundamental constraints placed on engineers for any project are not. Every project has funding and/or schedule limitations. Every project must integrate into the natural and man-made environment. Every major project has political ramifications.</x:v>
      </x:c>
      <x:c r="D306" s="30" t="str">
        <x:v>ERP Report</x:v>
      </x:c>
      <x:c r="E306" s="30" t="str">
        <x:v>erpreport.pdf</x:v>
      </x:c>
      <x:c r="F306" s="40" t="str">
        <x:v>No</x:v>
      </x:c>
      <x:c r="G306" s="40" t="n">
        <x:v>0</x:v>
      </x:c>
      <x:c r="H306" s="40" t="str">
        <x:v>Unlabeled</x:v>
      </x:c>
      <x:c r="I306" s="40"/>
      <x:c r="J306" s="40"/>
      <x:c r="K306" s="30" t="str">
        <x:v>Default No — no retained human paragraph-level label in the curated GPT Test</x:v>
      </x:c>
      <x:c r="L306" s="30"/>
      <x:c r="M306" s="40" t="str">
        <x:v>paragraph</x:v>
      </x:c>
      <x:c r="N306" s="40" t="str">
        <x:v>No</x:v>
      </x:c>
      <x:c r="O306" s="30"/>
      <x:c r="P306" s="30" t="str">
        <x:v>90:3:0;90:4:0;90:5:0;90:6:0;90:7:0</x:v>
      </x:c>
    </x:row>
    <x:row r="307" ht="45" customHeight="1">
      <x:c r="A307" s="30" t="str">
        <x:v>ERP-A306</x:v>
      </x:c>
      <x:c r="B307" s="30" t="str">
        <x:v>p 90</x:v>
      </x:c>
      <x:c r="C307" s="30" t="str">
        <x:v>In the face of pressure to save money or to make up time, engineers must remain strong and hold true to the requirements of the profession’s canon of ethics, never compromising the safety of the public. Organizations must be structured to enable, not to inhibit, this focus on safety. Engineers must continually evaluate the appropriateness of design criteria. They must always consider how the performance of individual components affects the overall performance of a system.</x:v>
      </x:c>
      <x:c r="D307" s="30" t="str">
        <x:v>ERP Report</x:v>
      </x:c>
      <x:c r="E307" s="30" t="str">
        <x:v>erpreport.pdf</x:v>
      </x:c>
      <x:c r="F307" s="40" t="str">
        <x:v>No</x:v>
      </x:c>
      <x:c r="G307" s="40" t="n">
        <x:v>0</x:v>
      </x:c>
      <x:c r="H307" s="40" t="str">
        <x:v>Unlabeled</x:v>
      </x:c>
      <x:c r="I307" s="40"/>
      <x:c r="J307" s="40"/>
      <x:c r="K307" s="30" t="str">
        <x:v>Default No — no retained human paragraph-level label in the curated GPT Test</x:v>
      </x:c>
      <x:c r="L307" s="30"/>
      <x:c r="M307" s="40" t="str">
        <x:v>paragraph</x:v>
      </x:c>
      <x:c r="N307" s="40" t="str">
        <x:v>No</x:v>
      </x:c>
      <x:c r="O307" s="30"/>
      <x:c r="P307" s="30" t="str">
        <x:v>90:8:0;90:9:0;90:10:0;90:11:0;90:12:0;90:13:0;90:14:0</x:v>
      </x:c>
    </x:row>
    <x:row r="308" ht="45" customHeight="1">
      <x:c r="A308" s="30" t="str">
        <x:v>ERP-A307</x:v>
      </x:c>
      <x:c r="B308" s="30" t="str">
        <x:v>p 90</x:v>
      </x:c>
      <x:c r="C308" s="30" t="str">
        <x:v>The first Fundamental Canon of ASCE’s Code of Ethics states that “Engineers shall hold paramount the safety, health, and welfare of the public....” This canon must be the guiding principle for rebuilding the hurricane protection system in New Orleans. And it must be applied withequal rigor to every aspect of an engineer’s work—in New Orleans, in America, and throughout the world. ASCE, working in partnership with the USACE and other engineering organizations, should reinforce the need to place the safety, health, and welfare of the public first, and should communicate that public safety must always be the highest priority.</x:v>
      </x:c>
      <x:c r="D308" s="30" t="str">
        <x:v>ERP Report</x:v>
      </x:c>
      <x:c r="E308" s="30" t="str">
        <x:v>erpreport.pdf</x:v>
      </x:c>
      <x:c r="F308" s="40" t="str">
        <x:v>No</x:v>
      </x:c>
      <x:c r="G308" s="40" t="n">
        <x:v>0</x:v>
      </x:c>
      <x:c r="H308" s="40" t="str">
        <x:v>Unlabeled</x:v>
      </x:c>
      <x:c r="I308" s="40"/>
      <x:c r="J308" s="40"/>
      <x:c r="K308" s="30" t="str">
        <x:v>Default No — no retained human paragraph-level label in the curated GPT Test</x:v>
      </x:c>
      <x:c r="L308" s="30"/>
      <x:c r="M308" s="40" t="str">
        <x:v>paragraph</x:v>
      </x:c>
      <x:c r="N308" s="40" t="str">
        <x:v>No</x:v>
      </x:c>
      <x:c r="O308" s="30"/>
      <x:c r="P308" s="30" t="str">
        <x:v>90:15:0;90:16:0;90:17:0;90:18:0;90:19:0;90:20:0;90:21:0;90:22:0;90:23:0</x:v>
      </x:c>
    </x:row>
    <x:row r="309" ht="45" customHeight="1">
      <x:c r="A309" s="30" t="str">
        <x:v>EPA-A001</x:v>
      </x:c>
      <x:c r="B309" s="30" t="str">
        <x:v>p 3</x:v>
      </x:c>
      <x:c r="C309" s="30" t="str">
        <x:v>This review was conducted in conjunction with the President’s Council on Integrity and Efficiency as part of its examination of relief efforts provided by the Federal Government in the aftermath of Hurricanes Katrina and Rita. Based on our prior reviews of the U.S. Environmental Protection Agency’s (EPA’s) response to Katrina, this report identifies lessons learned from the Katrina response. We also examined whether EPA followed its emergency response protocols, including those lessons learned from the World Trade Center collapse and the Agency’s responsibilities as delineated in the National Response Plan, in responding to Katrina.</x:v>
      </x:c>
      <x:c r="D309" s="30" t="str">
        <x:v>EPA</x:v>
      </x:c>
      <x:c r="E309" s="30" t="str">
        <x:v>EPA 20060914-2006-p-00033.pdf</x:v>
      </x:c>
      <x:c r="F309" s="40" t="str">
        <x:v>No</x:v>
      </x:c>
      <x:c r="G309" s="40" t="n">
        <x:v>0</x:v>
      </x:c>
      <x:c r="H309" s="40" t="str">
        <x:v>Unlabeled</x:v>
      </x:c>
      <x:c r="I309" s="40"/>
      <x:c r="J309" s="40"/>
      <x:c r="K309" s="30" t="str">
        <x:v>Default No — no retained human paragraph-level label in the curated GPT Test</x:v>
      </x:c>
      <x:c r="L309" s="30"/>
      <x:c r="M309" s="40" t="str">
        <x:v>paragraph</x:v>
      </x:c>
      <x:c r="N309" s="40" t="str">
        <x:v>No</x:v>
      </x:c>
      <x:c r="O309" s="30"/>
      <x:c r="P309" s="30" t="str">
        <x:v>3:4</x:v>
      </x:c>
    </x:row>
    <x:row r="310" ht="45" customHeight="1">
      <x:c r="A310" s="30" t="str">
        <x:v>EPA-A002</x:v>
      </x:c>
      <x:c r="B310" s="30" t="str">
        <x:v>p 3</x:v>
      </x:c>
      <x:c r="C310" s="30" t="str">
        <x:v>On August 29, 2005, Hurricane Katrina made landfall on the Mississippi coast. Katrina devastated the Gulf Coast of Mississippi and Southeastern Louisiana, and caused extensive flooding in New Orleans and extensive damage to the environmental infrastructure in the region.</x:v>
      </x:c>
      <x:c r="D310" s="30" t="str">
        <x:v>EPA</x:v>
      </x:c>
      <x:c r="E310" s="30" t="str">
        <x:v>EPA 20060914-2006-p-00033.pdf</x:v>
      </x:c>
      <x:c r="F310" s="40" t="str">
        <x:v>No</x:v>
      </x:c>
      <x:c r="G310" s="40" t="n">
        <x:v>0</x:v>
      </x:c>
      <x:c r="H310" s="40" t="str">
        <x:v>Unlabeled</x:v>
      </x:c>
      <x:c r="I310" s="40"/>
      <x:c r="J310" s="40"/>
      <x:c r="K310" s="30" t="str">
        <x:v>Default No — no retained human paragraph-level label in the curated GPT Test</x:v>
      </x:c>
      <x:c r="L310" s="30"/>
      <x:c r="M310" s="40" t="str">
        <x:v>paragraph</x:v>
      </x:c>
      <x:c r="N310" s="40" t="str">
        <x:v>No</x:v>
      </x:c>
      <x:c r="O310" s="30"/>
      <x:c r="P310" s="30" t="str">
        <x:v>3:7</x:v>
      </x:c>
    </x:row>
    <x:row r="311" ht="45" customHeight="1">
      <x:c r="A311" s="30" t="str">
        <x:v>EPA-A003</x:v>
      </x:c>
      <x:c r="B311" s="30" t="str">
        <x:v>p 3</x:v>
      </x:c>
      <x:c r="C311" s="30" t="str">
        <x:v>In our prior reports on EPA’s response to Katrina, we reported that EPA, Mississippi, and Louisiana took extraordinary efforts to assess and restore public drinking water supplies after Hurricane Katrina, and that EPA provided timely and quality information to address wastewater and hazardous materials and debris concerns. EPA generally followed its emergency response protocols to ensure that environmental concerns were addressed. Further, the actions taken by EPA and the States in response to Hurricane Katrina generally improved upon the lessons learned from EPA’s response to the World Trade Center collapse. EPA officials told us that planning and good working relationships with State officials were key factors in responding successfully to this emergency. While these efforts were generally successful, we identified three lessons learned.</x:v>
      </x:c>
      <x:c r="D311" s="30" t="str">
        <x:v>EPA</x:v>
      </x:c>
      <x:c r="E311" s="30" t="str">
        <x:v>EPA 20060914-2006-p-00033.pdf</x:v>
      </x:c>
      <x:c r="F311" s="40" t="str">
        <x:v>No</x:v>
      </x:c>
      <x:c r="G311" s="40" t="n">
        <x:v>0</x:v>
      </x:c>
      <x:c r="H311" s="40" t="str">
        <x:v>Unlabeled</x:v>
      </x:c>
      <x:c r="I311" s="40"/>
      <x:c r="J311" s="40"/>
      <x:c r="K311" s="30" t="str">
        <x:v>Default No — no retained human paragraph-level label in the curated GPT Test</x:v>
      </x:c>
      <x:c r="L311" s="30"/>
      <x:c r="M311" s="40" t="str">
        <x:v>paragraph</x:v>
      </x:c>
      <x:c r="N311" s="40" t="str">
        <x:v>No</x:v>
      </x:c>
      <x:c r="O311" s="30"/>
      <x:c r="P311" s="30" t="str">
        <x:v>3:12</x:v>
      </x:c>
    </x:row>
    <x:row r="312" ht="45" customHeight="1">
      <x:c r="A312" s="30" t="str">
        <x:v>EPA-A004</x:v>
      </x:c>
      <x:c r="B312" s="30" t="str">
        <x:v>p 3</x:v>
      </x:c>
      <x:c r="C312" s="30" t="str">
        <x:v>•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D312" s="30" t="str">
        <x:v>EPA</x:v>
      </x:c>
      <x:c r="E312" s="30" t="str">
        <x:v>EPA 20060914-2006-p-00033.pdf</x:v>
      </x:c>
      <x:c r="F312" s="40" t="str">
        <x:v>No</x:v>
      </x:c>
      <x:c r="G312" s="40" t="n">
        <x:v>0</x:v>
      </x:c>
      <x:c r="H312" s="40" t="str">
        <x:v>Direct human-labeled/adjudicated</x:v>
      </x:c>
      <x:c r="I312" s="40" t="str">
        <x:v>Anmol</x:v>
      </x:c>
      <x:c r="J312" s="40" t="str">
        <x:v>EPA-001</x:v>
      </x:c>
      <x:c r="K312" s="30" t="str">
        <x:v>Retained human/adjudicated label from the curated GPT Test after PyMuPDF source reconciliation.</x:v>
      </x:c>
      <x:c r="L312" s="30" t="str">
        <x:v>I woudng classify this as unlearning. I identifies a problem but doesnt call for abandoning anything. It ask for additiv change or improved coordination.</x:v>
      </x:c>
      <x:c r="M312" s="40" t="str">
        <x:v>bullet</x:v>
      </x:c>
      <x:c r="N312" s="40" t="str">
        <x:v>No</x:v>
      </x:c>
      <x:c r="O312" s="30"/>
      <x:c r="P312" s="30" t="str">
        <x:v>3:13</x:v>
      </x:c>
    </x:row>
    <x:row r="313" ht="45" customHeight="1">
      <x:c r="A313" s="30" t="str">
        <x:v>EPA-A005</x:v>
      </x:c>
      <x:c r="B313" s="30" t="str">
        <x:v>p 3</x:v>
      </x:c>
      <x:c r="C313" s="30"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x:v>
      </x:c>
      <x:c r="D313" s="30" t="str">
        <x:v>EPA</x:v>
      </x:c>
      <x:c r="E313" s="30" t="str">
        <x:v>EPA 20060914-2006-p-00033.pdf</x:v>
      </x:c>
      <x:c r="F313" s="40" t="str">
        <x:v>No</x:v>
      </x:c>
      <x:c r="G313" s="40" t="n">
        <x:v>0</x:v>
      </x:c>
      <x:c r="H313" s="40" t="str">
        <x:v>Unlabeled</x:v>
      </x:c>
      <x:c r="I313" s="40"/>
      <x:c r="J313" s="40"/>
      <x:c r="K313" s="30" t="str">
        <x:v>Default No — no retained human paragraph-level label in the curated GPT Test</x:v>
      </x:c>
      <x:c r="L313" s="30"/>
      <x:c r="M313" s="40" t="str">
        <x:v>bullet</x:v>
      </x:c>
      <x:c r="N313" s="40" t="str">
        <x:v>No</x:v>
      </x:c>
      <x:c r="O313" s="30"/>
      <x:c r="P313" s="30" t="str">
        <x:v>3:14</x:v>
      </x:c>
    </x:row>
    <x:row r="314" ht="45" customHeight="1">
      <x:c r="A314" s="30" t="str">
        <x:v>EPA-A006</x:v>
      </x:c>
      <x:c r="B314" s="30" t="str">
        <x:v>p 3</x:v>
      </x:c>
      <x:c r="C314" s="30" t="str">
        <x:v>• State of Louisiana officials reported problems querying and verifying the quality of data in EPA’s database used to collect floodwater results.</x:v>
      </x:c>
      <x:c r="D314" s="30" t="str">
        <x:v>EPA</x:v>
      </x:c>
      <x:c r="E314" s="30" t="str">
        <x:v>EPA 20060914-2006-p-00033.pdf</x:v>
      </x:c>
      <x:c r="F314" s="40" t="str">
        <x:v>No</x:v>
      </x:c>
      <x:c r="G314" s="40" t="n">
        <x:v>0</x:v>
      </x:c>
      <x:c r="H314" s="40" t="str">
        <x:v>Unlabeled</x:v>
      </x:c>
      <x:c r="I314" s="40"/>
      <x:c r="J314" s="40"/>
      <x:c r="K314" s="30" t="str">
        <x:v>Default No — no retained human paragraph-level label in the curated GPT Test</x:v>
      </x:c>
      <x:c r="L314" s="30"/>
      <x:c r="M314" s="40" t="str">
        <x:v>bullet</x:v>
      </x:c>
      <x:c r="N314" s="40" t="str">
        <x:v>No</x:v>
      </x:c>
      <x:c r="O314" s="30"/>
      <x:c r="P314" s="30" t="str">
        <x:v>3:15</x:v>
      </x:c>
    </x:row>
    <x:row r="315" ht="45" customHeight="1">
      <x:c r="A315" s="30" t="str">
        <x:v>EPA-A007</x:v>
      </x:c>
      <x:c r="B315" s="30" t="str">
        <x:v>p 3</x:v>
      </x:c>
      <x:c r="C315" s="30" t="str">
        <x:v>EPA Regions 4 and 6 have initiated actions to address the issues noted in this report for responding to future disasters.</x:v>
      </x:c>
      <x:c r="D315" s="30" t="str">
        <x:v>EPA</x:v>
      </x:c>
      <x:c r="E315" s="30" t="str">
        <x:v>EPA 20060914-2006-p-00033.pdf</x:v>
      </x:c>
      <x:c r="F315" s="40" t="str">
        <x:v>No</x:v>
      </x:c>
      <x:c r="G315" s="40" t="n">
        <x:v>0</x:v>
      </x:c>
      <x:c r="H315" s="40" t="str">
        <x:v>Unlabeled</x:v>
      </x:c>
      <x:c r="I315" s="40"/>
      <x:c r="J315" s="40"/>
      <x:c r="K315" s="30" t="str">
        <x:v>Default No — no retained human paragraph-level label in the curated GPT Test</x:v>
      </x:c>
      <x:c r="L315" s="30"/>
      <x:c r="M315" s="40" t="str">
        <x:v>paragraph</x:v>
      </x:c>
      <x:c r="N315" s="40" t="str">
        <x:v>No</x:v>
      </x:c>
      <x:c r="O315" s="30"/>
      <x:c r="P315" s="30" t="str">
        <x:v>3:16</x:v>
      </x:c>
    </x:row>
    <x:row r="316" ht="45" customHeight="1">
      <x:c r="A316" s="30" t="str">
        <x:v>EPA-A008</x:v>
      </x:c>
      <x:c r="B316" s="30" t="str">
        <x:v>p 3</x:v>
      </x:c>
      <x:c r="C316" s="30" t="str">
        <x:v>We recommend that the Assistant Administrators for the Office of Solid Waste and Emergency Response and Office of Water, as part of the Agency's efforts to address lessons learned from Katrina, ensure that the corrective actions discussed in this report are implemented. EPA generally agreed with our recommendation.</x:v>
      </x:c>
      <x:c r="D316" s="30" t="str">
        <x:v>EPA</x:v>
      </x:c>
      <x:c r="E316" s="30" t="str">
        <x:v>EPA 20060914-2006-p-00033.pdf</x:v>
      </x:c>
      <x:c r="F316" s="40" t="str">
        <x:v>No</x:v>
      </x:c>
      <x:c r="G316" s="40" t="n">
        <x:v>0</x:v>
      </x:c>
      <x:c r="H316" s="40" t="str">
        <x:v>Unlabeled</x:v>
      </x:c>
      <x:c r="I316" s="40"/>
      <x:c r="J316" s="40"/>
      <x:c r="K316" s="30" t="str">
        <x:v>Default No — no retained human paragraph-level label in the curated GPT Test</x:v>
      </x:c>
      <x:c r="L316" s="30"/>
      <x:c r="M316" s="40" t="str">
        <x:v>paragraph</x:v>
      </x:c>
      <x:c r="N316" s="40" t="str">
        <x:v>No</x:v>
      </x:c>
      <x:c r="O316" s="30"/>
      <x:c r="P316" s="30" t="str">
        <x:v>3:18</x:v>
      </x:c>
    </x:row>
    <x:row r="317" ht="45" customHeight="1">
      <x:c r="A317" s="30" t="str">
        <x:v>EPA-A009</x:v>
      </x:c>
      <x:c r="B317" s="30" t="str">
        <x:v>p 7</x:v>
      </x:c>
      <x:c r="C317" s="30" t="str">
        <x:v>The President’s Council on Integrity and Efficiency (PCIE), a group of Federal audit and investigative organizations, is conducting multiple audits, evaluations, and investigations of the Federal Government’s response to Hurricane Katrina. This review was conducted in conjunction with the PCIE as part of its examination of relief efforts provided by the Federal Government in the aftermath of Hurricanes Katrina and Rita. As such, a copy of the report will be forwarded to the PCIE Homeland Security Working Group, which is coordinating Inspectors General reviews of this important subject. As a member of the PCIE, the EPA Office of Inspector General (OIG) conducted three separate evaluations related to EPA’s response that resulted in four separate reports:</x:v>
      </x:c>
      <x:c r="D317" s="30" t="str">
        <x:v>EPA</x:v>
      </x:c>
      <x:c r="E317" s="30" t="str">
        <x:v>EPA 20060914-2006-p-00033.pdf</x:v>
      </x:c>
      <x:c r="F317" s="40" t="str">
        <x:v>No</x:v>
      </x:c>
      <x:c r="G317" s="40" t="n">
        <x:v>0</x:v>
      </x:c>
      <x:c r="H317" s="40" t="str">
        <x:v>Unlabeled</x:v>
      </x:c>
      <x:c r="I317" s="40"/>
      <x:c r="J317" s="40"/>
      <x:c r="K317" s="30" t="str">
        <x:v>Default No — no retained human paragraph-level label in the curated GPT Test</x:v>
      </x:c>
      <x:c r="L317" s="30"/>
      <x:c r="M317" s="40" t="str">
        <x:v>paragraph</x:v>
      </x:c>
      <x:c r="N317" s="40" t="str">
        <x:v>No</x:v>
      </x:c>
      <x:c r="O317" s="30"/>
      <x:c r="P317" s="30" t="str">
        <x:v>7:1</x:v>
      </x:c>
    </x:row>
    <x:row r="318" ht="45" customHeight="1">
      <x:c r="A318" s="30" t="str">
        <x:v>EPA-A010</x:v>
      </x:c>
      <x:c r="B318" s="30" t="str">
        <x:v>p 7</x:v>
      </x:c>
      <x:c r="C318" s="30" t="str">
        <x:v>• Drinking Water - EPA’s and Mississippi’s Efforts to Assess and Restore Public Drinking Water Supplies after Hurricane Katrina (Report No. 2006-P-00011), February 14, 2006; and EPA’s and Louisiana’s Efforts to Assess and Restore Public Drinking Water Supplies after Hurricane Katrina (Report No. 2006-P-00014), March 7, 2006.</x:v>
      </x:c>
      <x:c r="D318" s="30" t="str">
        <x:v>EPA</x:v>
      </x:c>
      <x:c r="E318" s="30" t="str">
        <x:v>EPA 20060914-2006-p-00033.pdf</x:v>
      </x:c>
      <x:c r="F318" s="40" t="str">
        <x:v>No</x:v>
      </x:c>
      <x:c r="G318" s="40" t="n">
        <x:v>0</x:v>
      </x:c>
      <x:c r="H318" s="40" t="str">
        <x:v>Unlabeled</x:v>
      </x:c>
      <x:c r="I318" s="40"/>
      <x:c r="J318" s="40"/>
      <x:c r="K318" s="30" t="str">
        <x:v>Default No — no retained human paragraph-level label in the curated GPT Test</x:v>
      </x:c>
      <x:c r="L318" s="30"/>
      <x:c r="M318" s="40" t="str">
        <x:v>bullet</x:v>
      </x:c>
      <x:c r="N318" s="40" t="str">
        <x:v>No</x:v>
      </x:c>
      <x:c r="O318" s="30"/>
      <x:c r="P318" s="30" t="str">
        <x:v>7:2</x:v>
      </x:c>
    </x:row>
    <x:row r="319" ht="45" customHeight="1">
      <x:c r="A319" s="30" t="str">
        <x:v>EPA-A011</x:v>
      </x:c>
      <x:c r="B319" s="30" t="str">
        <x:v>p 7</x:v>
      </x:c>
      <x:c r="C319" s="30" t="str">
        <x:v>• Wastewater - EPA Provided Quality and Timely Information Regarding Wastewater after Hurricane Katrina (Report No. 2006-P-00018), March 28, 2006.</x:v>
      </x:c>
      <x:c r="D319" s="30" t="str">
        <x:v>EPA</x:v>
      </x:c>
      <x:c r="E319" s="30" t="str">
        <x:v>EPA 20060914-2006-p-00033.pdf</x:v>
      </x:c>
      <x:c r="F319" s="40" t="str">
        <x:v>No</x:v>
      </x:c>
      <x:c r="G319" s="40" t="n">
        <x:v>0</x:v>
      </x:c>
      <x:c r="H319" s="40" t="str">
        <x:v>Unlabeled</x:v>
      </x:c>
      <x:c r="I319" s="40"/>
      <x:c r="J319" s="40"/>
      <x:c r="K319" s="30" t="str">
        <x:v>Default No — no retained human paragraph-level label in the curated GPT Test</x:v>
      </x:c>
      <x:c r="L319" s="30"/>
      <x:c r="M319" s="40" t="str">
        <x:v>bullet</x:v>
      </x:c>
      <x:c r="N319" s="40" t="str">
        <x:v>No</x:v>
      </x:c>
      <x:c r="O319" s="30"/>
      <x:c r="P319" s="30" t="str">
        <x:v>7:3</x:v>
      </x:c>
    </x:row>
    <x:row r="320" ht="45" customHeight="1">
      <x:c r="A320" s="30" t="str">
        <x:v>EPA-A012</x:v>
      </x:c>
      <x:c r="B320" s="30" t="str">
        <x:v>p 7</x:v>
      </x:c>
      <x:c r="C320" s="30" t="str">
        <x:v>• Hazardous Waste and Debris - EPA Provided Quality and Timely Information on Hurricane Katrina Hazardous Material Releases and Debris Management (Report No. 2006-P-00023), May 2, 2006.</x:v>
      </x:c>
      <x:c r="D320" s="30" t="str">
        <x:v>EPA</x:v>
      </x:c>
      <x:c r="E320" s="30" t="str">
        <x:v>EPA 20060914-2006-p-00033.pdf</x:v>
      </x:c>
      <x:c r="F320" s="40" t="str">
        <x:v>No</x:v>
      </x:c>
      <x:c r="G320" s="40" t="n">
        <x:v>0</x:v>
      </x:c>
      <x:c r="H320" s="40" t="str">
        <x:v>Unlabeled</x:v>
      </x:c>
      <x:c r="I320" s="40"/>
      <x:c r="J320" s="40"/>
      <x:c r="K320" s="30" t="str">
        <x:v>Default No — no retained human paragraph-level label in the curated GPT Test</x:v>
      </x:c>
      <x:c r="L320" s="30"/>
      <x:c r="M320" s="40" t="str">
        <x:v>bullet</x:v>
      </x:c>
      <x:c r="N320" s="40" t="str">
        <x:v>No</x:v>
      </x:c>
      <x:c r="O320" s="30"/>
      <x:c r="P320" s="30" t="str">
        <x:v>7:4</x:v>
      </x:c>
    </x:row>
    <x:row r="321" ht="45" customHeight="1">
      <x:c r="A321" s="30" t="str">
        <x:v>EPA-A013</x:v>
      </x:c>
      <x:c r="B321" s="30" t="str">
        <x:v>p 7</x:v>
      </x:c>
      <x:c r="C321" s="30"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c r="D321" s="30" t="str">
        <x:v>EPA</x:v>
      </x:c>
      <x:c r="E321" s="30" t="str">
        <x:v>EPA 20060914-2006-p-00033.pdf</x:v>
      </x:c>
      <x:c r="F321" s="40" t="str">
        <x:v>No</x:v>
      </x:c>
      <x:c r="G321" s="40" t="n">
        <x:v>0</x:v>
      </x:c>
      <x:c r="H321" s="40" t="str">
        <x:v>Direct human-labeled/adjudicated</x:v>
      </x:c>
      <x:c r="I321" s="40" t="str">
        <x:v>Prerana</x:v>
      </x:c>
      <x:c r="J321" s="40" t="str">
        <x:v>EPA-004</x:v>
      </x:c>
      <x:c r="K321" s="30" t="str">
        <x:v>Retained human/adjudicated label from the curated GPT Test after PyMuPDF source reconciliation. The original excerpt’s label was carried to the source-complete paragraph.</x:v>
      </x:c>
      <x:c r="L321" s="30" t="str">
        <x:v>This passage evaluates whether EPA followed existing emergency-response protocols and previously learned lessons. It does not identify those protocols or their underlying assumptions as inadequate, nor call for their abandonment, replacement, or fundamental revision.</x:v>
      </x:c>
      <x:c r="M321" s="40" t="str">
        <x:v>paragraph</x:v>
      </x:c>
      <x:c r="N321" s="40" t="str">
        <x:v>Yes</x:v>
      </x:c>
      <x:c r="O321" s="30" t="str">
        <x:v>The supplied excerpt and the attached page-7 paragraph share the same evaluation question but have different final wording; verify that this is the intended source paragraph. Approximate source match; verify manually.</x:v>
      </x:c>
      <x:c r="P321" s="30" t="str">
        <x:v>7:5</x:v>
      </x:c>
    </x:row>
    <x:row r="322" ht="45" customHeight="1">
      <x:c r="A322" s="30" t="str">
        <x:v>EPA-A014</x:v>
      </x:c>
      <x:c r="B322" s="30" t="str">
        <x:v>p 7</x:v>
      </x:c>
      <x:c r="C322" s="30" t="str">
        <x:v>To assess whether EPA followed its emergency response protocols in responding to environmental concerns after Hurricane Katrina, we reviewed the NRP, EPA mission assignments, and recommendations related to lessons learned in the EPA OIG’s World Trade Center evaluation report.1 Lessons learned were identified through interviews with EPA, State, and local officials.</x:v>
      </x:c>
      <x:c r="D322" s="30" t="str">
        <x:v>EPA</x:v>
      </x:c>
      <x:c r="E322" s="30" t="str">
        <x:v>EPA 20060914-2006-p-00033.pdf</x:v>
      </x:c>
      <x:c r="F322" s="40" t="str">
        <x:v>No</x:v>
      </x:c>
      <x:c r="G322" s="40" t="n">
        <x:v>0</x:v>
      </x:c>
      <x:c r="H322" s="40" t="str">
        <x:v>Unlabeled</x:v>
      </x:c>
      <x:c r="I322" s="40"/>
      <x:c r="J322" s="40"/>
      <x:c r="K322" s="30" t="str">
        <x:v>Default No — no retained human paragraph-level label in the curated GPT Test</x:v>
      </x:c>
      <x:c r="L322" s="30"/>
      <x:c r="M322" s="40" t="str">
        <x:v>paragraph</x:v>
      </x:c>
      <x:c r="N322" s="40" t="str">
        <x:v>No</x:v>
      </x:c>
      <x:c r="O322" s="30"/>
      <x:c r="P322" s="30" t="str">
        <x:v>7:7</x:v>
      </x:c>
    </x:row>
    <x:row r="323" ht="45" customHeight="1">
      <x:c r="A323" s="30" t="str">
        <x:v>EPA-A015</x:v>
      </x:c>
      <x:c r="B323" s="30" t="str">
        <x:v>pp 7-8</x:v>
      </x:c>
      <x:c r="C323" s="30" t="str">
        <x:v>We compared EPA’s drinking water-related activities in responding to Hurricane Katrina to the roles and responsibilities identified in the NRP and mission assignments, and to the lessons learned from the World Trade Center report response. We interviewed officials from EPA Region 4 (responsible for Mississippi) and Region 6 (responsible for Louisiana); the U.S. Army Corps of Engineers (USACE) in Vicksburg, Mississippi; the Louisiana State Department of Health and Hospitals; the Mississippi State Department of Health; and selected public drinking water systems in Louisiana and Mississippi.</x:v>
      </x:c>
      <x:c r="D323" s="30" t="str">
        <x:v>EPA</x:v>
      </x:c>
      <x:c r="E323" s="30" t="str">
        <x:v>EPA 20060914-2006-p-00033.pdf</x:v>
      </x:c>
      <x:c r="F323" s="40" t="str">
        <x:v>No</x:v>
      </x:c>
      <x:c r="G323" s="40" t="n">
        <x:v>0</x:v>
      </x:c>
      <x:c r="H323" s="40" t="str">
        <x:v>Unlabeled</x:v>
      </x:c>
      <x:c r="I323" s="40"/>
      <x:c r="J323" s="40"/>
      <x:c r="K323" s="30" t="str">
        <x:v>Default No — no retained human paragraph-level label in the curated GPT Test</x:v>
      </x:c>
      <x:c r="L323" s="30"/>
      <x:c r="M323" s="40" t="str">
        <x:v>paragraph</x:v>
      </x:c>
      <x:c r="N323" s="40" t="str">
        <x:v>No</x:v>
      </x:c>
      <x:c r="O323" s="30"/>
      <x:c r="P323" s="30" t="str">
        <x:v>7:8;8:0</x:v>
      </x:c>
    </x:row>
    <x:row r="324" ht="45" customHeight="1">
      <x:c r="A324" s="30" t="str">
        <x:v>EPA-A016</x:v>
      </x:c>
      <x:c r="B324" s="30" t="str">
        <x:v>p 8</x:v>
      </x:c>
      <x:c r="C324" s="30" t="str">
        <x:v>We also reviewed the results of our Wastewater and Hazardous Waste and Debris evaluations for information and observations relevant to the question of whether EPA followed the NRP and addressed lessons learned from the World Trade Center collapse in those responses. Those results were based on interviews with officials from the Louisiana Department of Environmental Quality (LDEQ) and Mississippi Department of Environmental Quality (MDEQ). We visited impacted areas in Louisiana and Mississippi, including wastewater treatment facilities, landfill sites, and a Superfund site.</x:v>
      </x:c>
      <x:c r="D324" s="30" t="str">
        <x:v>EPA</x:v>
      </x:c>
      <x:c r="E324" s="30" t="str">
        <x:v>EPA 20060914-2006-p-00033.pdf</x:v>
      </x:c>
      <x:c r="F324" s="40" t="str">
        <x:v>No</x:v>
      </x:c>
      <x:c r="G324" s="40" t="n">
        <x:v>0</x:v>
      </x:c>
      <x:c r="H324" s="40" t="str">
        <x:v>Unlabeled</x:v>
      </x:c>
      <x:c r="I324" s="40"/>
      <x:c r="J324" s="40"/>
      <x:c r="K324" s="30" t="str">
        <x:v>Default No — no retained human paragraph-level label in the curated GPT Test</x:v>
      </x:c>
      <x:c r="L324" s="30"/>
      <x:c r="M324" s="40" t="str">
        <x:v>paragraph</x:v>
      </x:c>
      <x:c r="N324" s="40" t="str">
        <x:v>No</x:v>
      </x:c>
      <x:c r="O324" s="30"/>
      <x:c r="P324" s="30" t="str">
        <x:v>8:1</x:v>
      </x:c>
    </x:row>
    <x:row r="325" ht="45" customHeight="1">
      <x:c r="A325" s="30" t="str">
        <x:v>EPA-A017</x:v>
      </x:c>
      <x:c r="B325" s="30" t="str">
        <x:v>p 8</x:v>
      </x:c>
      <x:c r="C325" s="30" t="str">
        <x:v>This report does not represent a comprehensive review of potential lessons learned during EPA’s response to Katrina, but is based upon issues brought to our attention during our prior reviews. In addition, only our drinking water evaluation included the objective to review EPA’s compliance with the NRP and lessons learned from the World Trade Center response; thus, our wastewater and hazardous waste and debris management evaluations were not designed to answer that objective.</x:v>
      </x:c>
      <x:c r="D325" s="30" t="str">
        <x:v>EPA</x:v>
      </x:c>
      <x:c r="E325" s="30" t="str">
        <x:v>EPA 20060914-2006-p-00033.pdf</x:v>
      </x:c>
      <x:c r="F325" s="40" t="str">
        <x:v>No</x:v>
      </x:c>
      <x:c r="G325" s="40" t="n">
        <x:v>0</x:v>
      </x:c>
      <x:c r="H325" s="40" t="str">
        <x:v>Unlabeled</x:v>
      </x:c>
      <x:c r="I325" s="40"/>
      <x:c r="J325" s="40"/>
      <x:c r="K325" s="30" t="str">
        <x:v>Default No — no retained human paragraph-level label in the curated GPT Test</x:v>
      </x:c>
      <x:c r="L325" s="30"/>
      <x:c r="M325" s="40" t="str">
        <x:v>paragraph</x:v>
      </x:c>
      <x:c r="N325" s="40" t="str">
        <x:v>No</x:v>
      </x:c>
      <x:c r="O325" s="30"/>
      <x:c r="P325" s="30" t="str">
        <x:v>8:2</x:v>
      </x:c>
    </x:row>
    <x:row r="326" ht="45" customHeight="1">
      <x:c r="A326" s="30" t="str">
        <x:v>EPA-A018</x:v>
      </x:c>
      <x:c r="B326" s="30" t="str">
        <x:v>p 8</x:v>
      </x:c>
      <x:c r="C326" s="30" t="str">
        <x:v>We conducted our field work from October 2005 through March 2006. This evaluation was not conducted in accordance with Government Auditing Standards, issued by the Comptroller General of the United States, but instead was a compilation of evaluations that were generally conducted in accordance with Government Auditing Standards.</x:v>
      </x:c>
      <x:c r="D326" s="30" t="str">
        <x:v>EPA</x:v>
      </x:c>
      <x:c r="E326" s="30" t="str">
        <x:v>EPA 20060914-2006-p-00033.pdf</x:v>
      </x:c>
      <x:c r="F326" s="40" t="str">
        <x:v>No</x:v>
      </x:c>
      <x:c r="G326" s="40" t="n">
        <x:v>0</x:v>
      </x:c>
      <x:c r="H326" s="40" t="str">
        <x:v>Unlabeled</x:v>
      </x:c>
      <x:c r="I326" s="40"/>
      <x:c r="J326" s="40"/>
      <x:c r="K326" s="30" t="str">
        <x:v>Default No — no retained human paragraph-level label in the curated GPT Test</x:v>
      </x:c>
      <x:c r="L326" s="30"/>
      <x:c r="M326" s="40" t="str">
        <x:v>paragraph</x:v>
      </x:c>
      <x:c r="N326" s="40" t="str">
        <x:v>No</x:v>
      </x:c>
      <x:c r="O326" s="30"/>
      <x:c r="P326" s="30" t="str">
        <x:v>8:3</x:v>
      </x:c>
    </x:row>
    <x:row r="327" ht="45" customHeight="1">
      <x:c r="A327" s="30" t="str">
        <x:v>EPA-A019</x:v>
      </x:c>
      <x:c r="B327" s="30" t="str">
        <x:v>p 8</x:v>
      </x:c>
      <x:c r="C327" s="30" t="str">
        <x:v>Our four prior reports on EPA’s response to Katrina discussed examples where EPA’s response was generally successful. For example, EPA drinking water officials and their State, water system, and third party counterparts in Louisiana and Mississippi took extraordinary efforts to ensure that public water service was restored. These systems were cleared from boil water notices only after the States determined the drinking water systems could provide the public with safe drinking water. In our wastewater evaluation report, we noted that EPA provided quality and timely information regarding wastewater to States, wastewater treatment officials, and the general public. Further, in handling hazardous material and debris, we noted that EPA coordinated with State, local, and other Federal government agencies to rapidly identify, prioritize, and assess the nature, magnitude, and impact of hazardous material releases. EPA also provided quality and timely information and actions regarding the management of hazardous and non-hazardous debris and waste.</x:v>
      </x:c>
      <x:c r="D327" s="30" t="str">
        <x:v>EPA</x:v>
      </x:c>
      <x:c r="E327" s="30" t="str">
        <x:v>EPA 20060914-2006-p-00033.pdf</x:v>
      </x:c>
      <x:c r="F327" s="40" t="str">
        <x:v>No</x:v>
      </x:c>
      <x:c r="G327" s="40" t="n">
        <x:v>0</x:v>
      </x:c>
      <x:c r="H327" s="40" t="str">
        <x:v>Unlabeled</x:v>
      </x:c>
      <x:c r="I327" s="40"/>
      <x:c r="J327" s="40"/>
      <x:c r="K327" s="30" t="str">
        <x:v>Default No — no retained human paragraph-level label in the curated GPT Test</x:v>
      </x:c>
      <x:c r="L327" s="30"/>
      <x:c r="M327" s="40" t="str">
        <x:v>paragraph</x:v>
      </x:c>
      <x:c r="N327" s="40" t="str">
        <x:v>No</x:v>
      </x:c>
      <x:c r="O327" s="30"/>
      <x:c r="P327" s="30" t="str">
        <x:v>8:5</x:v>
      </x:c>
    </x:row>
    <x:row r="328" ht="45" customHeight="1">
      <x:c r="A328" s="30" t="str">
        <x:v>EPA-A020</x:v>
      </x:c>
      <x:c r="B328" s="30" t="str">
        <x:v>pp 8-9</x:v>
      </x:c>
      <x:c r="C328" s="30" t="str">
        <x:v>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D328" s="30" t="str">
        <x:v>EPA</x:v>
      </x:c>
      <x:c r="E328" s="30" t="str">
        <x:v>EPA 20060914-2006-p-00033.pdf</x:v>
      </x:c>
      <x:c r="F328" s="40" t="str">
        <x:v>No</x:v>
      </x:c>
      <x:c r="G328" s="40" t="n">
        <x:v>0</x:v>
      </x:c>
      <x:c r="H328" s="40" t="str">
        <x:v>Direct human-labeled/adjudicated</x:v>
      </x:c>
      <x:c r="I328" s="40" t="str">
        <x:v>Prerana</x:v>
      </x:c>
      <x:c r="J328" s="40" t="str">
        <x:v>EPA-009</x:v>
      </x:c>
      <x:c r="K328" s="30" t="str">
        <x:v>Retained human/adjudicated label from the curated GPT Test after PyMuPDF source reconciliation. The original excerpt’s label was carried to the source-complete paragraph.</x:v>
      </x:c>
      <x:c r="L328" s="30" t="str">
        <x:v>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x:v>
      </x:c>
      <x:c r="M328" s="40" t="str">
        <x:v>paragraph</x:v>
      </x:c>
      <x:c r="N328" s="40" t="str">
        <x:v>No</x:v>
      </x:c>
      <x:c r="O328" s="30"/>
      <x:c r="P328" s="30" t="str">
        <x:v>8:6;9:0</x:v>
      </x:c>
    </x:row>
    <x:row r="329" ht="45" customHeight="1">
      <x:c r="A329" s="30" t="str">
        <x:v>EPA-A021</x:v>
      </x:c>
      <x:c r="B329" s="30" t="str">
        <x:v>p 9</x:v>
      </x:c>
      <x:c r="C329" s="30" t="str">
        <x:v>EPA followed its emergency response protocols, as delineated in the NRP, to address drinking water concerns. Further, many of the concerns raised in EPA’s response to the collapse of the World Trade Center towers did not become significant issues in responding to Katrina. In some respects this can be attributed to the fact that EPA and States have experience in responding to hurricanes and have addressed lessons learned from those prior hurricanes. In our opinion, the importance placed on the lessons learned from the collapse of the World Trade Center towers by the EPA Administrator also helped EPA respond successfully to Hurricane Katrina. Key lessons learned from the World Trade Center response and how EPA’s actions in responding to Katrina correspond with those lessons learned are described in Appendix A.</x:v>
      </x:c>
      <x:c r="D329" s="30" t="str">
        <x:v>EPA</x:v>
      </x:c>
      <x:c r="E329" s="30" t="str">
        <x:v>EPA 20060914-2006-p-00033.pdf</x:v>
      </x:c>
      <x:c r="F329" s="40" t="str">
        <x:v>No</x:v>
      </x:c>
      <x:c r="G329" s="40" t="n">
        <x:v>0</x:v>
      </x:c>
      <x:c r="H329" s="40" t="str">
        <x:v>Unlabeled</x:v>
      </x:c>
      <x:c r="I329" s="40"/>
      <x:c r="J329" s="40"/>
      <x:c r="K329" s="30" t="str">
        <x:v>Default No — no retained human paragraph-level label in the curated GPT Test</x:v>
      </x:c>
      <x:c r="L329" s="30"/>
      <x:c r="M329" s="40" t="str">
        <x:v>paragraph</x:v>
      </x:c>
      <x:c r="N329" s="40" t="str">
        <x:v>No</x:v>
      </x:c>
      <x:c r="O329" s="30"/>
      <x:c r="P329" s="30" t="str">
        <x:v>9:1</x:v>
      </x:c>
    </x:row>
    <x:row r="330" ht="45" customHeight="1">
      <x:c r="A330" s="30" t="str">
        <x:v>EPA-A022</x:v>
      </x:c>
      <x:c r="B330" s="30" t="str">
        <x:v>p 9</x:v>
      </x:c>
      <x:c r="C330" s="30" t="str">
        <x:v>While EPA’s response after Hurricane Katrina was generally successful, lessons were learned during this response indicating where actions could be taken to improve future response operations. We identified three such issues during our evaluation.</x:v>
      </x:c>
      <x:c r="D330" s="30" t="str">
        <x:v>EPA</x:v>
      </x:c>
      <x:c r="E330" s="30" t="str">
        <x:v>EPA 20060914-2006-p-00033.pdf</x:v>
      </x:c>
      <x:c r="F330" s="40" t="str">
        <x:v>No</x:v>
      </x:c>
      <x:c r="G330" s="40" t="n">
        <x:v>0</x:v>
      </x:c>
      <x:c r="H330" s="40" t="str">
        <x:v>Unlabeled</x:v>
      </x:c>
      <x:c r="I330" s="40"/>
      <x:c r="J330" s="40"/>
      <x:c r="K330" s="30" t="str">
        <x:v>Default No — no retained human paragraph-level label in the curated GPT Test</x:v>
      </x:c>
      <x:c r="L330" s="30"/>
      <x:c r="M330" s="40" t="str">
        <x:v>paragraph</x:v>
      </x:c>
      <x:c r="N330" s="40" t="str">
        <x:v>No</x:v>
      </x:c>
      <x:c r="O330" s="30"/>
      <x:c r="P330" s="30" t="str">
        <x:v>9:2</x:v>
      </x:c>
    </x:row>
    <x:row r="331" ht="45" customHeight="1">
      <x:c r="A331" s="30" t="str">
        <x:v>EPA-A023</x:v>
      </x:c>
      <x:c r="B331" s="30" t="str">
        <x:v>p 9</x:v>
      </x:c>
      <x:c r="C331" s="30" t="str">
        <x:v>• Coordination within EPA, as well as EPA’s coordination with State and local officials and the USACE, could have been better. In some instances, coordination problems resulted in duplicative work being completed by EPA and Louisiana officials.</x:v>
      </x:c>
      <x:c r="D331" s="30" t="str">
        <x:v>EPA</x:v>
      </x:c>
      <x:c r="E331" s="30" t="str">
        <x:v>EPA 20060914-2006-p-00033.pdf</x:v>
      </x:c>
      <x:c r="F331" s="40" t="str">
        <x:v>No</x:v>
      </x:c>
      <x:c r="G331" s="40" t="n">
        <x:v>0</x:v>
      </x:c>
      <x:c r="H331" s="40" t="str">
        <x:v>Direct human-labeled/adjudicated</x:v>
      </x:c>
      <x:c r="I331" s="40" t="str">
        <x:v>Prerana</x:v>
      </x:c>
      <x:c r="J331" s="40" t="str">
        <x:v>EPA-010</x:v>
      </x:c>
      <x:c r="K331" s="30" t="str">
        <x:v>Retained human/adjudicated label from the curated GPT Test after PyMuPDF source reconciliation.</x:v>
      </x:c>
      <x:c r="L331" s="30" t="str">
        <x:v>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x:v>
      </x:c>
      <x:c r="M331" s="40" t="str">
        <x:v>bullet</x:v>
      </x:c>
      <x:c r="N331" s="40" t="str">
        <x:v>No</x:v>
      </x:c>
      <x:c r="O331" s="30"/>
      <x:c r="P331" s="30" t="str">
        <x:v>9:3;9:4</x:v>
      </x:c>
    </x:row>
    <x:row r="332" ht="45" customHeight="1">
      <x:c r="A332" s="30" t="str">
        <x:v>EPA-A024</x:v>
      </x:c>
      <x:c r="B332" s="30" t="str">
        <x:v>p 9</x:v>
      </x:c>
      <x:c r="C332" s="30"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x:v>
      </x:c>
      <x:c r="D332" s="30" t="str">
        <x:v>EPA</x:v>
      </x:c>
      <x:c r="E332" s="30" t="str">
        <x:v>EPA 20060914-2006-p-00033.pdf</x:v>
      </x:c>
      <x:c r="F332" s="40" t="str">
        <x:v>No</x:v>
      </x:c>
      <x:c r="G332" s="40" t="n">
        <x:v>0</x:v>
      </x:c>
      <x:c r="H332" s="40" t="str">
        <x:v>Direct human-labeled/adjudicated</x:v>
      </x:c>
      <x:c r="I332" s="40" t="str">
        <x:v>Prerana</x:v>
      </x:c>
      <x:c r="J332" s="40" t="str">
        <x:v>EPA-011</x:v>
      </x:c>
      <x:c r="K332" s="30" t="str">
        <x:v>Retained human/adjudicated label from the curated GPT Test after PyMuPDF source reconciliation. The original excerpt’s label was carried to the source-complete paragraph.</x:v>
      </x:c>
      <x:c r="L332" s="30" t="str">
        <x:v>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x:v>
      </x:c>
      <x:c r="M332" s="40" t="str">
        <x:v>bullet</x:v>
      </x:c>
      <x:c r="N332" s="40" t="str">
        <x:v>No</x:v>
      </x:c>
      <x:c r="O332" s="30"/>
      <x:c r="P332" s="30" t="str">
        <x:v>9:5;9:6</x:v>
      </x:c>
    </x:row>
    <x:row r="333" ht="45" customHeight="1">
      <x:c r="A333" s="30" t="str">
        <x:v>EPA-A025</x:v>
      </x:c>
      <x:c r="B333" s="30" t="str">
        <x:v>p 9</x:v>
      </x:c>
      <x:c r="C333" s="30" t="str">
        <x:v>• Louisiana officials experienced problems in querying data and in verifying the quality of data in EPA’s database used to collect floodwater results. EPA Region 6 officials said that they have provided training and a Users Guide to State officials in order to correct this problem.</x:v>
      </x:c>
      <x:c r="D333" s="30" t="str">
        <x:v>EPA</x:v>
      </x:c>
      <x:c r="E333" s="30" t="str">
        <x:v>EPA 20060914-2006-p-00033.pdf</x:v>
      </x:c>
      <x:c r="F333" s="40" t="str">
        <x:v>No</x:v>
      </x:c>
      <x:c r="G333" s="40" t="n">
        <x:v>0</x:v>
      </x:c>
      <x:c r="H333" s="40" t="str">
        <x:v>Unlabeled</x:v>
      </x:c>
      <x:c r="I333" s="40"/>
      <x:c r="J333" s="40"/>
      <x:c r="K333" s="30" t="str">
        <x:v>Default No — no retained human paragraph-level label in the curated GPT Test</x:v>
      </x:c>
      <x:c r="L333" s="30"/>
      <x:c r="M333" s="40" t="str">
        <x:v>bullet</x:v>
      </x:c>
      <x:c r="N333" s="40" t="str">
        <x:v>No</x:v>
      </x:c>
      <x:c r="O333" s="30"/>
      <x:c r="P333" s="30" t="str">
        <x:v>9:7;9:8</x:v>
      </x:c>
    </x:row>
    <x:row r="334" ht="45" customHeight="1">
      <x:c r="A334" s="30" t="str">
        <x:v>EPA-A026</x:v>
      </x:c>
      <x:c r="B334" s="30" t="str">
        <x:v>p 9</x:v>
      </x:c>
      <x:c r="C334" s="30" t="str">
        <x:v>The following sections discuss in detail these three issues and EPA’s efforts to address them.</x:v>
      </x:c>
      <x:c r="D334" s="30" t="str">
        <x:v>EPA</x:v>
      </x:c>
      <x:c r="E334" s="30" t="str">
        <x:v>EPA 20060914-2006-p-00033.pdf</x:v>
      </x:c>
      <x:c r="F334" s="40" t="str">
        <x:v>No</x:v>
      </x:c>
      <x:c r="G334" s="40" t="n">
        <x:v>0</x:v>
      </x:c>
      <x:c r="H334" s="40" t="str">
        <x:v>Unlabeled</x:v>
      </x:c>
      <x:c r="I334" s="40"/>
      <x:c r="J334" s="40"/>
      <x:c r="K334" s="30" t="str">
        <x:v>Default No — no retained human paragraph-level label in the curated GPT Test</x:v>
      </x:c>
      <x:c r="L334" s="30"/>
      <x:c r="M334" s="40" t="str">
        <x:v>paragraph</x:v>
      </x:c>
      <x:c r="N334" s="40" t="str">
        <x:v>No</x:v>
      </x:c>
      <x:c r="O334" s="30"/>
      <x:c r="P334" s="30" t="str">
        <x:v>9:9</x:v>
      </x:c>
    </x:row>
    <x:row r="335" ht="45" customHeight="1">
      <x:c r="A335" s="30" t="str">
        <x:v>EPA-A027</x:v>
      </x:c>
      <x:c r="B335" s="30" t="str">
        <x:v>p 9</x:v>
      </x:c>
      <x:c r="C335" s="30" t="str">
        <x:v>EPA officials told us that, in some instances, coordination could be improved for future disaster responses. Areas where coordination could be improved occurred with respect to both the drinking water and wastewater responses.</x:v>
      </x:c>
      <x:c r="D335" s="30" t="str">
        <x:v>EPA</x:v>
      </x:c>
      <x:c r="E335" s="30" t="str">
        <x:v>EPA 20060914-2006-p-00033.pdf</x:v>
      </x:c>
      <x:c r="F335" s="40" t="str">
        <x:v>No</x:v>
      </x:c>
      <x:c r="G335" s="40" t="n">
        <x:v>0</x:v>
      </x:c>
      <x:c r="H335" s="40" t="str">
        <x:v>Derived from human-labeled parent span</x:v>
      </x:c>
      <x:c r="I335" s="40" t="str">
        <x:v>Anmol, Prerana, Kyle</x:v>
      </x:c>
      <x:c r="J335" s="40" t="str">
        <x:v>EPA-005</x:v>
      </x:c>
      <x:c r="K335" s="30" t="str">
        <x:v>Paragraph-level label derived from the retained parent-span label and rationale using the revised paragraph-level codebook.</x:v>
      </x:c>
      <x:c r="L335" s="30" t="str">
        <x:v>The paragraph says coordination could be improved, but it only identifies a broad problem area and does not call for discarding or replacing a prior practice.</x:v>
      </x:c>
      <x:c r="M335" s="40" t="str">
        <x:v>paragraph</x:v>
      </x:c>
      <x:c r="N335" s="40" t="str">
        <x:v>Yes</x:v>
      </x:c>
      <x:c r="O335" s="30" t="str">
        <x:v>Paragraph-level No was derived from a human-labeled multi-paragraph parent span; confirm during team adjudication.</x:v>
      </x:c>
      <x:c r="P335" s="30" t="str">
        <x:v>9:11</x:v>
      </x:c>
    </x:row>
    <x:row r="336" ht="45" customHeight="1">
      <x:c r="A336" s="30" t="str">
        <x:v>EPA-A028</x:v>
      </x:c>
      <x:c r="B336" s="30" t="str">
        <x:v>p 9</x:v>
      </x:c>
      <x:c r="C336" s="30" t="str">
        <x:v>EPA regional officials and USACE district officials informed us of coordination problems between the EPA and USACE at the beginning of the response.</x:v>
      </x:c>
      <x:c r="D336" s="30" t="str">
        <x:v>EPA</x:v>
      </x:c>
      <x:c r="E336" s="30" t="str">
        <x:v>EPA 20060914-2006-p-00033.pdf</x:v>
      </x:c>
      <x:c r="F336" s="40" t="str">
        <x:v>No</x:v>
      </x:c>
      <x:c r="G336" s="40" t="n">
        <x:v>0</x:v>
      </x:c>
      <x:c r="H336" s="40" t="str">
        <x:v>Derived from human-labeled parent span</x:v>
      </x:c>
      <x:c r="I336" s="40" t="str">
        <x:v>Anmol, Prerana, Kyle</x:v>
      </x:c>
      <x:c r="J336" s="40" t="str">
        <x:v>EPA-006</x:v>
      </x:c>
      <x:c r="K336" s="30" t="str">
        <x:v>Paragraph-level label derived from the retained parent-span label and rationale using the revised paragraph-level codebook.</x:v>
      </x:c>
      <x:c r="L336" s="30" t="str">
        <x:v>The paragraph reports coordination problems at the beginning of the response but does not state a replacement practice.</x:v>
      </x:c>
      <x:c r="M336" s="40" t="str">
        <x:v>paragraph</x:v>
      </x:c>
      <x:c r="N336" s="40" t="str">
        <x:v>Yes</x:v>
      </x:c>
      <x:c r="O336" s="30" t="str">
        <x:v>Paragraph-level No was derived from a human-labeled multi-paragraph parent span; confirm during team adjudication.</x:v>
      </x:c>
      <x:c r="P336" s="30" t="str">
        <x:v>9:13</x:v>
      </x:c>
    </x:row>
    <x:row r="337" ht="45" customHeight="1">
      <x:c r="A337" s="30" t="str">
        <x:v>EPA-A029</x:v>
      </x:c>
      <x:c r="B337" s="30" t="str">
        <x:v>p 10</x:v>
      </x:c>
      <x:c r="C337" s="30" t="str">
        <x:v>USACE has lead responsibility for administering the NRP’s Emergency Support Function (ESF)-3. This ESF provides Federal support to address public works and infrastructure damage, including public drinking water systems, in an emergency. EPA has a support role under this ESF.</x:v>
      </x:c>
      <x:c r="D337" s="30" t="str">
        <x:v>EPA</x:v>
      </x:c>
      <x:c r="E337" s="30" t="str">
        <x:v>EPA 20060914-2006-p-00033.pdf</x:v>
      </x:c>
      <x:c r="F337" s="40" t="str">
        <x:v>No</x:v>
      </x:c>
      <x:c r="G337" s="40" t="n">
        <x:v>0</x:v>
      </x:c>
      <x:c r="H337" s="40" t="str">
        <x:v>Derived from human-labeled parent span</x:v>
      </x:c>
      <x:c r="I337" s="40" t="str">
        <x:v>Anmol, Prerana, Kyle</x:v>
      </x:c>
      <x:c r="J337" s="40" t="str">
        <x:v>EPA-007</x:v>
      </x:c>
      <x:c r="K337" s="30" t="str">
        <x:v>Paragraph-level label derived from the retained parent-span label and rationale using the revised paragraph-level codebook.</x:v>
      </x:c>
      <x:c r="L337" s="30" t="str">
        <x:v>The paragraph describes the existing ESF-3 division of responsibilities and contains no rejection or replacement of that arrangement.</x:v>
      </x:c>
      <x:c r="M337" s="40" t="str">
        <x:v>paragraph</x:v>
      </x:c>
      <x:c r="N337" s="40" t="str">
        <x:v>Yes</x:v>
      </x:c>
      <x:c r="O337" s="30" t="str">
        <x:v>Paragraph-level No was derived from a human-labeled multi-paragraph parent span; confirm during team adjudication.</x:v>
      </x:c>
      <x:c r="P337" s="30" t="str">
        <x:v>10:0</x:v>
      </x:c>
    </x:row>
    <x:row r="338" ht="45" customHeight="1">
      <x:c r="A338" s="30" t="str">
        <x:v>EPA-A030</x:v>
      </x:c>
      <x:c r="B338" s="30" t="str">
        <x:v>p 10</x:v>
      </x:c>
      <x:c r="C338" s="30"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D338" s="30" t="str">
        <x:v>EPA</x:v>
      </x:c>
      <x:c r="E338" s="30" t="str">
        <x:v>EPA 20060914-2006-p-00033.pdf</x:v>
      </x:c>
      <x:c r="F338" s="40" t="str">
        <x:v>No</x:v>
      </x:c>
      <x:c r="G338" s="40" t="n">
        <x:v>0</x:v>
      </x:c>
      <x:c r="H338" s="40" t="str">
        <x:v>Derived from human-labeled parent span</x:v>
      </x:c>
      <x:c r="I338" s="40" t="str">
        <x:v>Anmol, Prerana, Kyle</x:v>
      </x:c>
      <x:c r="J338" s="40" t="str">
        <x:v>EPA-008</x:v>
      </x:c>
      <x:c r="K338" s="30" t="str">
        <x:v>Paragraph-level label derived from the retained parent-span label and rationale using the revised paragraph-level codebook.</x:v>
      </x:c>
      <x:c r="L338" s="30" t="str">
        <x:v>The paragraph diagnoses limited mutual understanding and awareness of EPA expertise, but it does not itself call for a fundamental replacement of a policy or practice.</x:v>
      </x:c>
      <x:c r="M338" s="40" t="str">
        <x:v>paragraph</x:v>
      </x:c>
      <x:c r="N338" s="40" t="str">
        <x:v>Yes</x:v>
      </x:c>
      <x:c r="O338" s="30" t="str">
        <x:v>Paragraph-level No was derived from a human-labeled multi-paragraph parent span; confirm during team adjudication.</x:v>
      </x:c>
      <x:c r="P338" s="30" t="str">
        <x:v>10:1</x:v>
      </x:c>
    </x:row>
    <x:row r="339" ht="45" customHeight="1">
      <x:c r="A339" s="30" t="str">
        <x:v>EPA-A031</x:v>
      </x:c>
      <x:c r="B339" s="30" t="str">
        <x:v>p 10</x:v>
      </x:c>
      <x:c r="C339" s="30" t="str">
        <x:v>A USACE district official confirmed that his organization was not fully aware of EPA’s expertise and experience with drinking water systems prior to Hurricane Katrina. This person indicated the need for more interaction between USACE and EPA before the next emergency was a lesson learned. According to EPA Region 4, prior experience with hurricanes improves coordination. For example, Region 4 officials noted the region had established a good working relationship with the USACE district responsible for hurricane response activities in Florida, and that the Florida USACE district is fully aware of EPA’s regional capabilities for assisting in drinking water system recovery.</x:v>
      </x:c>
      <x:c r="D339" s="30" t="str">
        <x:v>EPA</x:v>
      </x:c>
      <x:c r="E339" s="30" t="str">
        <x:v>EPA 20060914-2006-p-00033.pdf</x:v>
      </x:c>
      <x:c r="F339" s="40" t="str">
        <x:v>No</x:v>
      </x:c>
      <x:c r="G339" s="40" t="n">
        <x:v>0</x:v>
      </x:c>
      <x:c r="H339" s="40" t="str">
        <x:v>Unlabeled</x:v>
      </x:c>
      <x:c r="I339" s="40"/>
      <x:c r="J339" s="40"/>
      <x:c r="K339" s="30" t="str">
        <x:v>Default No — no retained human paragraph-level label in the curated GPT Test</x:v>
      </x:c>
      <x:c r="L339" s="30"/>
      <x:c r="M339" s="40" t="str">
        <x:v>paragraph</x:v>
      </x:c>
      <x:c r="N339" s="40" t="str">
        <x:v>No</x:v>
      </x:c>
      <x:c r="O339" s="30"/>
      <x:c r="P339" s="30" t="str">
        <x:v>10:2</x:v>
      </x:c>
    </x:row>
    <x:row r="340" ht="45" customHeight="1">
      <x:c r="A340" s="30" t="str">
        <x:v>EPA-A032</x:v>
      </x:c>
      <x:c r="B340" s="30" t="str">
        <x:v>p 10</x:v>
      </x:c>
      <x:c r="C340" s="30"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D340" s="30" t="str">
        <x:v>EPA</x:v>
      </x:c>
      <x:c r="E340" s="30" t="str">
        <x:v>EPA 20060914-2006-p-00033.pdf</x:v>
      </x:c>
      <x:c r="F340" s="40" t="str">
        <x:v>No</x:v>
      </x:c>
      <x:c r="G340" s="40" t="n">
        <x:v>0</x:v>
      </x:c>
      <x:c r="H340" s="40" t="str">
        <x:v>Direct human-labeled/adjudicated</x:v>
      </x:c>
      <x:c r="I340" s="40" t="str">
        <x:v>Prerana</x:v>
      </x:c>
      <x:c r="J340" s="40" t="str">
        <x:v>EPA-012</x:v>
      </x:c>
      <x:c r="K340" s="30" t="str">
        <x:v>Retained human/adjudicated label from the curated GPT Test after PyMuPDF source reconciliation.</x:v>
      </x:c>
      <x:c r="L340" s="30" t="str">
        <x:v>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x:v>
      </x:c>
      <x:c r="M340" s="40" t="str">
        <x:v>paragraph</x:v>
      </x:c>
      <x:c r="N340" s="40" t="str">
        <x:v>No</x:v>
      </x:c>
      <x:c r="O340" s="30"/>
      <x:c r="P340" s="30" t="str">
        <x:v>10:3</x:v>
      </x:c>
    </x:row>
    <x:row r="341" ht="45" customHeight="1">
      <x:c r="A341" s="30" t="str">
        <x:v>EPA-A033</x:v>
      </x:c>
      <x:c r="B341" s="30" t="str">
        <x:v>p 10</x:v>
      </x:c>
      <x:c r="C341" s="30" t="str">
        <x:v>With respect to improving coordination with USACE, Region 6 told us that it plans to conduct a series of interagency planning meetings to establish coordination protocols under a Memorandum of Understanding with USACE. Similar efforts are also planned with the Federal Emergency Management Agency. In an effort to prepare for future events of national significance, Region 6 noted that there will be additional training for EPA Region 6 and State staff on the Incident Command System, the NRP, and ESF support functions. The February 2006 White House report, The Federal Response to Hurricane Katrina: Lessons Learned, also addressed this coordination issue, and recommends that agencies:</x:v>
      </x:c>
      <x:c r="D341" s="30" t="str">
        <x:v>EPA</x:v>
      </x:c>
      <x:c r="E341" s="30" t="str">
        <x:v>EPA 20060914-2006-p-00033.pdf</x:v>
      </x:c>
      <x:c r="F341" s="40" t="str">
        <x:v>No</x:v>
      </x:c>
      <x:c r="G341" s="40" t="n">
        <x:v>0</x:v>
      </x:c>
      <x:c r="H341" s="40" t="str">
        <x:v>Unlabeled</x:v>
      </x:c>
      <x:c r="I341" s="40"/>
      <x:c r="J341" s="40"/>
      <x:c r="K341" s="30" t="str">
        <x:v>Default No — no retained human paragraph-level label in the curated GPT Test</x:v>
      </x:c>
      <x:c r="L341" s="30"/>
      <x:c r="M341" s="40" t="str">
        <x:v>paragraph</x:v>
      </x:c>
      <x:c r="N341" s="40" t="str">
        <x:v>No</x:v>
      </x:c>
      <x:c r="O341" s="30"/>
      <x:c r="P341" s="30" t="str">
        <x:v>10:4</x:v>
      </x:c>
    </x:row>
    <x:row r="342" ht="45" customHeight="1">
      <x:c r="A342" s="30" t="str">
        <x:v>EPA-A034</x:v>
      </x:c>
      <x:c r="B342" s="30" t="str">
        <x:v>pp 10-11</x:v>
      </x:c>
      <x:c r="C342" s="30" t="str">
        <x:v>...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D342" s="30" t="str">
        <x:v>EPA</x:v>
      </x:c>
      <x:c r="E342" s="30" t="str">
        <x:v>EPA 20060914-2006-p-00033.pdf</x:v>
      </x:c>
      <x:c r="F342" s="40" t="str">
        <x:v>No</x:v>
      </x:c>
      <x:c r="G342" s="40" t="n">
        <x:v>0</x:v>
      </x:c>
      <x:c r="H342" s="40" t="str">
        <x:v>Direct human-labeled/adjudicated</x:v>
      </x:c>
      <x:c r="I342" s="40" t="str">
        <x:v>Anmol, Prerana</x:v>
      </x:c>
      <x:c r="J342" s="40" t="str">
        <x:v>EPA-016</x:v>
      </x:c>
      <x:c r="K342" s="30" t="str">
        <x:v>Retained human/adjudicated label from the curated GPT Test after PyMuPDF source reconciliation. The original excerpt’s label was carried to the source-complete paragraph.</x:v>
      </x:c>
      <x:c r="L342" s="30" t="str">
        <x:v>This is not unlearning. It doesn't identify a problem area or show a departure from past practice. It is an additive change.</x:v>
      </x:c>
      <x:c r="M342" s="40" t="str">
        <x:v>paragraph</x:v>
      </x:c>
      <x:c r="N342" s="40" t="str">
        <x:v>No</x:v>
      </x:c>
      <x:c r="O342" s="30"/>
      <x:c r="P342" s="30" t="str">
        <x:v>10:5;11:0</x:v>
      </x:c>
    </x:row>
    <x:row r="343" ht="45" customHeight="1">
      <x:c r="A343" s="30" t="str">
        <x:v>EPA-A035</x:v>
      </x:c>
      <x:c r="B343" s="30" t="str">
        <x:v>p 11</x:v>
      </x:c>
      <x:c r="C343" s="30"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D343" s="30" t="str">
        <x:v>EPA</x:v>
      </x:c>
      <x:c r="E343" s="30" t="str">
        <x:v>EPA 20060914-2006-p-00033.pdf</x:v>
      </x:c>
      <x:c r="F343" s="40" t="str">
        <x:v>No</x:v>
      </x:c>
      <x:c r="G343" s="40" t="n">
        <x:v>0</x:v>
      </x:c>
      <x:c r="H343" s="40" t="str">
        <x:v>Direct human-labeled/adjudicated</x:v>
      </x:c>
      <x:c r="I343" s="40" t="str">
        <x:v>Prerana</x:v>
      </x:c>
      <x:c r="J343" s="40" t="str">
        <x:v>EPA-014</x:v>
      </x:c>
      <x:c r="K343" s="30" t="str">
        <x:v>Retained human/adjudicated label from the curated GPT Test after PyMuPDF source reconciliation.</x:v>
      </x:c>
      <x:c r="L343" s="30" t="str">
        <x:v>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x:v>
      </x:c>
      <x:c r="M343" s="40" t="str">
        <x:v>paragraph</x:v>
      </x:c>
      <x:c r="N343" s="40" t="str">
        <x:v>No</x:v>
      </x:c>
      <x:c r="O343" s="30"/>
      <x:c r="P343" s="30" t="str">
        <x:v>11:1</x:v>
      </x:c>
    </x:row>
    <x:row r="344" ht="45" customHeight="1">
      <x:c r="A344" s="30" t="str">
        <x:v>EPA-A036</x:v>
      </x:c>
      <x:c r="B344" s="30" t="str">
        <x:v>p 11</x:v>
      </x:c>
      <x:c r="C344" s="30"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D344" s="30" t="str">
        <x:v>EPA</x:v>
      </x:c>
      <x:c r="E344" s="30" t="str">
        <x:v>EPA 20060914-2006-p-00033.pdf</x:v>
      </x:c>
      <x:c r="F344" s="40" t="str">
        <x:v>No</x:v>
      </x:c>
      <x:c r="G344" s="40" t="n">
        <x:v>0</x:v>
      </x:c>
      <x:c r="H344" s="40" t="str">
        <x:v>Direct human-labeled/adjudicated</x:v>
      </x:c>
      <x:c r="I344" s="40" t="str">
        <x:v>Anmol</x:v>
      </x:c>
      <x:c r="J344" s="40" t="str">
        <x:v>EPA-013</x:v>
      </x:c>
      <x:c r="K344" s="30" t="str">
        <x:v>Retained human/adjudicated label from the curated GPT Test after PyMuPDF source reconciliation.</x:v>
      </x:c>
      <x:c r="L344" s="30" t="str">
        <x:v>I wouldn't classify this as unlearning. It identifies coordination and dialogue as a problem, however doesnt call for discarding anything. It also doesnt make a case for any fundamental shift.</x:v>
      </x:c>
      <x:c r="M344" s="40" t="str">
        <x:v>paragraph</x:v>
      </x:c>
      <x:c r="N344" s="40" t="str">
        <x:v>No</x:v>
      </x:c>
      <x:c r="O344" s="30"/>
      <x:c r="P344" s="30" t="str">
        <x:v>11:3</x:v>
      </x:c>
    </x:row>
    <x:row r="345" ht="45" customHeight="1">
      <x:c r="A345" s="30" t="str">
        <x:v>EPA-A037</x:v>
      </x:c>
      <x:c r="B345" s="30" t="str">
        <x:v>p 11</x:v>
      </x:c>
      <x:c r="C345" s="30"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D345" s="30" t="str">
        <x:v>EPA</x:v>
      </x:c>
      <x:c r="E345" s="30" t="str">
        <x:v>EPA 20060914-2006-p-00033.pdf</x:v>
      </x:c>
      <x:c r="F345" s="40" t="str">
        <x:v>No</x:v>
      </x:c>
      <x:c r="G345" s="40" t="n">
        <x:v>0</x:v>
      </x:c>
      <x:c r="H345" s="40" t="str">
        <x:v>Direct human-labeled/adjudicated</x:v>
      </x:c>
      <x:c r="I345" s="40" t="str">
        <x:v>Prerana, Kyle</x:v>
      </x:c>
      <x:c r="J345" s="40" t="str">
        <x:v>EPA-015</x:v>
      </x:c>
      <x:c r="K345" s="30" t="str">
        <x:v>Retained human/adjudicated label from the curated GPT Test after PyMuPDF source reconciliation. The original excerpt’s label was carried to the source-complete paragraph.</x:v>
      </x:c>
      <x:c r="L345" s="30" t="str">
        <x:v>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x:v>
      </x:c>
      <x:c r="M345" s="40" t="str">
        <x:v>paragraph</x:v>
      </x:c>
      <x:c r="N345" s="40" t="str">
        <x:v>No</x:v>
      </x:c>
      <x:c r="O345" s="30"/>
      <x:c r="P345" s="30" t="str">
        <x:v>11:4</x:v>
      </x:c>
    </x:row>
    <x:row r="346" ht="45" customHeight="1">
      <x:c r="A346" s="30" t="str">
        <x:v>EPA-A038</x:v>
      </x:c>
      <x:c r="B346" s="30" t="str">
        <x:v>p 12</x:v>
      </x:c>
      <x:c r="C346" s="30"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x:v>
      </x:c>
      <x:c r="D346" s="30" t="str">
        <x:v>EPA</x:v>
      </x:c>
      <x:c r="E346" s="30" t="str">
        <x:v>EPA 20060914-2006-p-00033.pdf</x:v>
      </x:c>
      <x:c r="F346" s="40" t="str">
        <x:v>No</x:v>
      </x:c>
      <x:c r="G346" s="40" t="n">
        <x:v>0</x:v>
      </x:c>
      <x:c r="H346" s="40" t="str">
        <x:v>Derived from human-labeled parent span</x:v>
      </x:c>
      <x:c r="I346" s="40" t="str">
        <x:v>Anmol</x:v>
      </x:c>
      <x:c r="J346" s="40" t="str">
        <x:v>EPA-017</x:v>
      </x:c>
      <x:c r="K346" s="30" t="str">
        <x:v>Paragraph-level label derived from the retained parent-span label and rationale using the revised paragraph-level codebook.</x:v>
      </x:c>
      <x:c r="L346" s="30" t="str">
        <x:v>The paragraph documents generator-delivery failures and a master-list workaround, but it does not reject or fundamentally replace an existing practice.</x:v>
      </x:c>
      <x:c r="M346" s="40" t="str">
        <x:v>paragraph</x:v>
      </x:c>
      <x:c r="N346" s="40" t="str">
        <x:v>Yes</x:v>
      </x:c>
      <x:c r="O346" s="30" t="str">
        <x:v>Paragraph-level No was derived from the human-labeled multi-paragraph parent span; confirm during team adjudication.</x:v>
      </x:c>
      <x:c r="P346" s="30" t="str">
        <x:v>12:0</x:v>
      </x:c>
    </x:row>
    <x:row r="347" ht="45" customHeight="1">
      <x:c r="A347" s="30" t="str">
        <x:v>EPA-A039</x:v>
      </x:c>
      <x:c r="B347" s="30" t="str">
        <x:v>p 12</x:v>
      </x:c>
      <x:c r="C347" s="30" t="str">
        <x:v>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D347" s="30" t="str">
        <x:v>EPA</x:v>
      </x:c>
      <x:c r="E347" s="30" t="str">
        <x:v>EPA 20060914-2006-p-00033.pdf</x:v>
      </x:c>
      <x:c r="F347" s="40" t="str">
        <x:v>Yes</x:v>
      </x:c>
      <x:c r="G347" s="40" t="n">
        <x:v>1</x:v>
      </x:c>
      <x:c r="H347" s="40" t="str">
        <x:v>Derived from human-labeled parent span</x:v>
      </x:c>
      <x:c r="I347" s="40" t="str">
        <x:v>Anmol</x:v>
      </x:c>
      <x:c r="J347" s="40" t="str">
        <x:v>EPA-018</x:v>
      </x:c>
      <x:c r="K347" s="30" t="str">
        <x:v>Paragraph-level label derived from the retained parent-span label and rationale using the revised paragraph-level codebook.</x:v>
      </x:c>
      <x:c r="L347" s="30" t="str">
        <x:v>The list identifies coordination problems and replaces an ad hoc response with structural changes: incident-command training, added resources, pre-deployed joint expert teams, public-health integration, and clearer interagency responsibilities.</x:v>
      </x:c>
      <x:c r="M347" s="40" t="str">
        <x:v>list_unit</x:v>
      </x:c>
      <x:c r="N347" s="40" t="str">
        <x:v>Yes</x:v>
      </x:c>
      <x:c r="O347" s="30" t="str">
        <x:v>The changes may also be read as additive capacity-building; confirm the paragraph-level Yes during team adjudication.</x:v>
      </x:c>
      <x:c r="P347" s="30" t="str">
        <x:v>12:1;12:2</x:v>
      </x:c>
    </x:row>
    <x:row r="348" ht="45" customHeight="1">
      <x:c r="A348" s="30" t="str">
        <x:v>EPA-A040</x:v>
      </x:c>
      <x:c r="B348" s="30" t="str">
        <x:v>p 12</x:v>
      </x:c>
      <x:c r="C348" s="30" t="str">
        <x:v>Region 6 officials said they have established a senior liaison position between Region 6 and Louisiana, defined roles and responsibilities between EPA and the States, and developed a DVD that addresses emergency response activities.</x:v>
      </x:c>
      <x:c r="D348" s="30" t="str">
        <x:v>EPA</x:v>
      </x:c>
      <x:c r="E348" s="30" t="str">
        <x:v>EPA 20060914-2006-p-00033.pdf</x:v>
      </x:c>
      <x:c r="F348" s="40" t="str">
        <x:v>No</x:v>
      </x:c>
      <x:c r="G348" s="40" t="n">
        <x:v>0</x:v>
      </x:c>
      <x:c r="H348" s="40" t="str">
        <x:v>Direct human-labeled/adjudicated</x:v>
      </x:c>
      <x:c r="I348" s="40" t="str">
        <x:v>Prerana</x:v>
      </x:c>
      <x:c r="J348" s="40" t="str">
        <x:v>EPA-019</x:v>
      </x:c>
      <x:c r="K348" s="30" t="str">
        <x:v>Retained human/adjudicated label from the curated GPT Test after PyMuPDF source reconciliation.</x:v>
      </x:c>
      <x:c r="L348" s="30" t="str">
        <x:v>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x:v>
      </x:c>
      <x:c r="M348" s="40" t="str">
        <x:v>paragraph</x:v>
      </x:c>
      <x:c r="N348" s="40" t="str">
        <x:v>No</x:v>
      </x:c>
      <x:c r="O348" s="30"/>
      <x:c r="P348" s="30" t="str">
        <x:v>12:3</x:v>
      </x:c>
    </x:row>
    <x:row r="349" ht="45" customHeight="1">
      <x:c r="A349" s="30" t="str">
        <x:v>EPA-A041</x:v>
      </x:c>
      <x:c r="B349" s="30" t="str">
        <x:v>p 12</x:v>
      </x:c>
      <x:c r="C349" s="30" t="str">
        <x:v>Trucks were used to supply New Orleans hotels with water while the public drinking water system was inoperable. This water was pumped into hotel plumbing systems for use and consumption by hotel guests. There were concerns with the safety and suitability of the trucks used to transport this water. In some instances, water intended for public use was transported in tanker trucks previously used in oil fields or other commercial activities.</x:v>
      </x:c>
      <x:c r="D349" s="30" t="str">
        <x:v>EPA</x:v>
      </x:c>
      <x:c r="E349" s="30" t="str">
        <x:v>EPA 20060914-2006-p-00033.pdf</x:v>
      </x:c>
      <x:c r="F349" s="40" t="str">
        <x:v>No</x:v>
      </x:c>
      <x:c r="G349" s="40" t="n">
        <x:v>0</x:v>
      </x:c>
      <x:c r="H349" s="40" t="str">
        <x:v>Unlabeled</x:v>
      </x:c>
      <x:c r="I349" s="40"/>
      <x:c r="J349" s="40"/>
      <x:c r="K349" s="30" t="str">
        <x:v>Default No — no retained human paragraph-level label in the curated GPT Test</x:v>
      </x:c>
      <x:c r="L349" s="30"/>
      <x:c r="M349" s="40" t="str">
        <x:v>paragraph</x:v>
      </x:c>
      <x:c r="N349" s="40" t="str">
        <x:v>No</x:v>
      </x:c>
      <x:c r="O349" s="30"/>
      <x:c r="P349" s="30" t="str">
        <x:v>12:5</x:v>
      </x:c>
    </x:row>
    <x:row r="350" ht="45" customHeight="1">
      <x:c r="A350" s="30" t="str">
        <x:v>EPA-A042</x:v>
      </x:c>
      <x:c r="B350" s="30" t="str">
        <x:v>pp 12-13</x:v>
      </x:c>
      <x:c r="C350" s="30" t="str">
        <x:v>EPA and the Louisiana Department of Health and Hospitals addressed the problem of improper water handling once it was discovered. Louisiana posted procedures to prevent potentially contaminated water trucks from delivering drinking water to hotels. At the request of the Louisiana Department of Health and Hospitals, EPA issued emergency administrative orders to the two companies involved in improper water transport. The order required both companies to stop using non-food-grade trucks for transporting water. Both companies complied with the orders issued by EPA. In addition, EPA provided contract services to inspect trucks used to transport water for public consumption in New Orleans.</x:v>
      </x:c>
      <x:c r="D350" s="30" t="str">
        <x:v>EPA</x:v>
      </x:c>
      <x:c r="E350" s="30" t="str">
        <x:v>EPA 20060914-2006-p-00033.pdf</x:v>
      </x:c>
      <x:c r="F350" s="40" t="str">
        <x:v>No</x:v>
      </x:c>
      <x:c r="G350" s="40" t="n">
        <x:v>0</x:v>
      </x:c>
      <x:c r="H350" s="40" t="str">
        <x:v>Unlabeled</x:v>
      </x:c>
      <x:c r="I350" s="40"/>
      <x:c r="J350" s="40"/>
      <x:c r="K350" s="30" t="str">
        <x:v>Default No — no retained human paragraph-level label in the curated GPT Test</x:v>
      </x:c>
      <x:c r="L350" s="30"/>
      <x:c r="M350" s="40" t="str">
        <x:v>paragraph</x:v>
      </x:c>
      <x:c r="N350" s="40" t="str">
        <x:v>No</x:v>
      </x:c>
      <x:c r="O350" s="30"/>
      <x:c r="P350" s="30" t="str">
        <x:v>12:6;13:0</x:v>
      </x:c>
    </x:row>
    <x:row r="351" ht="45" customHeight="1">
      <x:c r="A351" s="30" t="str">
        <x:v>EPA-A043</x:v>
      </x:c>
      <x:c r="B351" s="30" t="str">
        <x:v>p 13</x:v>
      </x:c>
      <x:c r="C351" s="30" t="str">
        <x:v>Mississippi officials told us they were only aware of one instance where a tanker truck was used to transport water. In this instance, trucks were used to provide water to a public hospital. Mississippi officials told us that the hospital was under a boil water notice at the time. In addition, Mississippi officials tested the water from inside the hospital and did not identify any concerns.</x:v>
      </x:c>
      <x:c r="D351" s="30" t="str">
        <x:v>EPA</x:v>
      </x:c>
      <x:c r="E351" s="30" t="str">
        <x:v>EPA 20060914-2006-p-00033.pdf</x:v>
      </x:c>
      <x:c r="F351" s="40" t="str">
        <x:v>No</x:v>
      </x:c>
      <x:c r="G351" s="40" t="n">
        <x:v>0</x:v>
      </x:c>
      <x:c r="H351" s="40" t="str">
        <x:v>Unlabeled</x:v>
      </x:c>
      <x:c r="I351" s="40"/>
      <x:c r="J351" s="40"/>
      <x:c r="K351" s="30" t="str">
        <x:v>Default No — no retained human paragraph-level label in the curated GPT Test</x:v>
      </x:c>
      <x:c r="L351" s="30"/>
      <x:c r="M351" s="40" t="str">
        <x:v>paragraph</x:v>
      </x:c>
      <x:c r="N351" s="40" t="str">
        <x:v>No</x:v>
      </x:c>
      <x:c r="O351" s="30"/>
      <x:c r="P351" s="30" t="str">
        <x:v>13:1</x:v>
      </x:c>
    </x:row>
    <x:row r="352" ht="45" customHeight="1">
      <x:c r="A352" s="30" t="str">
        <x:v>EPA-A044</x:v>
      </x:c>
      <x:c r="B352" s="30" t="str">
        <x:v>p 13</x:v>
      </x:c>
      <x:c r="C352" s="30" t="str">
        <x:v>According to EPA Region 6 officials, the procedures developed by the Louisiana Department of Health and Hospitals for inspecting tanker trucks will be made available to other EPA regions and States. Additionally, Region 4 noted that it is developing procedures covering the emergency use of tanker trucks on tribal lands, where EPA Region 4 is responsible for administering the drinking water programs.</x:v>
      </x:c>
      <x:c r="D352" s="30" t="str">
        <x:v>EPA</x:v>
      </x:c>
      <x:c r="E352" s="30" t="str">
        <x:v>EPA 20060914-2006-p-00033.pdf</x:v>
      </x:c>
      <x:c r="F352" s="40" t="str">
        <x:v>No</x:v>
      </x:c>
      <x:c r="G352" s="40" t="n">
        <x:v>0</x:v>
      </x:c>
      <x:c r="H352" s="40" t="str">
        <x:v>Unlabeled</x:v>
      </x:c>
      <x:c r="I352" s="40"/>
      <x:c r="J352" s="40"/>
      <x:c r="K352" s="30" t="str">
        <x:v>Default No — no retained human paragraph-level label in the curated GPT Test</x:v>
      </x:c>
      <x:c r="L352" s="30"/>
      <x:c r="M352" s="40" t="str">
        <x:v>paragraph</x:v>
      </x:c>
      <x:c r="N352" s="40" t="str">
        <x:v>No</x:v>
      </x:c>
      <x:c r="O352" s="30"/>
      <x:c r="P352" s="30" t="str">
        <x:v>13:2</x:v>
      </x:c>
    </x:row>
    <x:row r="353" ht="45" customHeight="1">
      <x:c r="A353" s="30" t="str">
        <x:v>EPA-A045</x:v>
      </x:c>
      <x:c r="B353" s="30" t="str">
        <x:v>p 13</x:v>
      </x:c>
      <x:c r="C353" s="30"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D353" s="30" t="str">
        <x:v>EPA</x:v>
      </x:c>
      <x:c r="E353" s="30" t="str">
        <x:v>EPA 20060914-2006-p-00033.pdf</x:v>
      </x:c>
      <x:c r="F353" s="40" t="str">
        <x:v>No</x:v>
      </x:c>
      <x:c r="G353" s="40" t="n">
        <x:v>0</x:v>
      </x:c>
      <x:c r="H353" s="40" t="str">
        <x:v>Direct human-labeled/adjudicated</x:v>
      </x:c>
      <x:c r="I353" s="40" t="str">
        <x:v>Prerana, Kyle</x:v>
      </x:c>
      <x:c r="J353" s="40" t="str">
        <x:v>EPA-021</x:v>
      </x:c>
      <x:c r="K353" s="30" t="str">
        <x:v>Retained human/adjudicated label from the curated GPT Test after PyMuPDF source reconciliation.</x:v>
      </x:c>
      <x:c r="L353" s="30" t="str">
        <x:v>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x:v>
      </x:c>
      <x:c r="M353" s="40" t="str">
        <x:v>paragraph</x:v>
      </x:c>
      <x:c r="N353" s="40" t="str">
        <x:v>No</x:v>
      </x:c>
      <x:c r="O353" s="30"/>
      <x:c r="P353" s="30" t="str">
        <x:v>13:4</x:v>
      </x:c>
    </x:row>
    <x:row r="354" ht="45" customHeight="1">
      <x:c r="A354" s="30" t="str">
        <x:v>EPA-A046</x:v>
      </x:c>
      <x:c r="B354" s="30" t="str">
        <x:v>p 13</x:v>
      </x:c>
      <x:c r="C354" s="30" t="str">
        <x:v>EPA regional officials concurred that problems existed with querying SCRIBE. Region 6 officials said they have taken actions to correct these issues. This included querying the database on behalf of Louisiana until the issue was resolved to ensure Louisiana obtained the information it needed. This also included Region 6 providing training on the use of SCRIBE and making a SCRIBE user guide available to State officials.</x:v>
      </x:c>
      <x:c r="D354" s="30" t="str">
        <x:v>EPA</x:v>
      </x:c>
      <x:c r="E354" s="30" t="str">
        <x:v>EPA 20060914-2006-p-00033.pdf</x:v>
      </x:c>
      <x:c r="F354" s="40" t="str">
        <x:v>No</x:v>
      </x:c>
      <x:c r="G354" s="40" t="n">
        <x:v>0</x:v>
      </x:c>
      <x:c r="H354" s="40" t="str">
        <x:v>Unlabeled</x:v>
      </x:c>
      <x:c r="I354" s="40"/>
      <x:c r="J354" s="40"/>
      <x:c r="K354" s="30" t="str">
        <x:v>Default No — no retained human paragraph-level label in the curated GPT Test</x:v>
      </x:c>
      <x:c r="L354" s="30"/>
      <x:c r="M354" s="40" t="str">
        <x:v>paragraph</x:v>
      </x:c>
      <x:c r="N354" s="40" t="str">
        <x:v>No</x:v>
      </x:c>
      <x:c r="O354" s="30"/>
      <x:c r="P354" s="30" t="str">
        <x:v>13:5</x:v>
      </x:c>
    </x:row>
    <x:row r="355" ht="45" customHeight="1">
      <x:c r="A355" s="30" t="str">
        <x:v>EPA-A047</x:v>
      </x:c>
      <x:c r="B355" s="30" t="str">
        <x:v>p 13</x:v>
      </x:c>
      <x:c r="C355" s="30" t="str">
        <x:v>EPA’s Office of Solid Waste and Emergency Response is also conducting a “lessons learned” review. As part of this effort, the Office developed a database for recording lessons learned from the Katrina response. In addition, Congress has held testimony on lessons learned and the White House recently issued a lessons learned report in February 2006, The Federal Response to Hurricane Katrina: Lessons Learned. Congressional testimony and the White House report discussed the impact that damage to communication infrastructure had on the response.</x:v>
      </x:c>
      <x:c r="D355" s="30" t="str">
        <x:v>EPA</x:v>
      </x:c>
      <x:c r="E355" s="30" t="str">
        <x:v>EPA 20060914-2006-p-00033.pdf</x:v>
      </x:c>
      <x:c r="F355" s="40" t="str">
        <x:v>No</x:v>
      </x:c>
      <x:c r="G355" s="40" t="n">
        <x:v>0</x:v>
      </x:c>
      <x:c r="H355" s="40" t="str">
        <x:v>Unlabeled</x:v>
      </x:c>
      <x:c r="I355" s="40"/>
      <x:c r="J355" s="40"/>
      <x:c r="K355" s="30" t="str">
        <x:v>Default No — no retained human paragraph-level label in the curated GPT Test</x:v>
      </x:c>
      <x:c r="L355" s="30"/>
      <x:c r="M355" s="40" t="str">
        <x:v>paragraph</x:v>
      </x:c>
      <x:c r="N355" s="40" t="str">
        <x:v>No</x:v>
      </x:c>
      <x:c r="O355" s="30"/>
      <x:c r="P355" s="30" t="str">
        <x:v>13:7</x:v>
      </x:c>
    </x:row>
    <x:row r="356" ht="45" customHeight="1">
      <x:c r="A356" s="30" t="str">
        <x:v>EPA-A048</x:v>
      </x:c>
      <x:c r="B356" s="30" t="str">
        <x:v>pp 13-14</x:v>
      </x:c>
      <x:c r="C356" s="30"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D356" s="30" t="str">
        <x:v>EPA</x:v>
      </x:c>
      <x:c r="E356" s="30" t="str">
        <x:v>EPA 20060914-2006-p-00033.pdf</x:v>
      </x:c>
      <x:c r="F356" s="40" t="str">
        <x:v>Yes</x:v>
      </x:c>
      <x:c r="G356" s="40" t="n">
        <x:v>1</x:v>
      </x:c>
      <x:c r="H356" s="40" t="str">
        <x:v>Direct human-labeled/adjudicated</x:v>
      </x:c>
      <x:c r="I356" s="40" t="str">
        <x:v>Anmol</x:v>
      </x:c>
      <x:c r="J356" s="40" t="str">
        <x:v>EPA-020</x:v>
      </x:c>
      <x:c r="K356" s="30" t="str">
        <x:v>Retained human/adjudicated label from the curated GPT Test after PyMuPDF source reconciliation.</x:v>
      </x:c>
      <x:c r="L356" s="30" t="str">
        <x:v>This is unlearning. They are specifically using keyword reevaluation, which speaks to departure from past practices. They identify specific problems regarding communication, equipment and data</x:v>
      </x:c>
      <x:c r="M356" s="40" t="str">
        <x:v>paragraph</x:v>
      </x:c>
      <x:c r="N356" s="40" t="str">
        <x:v>No</x:v>
      </x:c>
      <x:c r="O356" s="30"/>
      <x:c r="P356" s="30" t="str">
        <x:v>13:8;14:0</x:v>
      </x:c>
    </x:row>
    <x:row r="357" ht="45" customHeight="1">
      <x:c r="A357" s="30" t="str">
        <x:v>EPA-A049</x:v>
      </x:c>
      <x:c r="B357" s="30" t="str">
        <x:v>p 14</x:v>
      </x:c>
      <x:c r="C357" s="30" t="str">
        <x:v>2-1 We recommend that the Assistant Administrators for the Office of Solid Waste and Emergency Response and Office of Water, as part of the Agency's efforts to address lessons learned from Katrina, ensure that the corrective actions discussed in the report are implemented. Specifically, these planned corrective actions include:
• Conducting interagency meetings and establishing coordination protocols with the USACE;
• Conducting training for EPA Region 6 and State staff on the Incident Command System, the NRP, and ESF support functions;
• Sharing the procedures developed for handling tanker truck support of water in Louisiana with other EPA regions and States;
• Sharing the Region 4 Katrina Lessons Learned review with other regions; and
• Developing procedures for the appropriate use of emergency tanker trucks in tribal lands in Region 4.</x:v>
      </x:c>
      <x:c r="D357" s="30" t="str">
        <x:v>EPA</x:v>
      </x:c>
      <x:c r="E357" s="30" t="str">
        <x:v>EPA 20060914-2006-p-00033.pdf</x:v>
      </x:c>
      <x:c r="F357" s="40" t="str">
        <x:v>No</x:v>
      </x:c>
      <x:c r="G357" s="40" t="n">
        <x:v>0</x:v>
      </x:c>
      <x:c r="H357" s="40" t="str">
        <x:v>Unlabeled</x:v>
      </x:c>
      <x:c r="I357" s="40"/>
      <x:c r="J357" s="40"/>
      <x:c r="K357" s="30" t="str">
        <x:v>Default No — no retained human paragraph-level label in the curated GPT Test</x:v>
      </x:c>
      <x:c r="L357" s="30"/>
      <x:c r="M357" s="40" t="str">
        <x:v>list_unit</x:v>
      </x:c>
      <x:c r="N357" s="40" t="str">
        <x:v>Yes</x:v>
      </x:c>
      <x:c r="O357" s="30" t="str">
        <x:v>Recommendation lead-in and bullets were split across several PyMuPDF blocks; reconstructed as one list unit from page 14.</x:v>
      </x:c>
      <x:c r="P357" s="30" t="str">
        <x:v>14:2;14:3;14:4;14:5;14:6;14:7</x:v>
      </x:c>
    </x:row>
    <x:row r="358" ht="45" customHeight="1">
      <x:c r="A358" s="30" t="str">
        <x:v>EPA-A050</x:v>
      </x:c>
      <x:c r="B358" s="30" t="str">
        <x:v>p 14</x:v>
      </x:c>
      <x:c r="C358" s="30" t="str">
        <x:v>The Agency agreed with the draft report’s findings and recommendation and has initiated actions to implement the recommendation. With respect to coordinating emergency response efforts with USACE, EPA noted that it met with representatives from USACE to discuss emergency response roles. The USACE created new draft ESF-3 pre-scripted mission assignments that include language for activating EPA support representatives to the ESF-3 team, and for providing direct Federal and technical assistance to States and drinking water and wastewater utilities. EPA met with USACE and other ESF-3 support agencies on August 17, 2006 to discuss roles and capabilities. EPA also reported that Region 6 plans to provide Incident Command System and NRP training for all of the Region 6 Response Support Corps staff. In addition, EPA’s Office of Water is sponsoring 24 workshops around the country to help drinking water and wastewater utilities, States, and regional EPA staff better understand and implement the Incident Command System. EPA also responded that Region 4 is finalizing its Katrina After Action Report and plans to distribute the final report to EPA Headquarters and regional offices in September 2006. Also, on August 31, 2006, EPA Region 6 distributed procedures for handling tanker truck support for drinking water to the other regions. Region 4 will work with the Office of Water to develop a tanker truck policy for tribal lands across the nation. The policy development is anticipated to begin in the fall of 2006.</x:v>
      </x:c>
      <x:c r="D358" s="30" t="str">
        <x:v>EPA</x:v>
      </x:c>
      <x:c r="E358" s="30" t="str">
        <x:v>EPA 20060914-2006-p-00033.pdf</x:v>
      </x:c>
      <x:c r="F358" s="40" t="str">
        <x:v>No</x:v>
      </x:c>
      <x:c r="G358" s="40" t="n">
        <x:v>0</x:v>
      </x:c>
      <x:c r="H358" s="40" t="str">
        <x:v>Unlabeled</x:v>
      </x:c>
      <x:c r="I358" s="40"/>
      <x:c r="J358" s="40"/>
      <x:c r="K358" s="30" t="str">
        <x:v>Default No — no retained human paragraph-level label in the curated GPT Test</x:v>
      </x:c>
      <x:c r="L358" s="30"/>
      <x:c r="M358" s="40" t="str">
        <x:v>paragraph</x:v>
      </x:c>
      <x:c r="N358" s="40" t="str">
        <x:v>No</x:v>
      </x:c>
      <x:c r="O358" s="30"/>
      <x:c r="P358" s="30" t="str">
        <x:v>14:10</x:v>
      </x:c>
    </x:row>
    <x:row r="359" ht="45" customHeight="1">
      <x:c r="A359" s="30" t="str">
        <x:v>EPA-A051</x:v>
      </x:c>
      <x:c r="B359" s="30" t="str">
        <x:v>p 14</x:v>
      </x:c>
      <x:c r="C359" s="30" t="str">
        <x:v>We believe that the actions taken and planned by EPA sufficiently address our recommendation.</x:v>
      </x:c>
      <x:c r="D359" s="30" t="str">
        <x:v>EPA</x:v>
      </x:c>
      <x:c r="E359" s="30" t="str">
        <x:v>EPA 20060914-2006-p-00033.pdf</x:v>
      </x:c>
      <x:c r="F359" s="40" t="str">
        <x:v>No</x:v>
      </x:c>
      <x:c r="G359" s="40" t="n">
        <x:v>0</x:v>
      </x:c>
      <x:c r="H359" s="40" t="str">
        <x:v>Unlabeled</x:v>
      </x:c>
      <x:c r="I359" s="40"/>
      <x:c r="J359" s="40"/>
      <x:c r="K359" s="30" t="str">
        <x:v>Default No — no retained human paragraph-level label in the curated GPT Test</x:v>
      </x:c>
      <x:c r="L359" s="30"/>
      <x:c r="M359" s="40" t="str">
        <x:v>paragraph</x:v>
      </x:c>
      <x:c r="N359" s="40" t="str">
        <x:v>No</x:v>
      </x:c>
      <x:c r="O359" s="30"/>
      <x:c r="P359" s="30" t="str">
        <x:v>14:12</x:v>
      </x:c>
    </x:row>
    <x:row r="360" ht="45" customHeight="1">
      <x:c r="A360" s="30" t="str">
        <x:v>EPA-A052</x:v>
      </x:c>
      <x:c r="B360" s="30" t="str">
        <x:v>p 16</x:v>
      </x:c>
      <x:c r="C360" s="30" t="str">
        <x:v>The following sections describe key lessons learned based on our EPA OIG review of EPA’s response following the attack and collapse of the World Trade Center towers in New York, and the applicability of these lessons learned in responding to environmental concerns after Hurricane Katrina. In general, many of the concerns raised in EPA’s response to the collapse of the World Trade Center towers did not become an issue in responding to Katrina. This can likely be attributed to three factors: (1) some issues were not applicable to Katrina due to the uniqueness of the World Trade Center disaster; (2) for some issues that were applicable, EPA applied the lessons learned from the World Trade Center experience; and (3) unlike the World Trade disaster, EPA and States had experience in responding to prior hurricane disasters that helped prepare them to respond to Katrina. Each section below describes a key World Trade Center lessons learned, and how these concerns were handled, if applicable, with respect to the three major areas of the Katrina response we evaluated: drinking water, wastewater, and hazardous waste and debris management.</x:v>
      </x:c>
      <x:c r="D360" s="30" t="str">
        <x:v>EPA</x:v>
      </x:c>
      <x:c r="E360" s="30" t="str">
        <x:v>EPA 20060914-2006-p-00033.pdf</x:v>
      </x:c>
      <x:c r="F360" s="40" t="str">
        <x:v>No</x:v>
      </x:c>
      <x:c r="G360" s="40" t="n">
        <x:v>0</x:v>
      </x:c>
      <x:c r="H360" s="40" t="str">
        <x:v>Unlabeled</x:v>
      </x:c>
      <x:c r="I360" s="40"/>
      <x:c r="J360" s="40"/>
      <x:c r="K360" s="30" t="str">
        <x:v>Default No — no retained human paragraph-level label in the curated GPT Test</x:v>
      </x:c>
      <x:c r="L360" s="30"/>
      <x:c r="M360" s="40" t="str">
        <x:v>paragraph</x:v>
      </x:c>
      <x:c r="N360" s="40" t="str">
        <x:v>No</x:v>
      </x:c>
      <x:c r="O360" s="30"/>
      <x:c r="P360" s="30" t="str">
        <x:v>16:2</x:v>
      </x:c>
    </x:row>
    <x:row r="361" ht="45" customHeight="1">
      <x:c r="A361" s="30" t="str">
        <x:v>EPA-A053</x:v>
      </x:c>
      <x:c r="B361" s="30" t="str">
        <x:v>p 16</x:v>
      </x:c>
      <x:c r="C361" s="30" t="str">
        <x:v>In the World Trade Center evaluation report, we noted EPA did not communicate information that sufficiently characterized the health risk to the public, and its communications to the public were sometimes inconsistent with other EPA information. A combination of EPA employing the lessons learned from the World Trade Center response and the fact that some programs already had risk communication procedures in place for emergencies appear to have minimized this issue as an area of concern after Katrina.</x:v>
      </x:c>
      <x:c r="D361" s="30" t="str">
        <x:v>EPA</x:v>
      </x:c>
      <x:c r="E361" s="30" t="str">
        <x:v>EPA 20060914-2006-p-00033.pdf</x:v>
      </x:c>
      <x:c r="F361" s="40" t="str">
        <x:v>No</x:v>
      </x:c>
      <x:c r="G361" s="40" t="n">
        <x:v>0</x:v>
      </x:c>
      <x:c r="H361" s="40" t="str">
        <x:v>Unlabeled</x:v>
      </x:c>
      <x:c r="I361" s="40"/>
      <x:c r="J361" s="40"/>
      <x:c r="K361" s="30" t="str">
        <x:v>Default No — no retained human paragraph-level label in the curated GPT Test</x:v>
      </x:c>
      <x:c r="L361" s="30"/>
      <x:c r="M361" s="40" t="str">
        <x:v>paragraph</x:v>
      </x:c>
      <x:c r="N361" s="40" t="str">
        <x:v>No</x:v>
      </x:c>
      <x:c r="O361" s="30"/>
      <x:c r="P361" s="30" t="str">
        <x:v>16:4</x:v>
      </x:c>
    </x:row>
    <x:row r="362" ht="45" customHeight="1">
      <x:c r="A362" s="30" t="str">
        <x:v>EPA-A054</x:v>
      </x:c>
      <x:c r="B362" s="30" t="str">
        <x:v>p 16</x:v>
      </x:c>
      <x:c r="C362" s="30" t="str">
        <x:v>Based on our work in EPA Regions 4 and 6, and with selected public water systems in areas of Louisiana and Mississippi impacted by Hurricane Katrina, the public was provided with timely, accurate information about the quality of their drinking water and procedures (boil order notices) to minimize risks. For example, on August 31, 2005, less than 48 hours after Katrina made landfall, the Mississippi Department of Healthissued a blanket boil water notice for all public water systems in the State’s six most impacted counties, located in the coastal region. Similarly, by August 31, the Louisiana Department of Health and Hospitals had issued boil water orders for the 15 parishes affected by the hurricane. A boil water notice alerts the public and informs them to boil their water to prevent health impacts from drinking water potentially contaminated with bacteria. In accordance with its established procedures for issuing boil water notices, the Mississippi Department of Health and the Louisiana Department of Health and Hospitals issued boil water notices to radio and television stations and through daily press briefings, the States’ Websites, and other methods.</x:v>
      </x:c>
      <x:c r="D362" s="30" t="str">
        <x:v>EPA</x:v>
      </x:c>
      <x:c r="E362" s="30" t="str">
        <x:v>EPA 20060914-2006-p-00033.pdf</x:v>
      </x:c>
      <x:c r="F362" s="40" t="str">
        <x:v>No</x:v>
      </x:c>
      <x:c r="G362" s="40" t="n">
        <x:v>0</x:v>
      </x:c>
      <x:c r="H362" s="40" t="str">
        <x:v>Unlabeled</x:v>
      </x:c>
      <x:c r="I362" s="40"/>
      <x:c r="J362" s="40"/>
      <x:c r="K362" s="30" t="str">
        <x:v>Default No — no retained human paragraph-level label in the curated GPT Test</x:v>
      </x:c>
      <x:c r="L362" s="30"/>
      <x:c r="M362" s="40" t="str">
        <x:v>paragraph</x:v>
      </x:c>
      <x:c r="N362" s="40" t="str">
        <x:v>No</x:v>
      </x:c>
      <x:c r="O362" s="30"/>
      <x:c r="P362" s="30" t="str">
        <x:v>16:6</x:v>
      </x:c>
    </x:row>
    <x:row r="363" ht="45" customHeight="1">
      <x:c r="A363" s="30" t="str">
        <x:v>EPA-A055</x:v>
      </x:c>
      <x:c r="B363" s="30" t="str">
        <x:v>p 17</x:v>
      </x:c>
      <x:c r="C363" s="30" t="str">
        <x:v>EPA also provided information to the public regarding the treatment of drinking water. For example, according to EPA staff, 59,620 drinking water flyers were distributed in Louisiana parishes affected by the hurricane. Two publications related to drinking water protection, What to Do after the Flood and Emergency Disinfection of Drinking Water, were published in English, Spanish, and Vietnamese.</x:v>
      </x:c>
      <x:c r="D363" s="30" t="str">
        <x:v>EPA</x:v>
      </x:c>
      <x:c r="E363" s="30" t="str">
        <x:v>EPA 20060914-2006-p-00033.pdf</x:v>
      </x:c>
      <x:c r="F363" s="40" t="str">
        <x:v>No</x:v>
      </x:c>
      <x:c r="G363" s="40" t="n">
        <x:v>0</x:v>
      </x:c>
      <x:c r="H363" s="40" t="str">
        <x:v>Unlabeled</x:v>
      </x:c>
      <x:c r="I363" s="40"/>
      <x:c r="J363" s="40"/>
      <x:c r="K363" s="30" t="str">
        <x:v>Default No — no retained human paragraph-level label in the curated GPT Test</x:v>
      </x:c>
      <x:c r="L363" s="30"/>
      <x:c r="M363" s="40" t="str">
        <x:v>paragraph</x:v>
      </x:c>
      <x:c r="N363" s="40" t="str">
        <x:v>No</x:v>
      </x:c>
      <x:c r="O363" s="30"/>
      <x:c r="P363" s="30" t="str">
        <x:v>17:0</x:v>
      </x:c>
    </x:row>
    <x:row r="364" ht="45" customHeight="1">
      <x:c r="A364" s="30" t="str">
        <x:v>EPA-A056</x:v>
      </x:c>
      <x:c r="B364" s="30" t="str">
        <x:v>p 17</x:v>
      </x:c>
      <x:c r="C364" s="30" t="str">
        <x:v>The damage to the wastewater treatment facilities and their collection systems resulted in the potential for people living in impacted communities to be exposed to raw sewage. Due to the risk of serious illness associated withexposure to raw sewage, local decisionmakers needed information to be able to evaluate the potential risk of exposure and take steps to protect their citizens. EPA did a good job supporting States and local communities in this function. The information that EPA provided to the public was augmented by significant efforts by other Federal agencies, State agencies, and the communities themselves. For example, on September 6, 2005, shortly after the hurricane hit, EPA and the U.S. Department of Health and Human Services issued a news release about the dangers of floodwater due to potentially elevated levels of contamination associated with raw sewage and other hazardous substances.</x:v>
      </x:c>
      <x:c r="D364" s="30" t="str">
        <x:v>EPA</x:v>
      </x:c>
      <x:c r="E364" s="30" t="str">
        <x:v>EPA 20060914-2006-p-00033.pdf</x:v>
      </x:c>
      <x:c r="F364" s="40" t="str">
        <x:v>No</x:v>
      </x:c>
      <x:c r="G364" s="40" t="n">
        <x:v>0</x:v>
      </x:c>
      <x:c r="H364" s="40" t="str">
        <x:v>Unlabeled</x:v>
      </x:c>
      <x:c r="I364" s="40"/>
      <x:c r="J364" s="40"/>
      <x:c r="K364" s="30" t="str">
        <x:v>Default No — no retained human paragraph-level label in the curated GPT Test</x:v>
      </x:c>
      <x:c r="L364" s="30"/>
      <x:c r="M364" s="40" t="str">
        <x:v>paragraph</x:v>
      </x:c>
      <x:c r="N364" s="40" t="str">
        <x:v>No</x:v>
      </x:c>
      <x:c r="O364" s="30"/>
      <x:c r="P364" s="30" t="str">
        <x:v>17:2</x:v>
      </x:c>
    </x:row>
    <x:row r="365" ht="45" customHeight="1">
      <x:c r="A365" s="30" t="str">
        <x:v>EPA-A057</x:v>
      </x:c>
      <x:c r="B365" s="30" t="str">
        <x:v>p 17</x:v>
      </x:c>
      <x:c r="C365" s="30" t="str">
        <x:v>Many of EPA’s news releases provided a daily update of the response activities. These daily updates emphasized the activities conducted each day and included summary information about the number of wastewater treatment facilities that had resumed operation.</x:v>
      </x:c>
      <x:c r="D365" s="30" t="str">
        <x:v>EPA</x:v>
      </x:c>
      <x:c r="E365" s="30" t="str">
        <x:v>EPA 20060914-2006-p-00033.pdf</x:v>
      </x:c>
      <x:c r="F365" s="40" t="str">
        <x:v>No</x:v>
      </x:c>
      <x:c r="G365" s="40" t="n">
        <x:v>0</x:v>
      </x:c>
      <x:c r="H365" s="40" t="str">
        <x:v>Unlabeled</x:v>
      </x:c>
      <x:c r="I365" s="40"/>
      <x:c r="J365" s="40"/>
      <x:c r="K365" s="30" t="str">
        <x:v>Default No — no retained human paragraph-level label in the curated GPT Test</x:v>
      </x:c>
      <x:c r="L365" s="30"/>
      <x:c r="M365" s="40" t="str">
        <x:v>paragraph</x:v>
      </x:c>
      <x:c r="N365" s="40" t="str">
        <x:v>No</x:v>
      </x:c>
      <x:c r="O365" s="30"/>
      <x:c r="P365" s="30" t="str">
        <x:v>17:3</x:v>
      </x:c>
    </x:row>
    <x:row r="366" ht="45" customHeight="1">
      <x:c r="A366" s="30" t="str">
        <x:v>EPA-A058</x:v>
      </x:c>
      <x:c r="B366" s="30" t="str">
        <x:v>p 17</x:v>
      </x:c>
      <x:c r="C366" s="30" t="str">
        <x:v>Based on our work in Regions 4 and 6, EPA coordinated with State, local, and other Federal government agencies to assess potential environmental and human health impacts from Hurricane Katrina. EPA also provided quality and timely information for determining risks and impacts in EPA’s areas of responsibility and oversight.</x:v>
      </x:c>
      <x:c r="D366" s="30" t="str">
        <x:v>EPA</x:v>
      </x:c>
      <x:c r="E366" s="30" t="str">
        <x:v>EPA 20060914-2006-p-00033.pdf</x:v>
      </x:c>
      <x:c r="F366" s="40" t="str">
        <x:v>No</x:v>
      </x:c>
      <x:c r="G366" s="40" t="n">
        <x:v>0</x:v>
      </x:c>
      <x:c r="H366" s="40" t="str">
        <x:v>Unlabeled</x:v>
      </x:c>
      <x:c r="I366" s="40"/>
      <x:c r="J366" s="40"/>
      <x:c r="K366" s="30" t="str">
        <x:v>Default No — no retained human paragraph-level label in the curated GPT Test</x:v>
      </x:c>
      <x:c r="L366" s="30"/>
      <x:c r="M366" s="40" t="str">
        <x:v>paragraph</x:v>
      </x:c>
      <x:c r="N366" s="40" t="str">
        <x:v>No</x:v>
      </x:c>
      <x:c r="O366" s="30"/>
      <x:c r="P366" s="30" t="str">
        <x:v>17:5</x:v>
      </x:c>
    </x:row>
    <x:row r="367" ht="45" customHeight="1">
      <x:c r="A367" s="30" t="str">
        <x:v>EPA-A059</x:v>
      </x:c>
      <x:c r="B367" s="30" t="str">
        <x:v>pp 17-18</x:v>
      </x:c>
      <x:c r="C367" s="30" t="str">
        <x:v>EPA provided quality and timely information on sediment contamination to the States and other Federal decision makers for use in determining associated risk and impact assessment. As of February 2006, EPA, in coordination with LDEQ, had taken more than 800 sediment samples in the New Orleans area to determine the nature and type of contamination that may have impacted residential areas due to the migration of chemicals and other hazardous materials by floodwaters. While some samples exceeded LDEQ and EPA criteria, the majority of the chemicals detected were below levels of health concern. Sampling results were provided to the Federal Emergency Management Agency and to State and Federal health agencies – including the Centers for Disease Control and Prevention, Agency for Toxic Substances and Disease Registry (ATSDR), and Louisiana Department of Health and Hospitals – for risk and impact assessment and public notification. EPA promptly posted summaries of sediment sampling activities, test results, and safety precautions recommended by public health agencies on public Websites as they became available. Public service announcements were promptly issued regarding precautions related to the now receded floodwaters and the cleanup of sediments. Additionally, EPA continues to post sediment sampling results to its Website as they become available.</x:v>
      </x:c>
      <x:c r="D367" s="30" t="str">
        <x:v>EPA</x:v>
      </x:c>
      <x:c r="E367" s="30" t="str">
        <x:v>EPA 20060914-2006-p-00033.pdf</x:v>
      </x:c>
      <x:c r="F367" s="40" t="str">
        <x:v>No</x:v>
      </x:c>
      <x:c r="G367" s="40" t="n">
        <x:v>0</x:v>
      </x:c>
      <x:c r="H367" s="40" t="str">
        <x:v>Unlabeled</x:v>
      </x:c>
      <x:c r="I367" s="40"/>
      <x:c r="J367" s="40"/>
      <x:c r="K367" s="30" t="str">
        <x:v>Default No — no retained human paragraph-level label in the curated GPT Test</x:v>
      </x:c>
      <x:c r="L367" s="30"/>
      <x:c r="M367" s="40" t="str">
        <x:v>paragraph</x:v>
      </x:c>
      <x:c r="N367" s="40" t="str">
        <x:v>No</x:v>
      </x:c>
      <x:c r="O367" s="30"/>
      <x:c r="P367" s="30" t="str">
        <x:v>17:6;18:0</x:v>
      </x:c>
    </x:row>
    <x:row r="368" ht="45" customHeight="1">
      <x:c r="A368" s="30" t="str">
        <x:v>EPA-A060</x:v>
      </x:c>
      <x:c r="B368" s="30" t="str">
        <x:v>p 18</x:v>
      </x:c>
      <x:c r="C368" s="30" t="str">
        <x:v>EPA promptly identified, prioritized, and assessed all Superfund National Priorities List sites in the affected areas of Louisiana and Mississippi. EPA generally provided quality and timely information on the assessment process to the States, local agencies, and general public. EPA promptly posted assessment results, along with supporting validated analytical data, on the Agency’s public Website.</x:v>
      </x:c>
      <x:c r="D368" s="30" t="str">
        <x:v>EPA</x:v>
      </x:c>
      <x:c r="E368" s="30" t="str">
        <x:v>EPA 20060914-2006-p-00033.pdf</x:v>
      </x:c>
      <x:c r="F368" s="40" t="str">
        <x:v>No</x:v>
      </x:c>
      <x:c r="G368" s="40" t="n">
        <x:v>0</x:v>
      </x:c>
      <x:c r="H368" s="40" t="str">
        <x:v>Unlabeled</x:v>
      </x:c>
      <x:c r="I368" s="40"/>
      <x:c r="J368" s="40"/>
      <x:c r="K368" s="30" t="str">
        <x:v>Default No — no retained human paragraph-level label in the curated GPT Test</x:v>
      </x:c>
      <x:c r="L368" s="30"/>
      <x:c r="M368" s="40" t="str">
        <x:v>paragraph</x:v>
      </x:c>
      <x:c r="N368" s="40" t="str">
        <x:v>No</x:v>
      </x:c>
      <x:c r="O368" s="30"/>
      <x:c r="P368" s="30" t="str">
        <x:v>18:1</x:v>
      </x:c>
    </x:row>
    <x:row r="369" ht="45" customHeight="1">
      <x:c r="A369" s="30" t="str">
        <x:v>EPA-A061</x:v>
      </x:c>
      <x:c r="B369" s="30" t="str">
        <x:v>p 18</x:v>
      </x:c>
      <x:c r="C369" s="30" t="str">
        <x:v>EPA, the U.S. Coast Guard, and LDEQ worked together with local industries to assess, manage, and mitigate environmental damage resulting from oil spills in affected areas of Louisiana. There have been at least five major oil spills reported, each involving over 100,000 gallons, and one spill impacted a residential neighborhood. EPA is providing oversight of the residential cleanup as well as conducting independent sampling.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related to the Murphy Oil Spill are posted on EPA’s public Website as the information becomes available.</x:v>
      </x:c>
      <x:c r="D369" s="30" t="str">
        <x:v>EPA</x:v>
      </x:c>
      <x:c r="E369" s="30" t="str">
        <x:v>EPA 20060914-2006-p-00033.pdf</x:v>
      </x:c>
      <x:c r="F369" s="40" t="str">
        <x:v>No</x:v>
      </x:c>
      <x:c r="G369" s="40" t="n">
        <x:v>0</x:v>
      </x:c>
      <x:c r="H369" s="40" t="str">
        <x:v>Unlabeled</x:v>
      </x:c>
      <x:c r="I369" s="40"/>
      <x:c r="J369" s="40"/>
      <x:c r="K369" s="30" t="str">
        <x:v>Default No — no retained human paragraph-level label in the curated GPT Test</x:v>
      </x:c>
      <x:c r="L369" s="30"/>
      <x:c r="M369" s="40" t="str">
        <x:v>paragraph</x:v>
      </x:c>
      <x:c r="N369" s="40" t="str">
        <x:v>No</x:v>
      </x:c>
      <x:c r="O369" s="30"/>
      <x:c r="P369" s="30" t="str">
        <x:v>18:2</x:v>
      </x:c>
    </x:row>
    <x:row r="370" ht="45" customHeight="1">
      <x:c r="A370" s="30" t="str">
        <x:v>EPA-A062</x:v>
      </x:c>
      <x:c r="B370" s="30" t="str">
        <x:v>p 18</x:v>
      </x:c>
      <x:c r="C370" s="30" t="str">
        <x:v>Two issues related to sampling were identified in the World Trade Center report. First, we recommended that EPA develop a sampling plan to assess environmental conditions after a large-scale disaster, and ensure adequate sampling for the contaminants of concern. Second, sampling results were not timely reported to the public. After the World Trade Center response, EPA officials said they would develop templates to enable them to report sampling data quicker. The lack of sampling plans was not an issue for the drinking water response, since these programs already had emergency response sampling plans in place as part of the program structure. For the wastewater and hazardous waste response, while EPA did not have pre-developed sampling plans in place, EPA developed quality assurance project plans for sampling these areas of concern and had these plans reviewed by EPA’s Science Advisory Board.</x:v>
      </x:c>
      <x:c r="D370" s="30" t="str">
        <x:v>EPA</x:v>
      </x:c>
      <x:c r="E370" s="30" t="str">
        <x:v>EPA 20060914-2006-p-00033.pdf</x:v>
      </x:c>
      <x:c r="F370" s="40" t="str">
        <x:v>No</x:v>
      </x:c>
      <x:c r="G370" s="40" t="n">
        <x:v>0</x:v>
      </x:c>
      <x:c r="H370" s="40" t="str">
        <x:v>Unlabeled</x:v>
      </x:c>
      <x:c r="I370" s="40"/>
      <x:c r="J370" s="40"/>
      <x:c r="K370" s="30" t="str">
        <x:v>Default No — no retained human paragraph-level label in the curated GPT Test</x:v>
      </x:c>
      <x:c r="L370" s="30"/>
      <x:c r="M370" s="40" t="str">
        <x:v>paragraph</x:v>
      </x:c>
      <x:c r="N370" s="40" t="str">
        <x:v>No</x:v>
      </x:c>
      <x:c r="O370" s="30"/>
      <x:c r="P370" s="30" t="str">
        <x:v>18:4</x:v>
      </x:c>
    </x:row>
    <x:row r="371" ht="45" customHeight="1">
      <x:c r="A371" s="30" t="str">
        <x:v>EPA-A063</x:v>
      </x:c>
      <x:c r="B371" s="30" t="str">
        <x:v>p 18</x:v>
      </x:c>
      <x:c r="C371" s="30" t="str">
        <x:v>The adequacy of environmental sampling was not a concern in responding to drinking water issues after Katrina. To test for the presence of bacteria in drinking water, Mississippi and Louisiana generated a sampling plan that was patterned after the drinking water sampling requirements that already existed under the Total Coliform Rule. In addition, public drinking water supplies must comply with standards for almost 80 contaminants that address health risks from long-term exposure. These standards remain in force and local systems will continue to test for compliance with these standards, as they did before the hurricane, to ensure that public drinking water supplies are safe.</x:v>
      </x:c>
      <x:c r="D371" s="30" t="str">
        <x:v>EPA</x:v>
      </x:c>
      <x:c r="E371" s="30" t="str">
        <x:v>EPA 20060914-2006-p-00033.pdf</x:v>
      </x:c>
      <x:c r="F371" s="40" t="str">
        <x:v>No</x:v>
      </x:c>
      <x:c r="G371" s="40" t="n">
        <x:v>0</x:v>
      </x:c>
      <x:c r="H371" s="40" t="str">
        <x:v>Unlabeled</x:v>
      </x:c>
      <x:c r="I371" s="40"/>
      <x:c r="J371" s="40"/>
      <x:c r="K371" s="30" t="str">
        <x:v>Default No — no retained human paragraph-level label in the curated GPT Test</x:v>
      </x:c>
      <x:c r="L371" s="30"/>
      <x:c r="M371" s="40" t="str">
        <x:v>paragraph</x:v>
      </x:c>
      <x:c r="N371" s="40" t="str">
        <x:v>No</x:v>
      </x:c>
      <x:c r="O371" s="30"/>
      <x:c r="P371" s="30" t="str">
        <x:v>18:6</x:v>
      </x:c>
    </x:row>
    <x:row r="372" ht="45" customHeight="1">
      <x:c r="A372" s="30" t="str">
        <x:v>EPA-A064</x:v>
      </x:c>
      <x:c r="B372" s="30" t="str">
        <x:v>p 19</x:v>
      </x:c>
      <x:c r="C372" s="30" t="str">
        <x:v>Public notification of sampling results was not a focus in responding to Hurricane Katrina drinking water issues because of the nature of drinking water sampling. The total coliform test provides a positive or negative result, indicating the presence (or absence) of bacteria; it is not a numerical result subject to interpretation on whether a health-based standard is exceeded. After Hurricane Katrina, if a positive result was obtained, the water system was not cleared from the boil water notice. Therefore, the results were not subject to interpretation as to what level was safe. While not provided with individual sampling results, the public was informed whether to continue boiling their water.</x:v>
      </x:c>
      <x:c r="D372" s="30" t="str">
        <x:v>EPA</x:v>
      </x:c>
      <x:c r="E372" s="30" t="str">
        <x:v>EPA 20060914-2006-p-00033.pdf</x:v>
      </x:c>
      <x:c r="F372" s="40" t="str">
        <x:v>No</x:v>
      </x:c>
      <x:c r="G372" s="40" t="n">
        <x:v>0</x:v>
      </x:c>
      <x:c r="H372" s="40" t="str">
        <x:v>Unlabeled</x:v>
      </x:c>
      <x:c r="I372" s="40"/>
      <x:c r="J372" s="40"/>
      <x:c r="K372" s="30" t="str">
        <x:v>Default No — no retained human paragraph-level label in the curated GPT Test</x:v>
      </x:c>
      <x:c r="L372" s="30"/>
      <x:c r="M372" s="40" t="str">
        <x:v>paragraph</x:v>
      </x:c>
      <x:c r="N372" s="40" t="str">
        <x:v>No</x:v>
      </x:c>
      <x:c r="O372" s="30"/>
      <x:c r="P372" s="30" t="str">
        <x:v>19:0</x:v>
      </x:c>
    </x:row>
    <x:row r="373" ht="45" customHeight="1">
      <x:c r="A373" s="30" t="str">
        <x:v>EPA-A065</x:v>
      </x:c>
      <x:c r="B373" s="30" t="str">
        <x:v>p 19</x:v>
      </x:c>
      <x:c r="C373" s="30" t="str">
        <x:v>EPA played a major role in sampling floodwaters in New Orleans and coastal water in Mississippi for a variety of contaminants. LDEQ officials used water quality data collected by EPA to evaluate the potential health risks associated with short-term exposure to floodwaters for a variety of contaminants, including bacterial contamination from malfunctioning wastewater systems. Louisiana officials also used this data to make decisions regarding the level of protection required for rescue workers. Region 4, in cooperation with Mississippi, sampled its coastal waters for the presence of pollutants likely to be released as a result of flooding caused by Hurricane Katrina. EPA’s Science Advisory Board commented on the Quality Assurance Project Plan.</x:v>
      </x:c>
      <x:c r="D373" s="30" t="str">
        <x:v>EPA</x:v>
      </x:c>
      <x:c r="E373" s="30" t="str">
        <x:v>EPA 20060914-2006-p-00033.pdf</x:v>
      </x:c>
      <x:c r="F373" s="40" t="str">
        <x:v>No</x:v>
      </x:c>
      <x:c r="G373" s="40" t="n">
        <x:v>0</x:v>
      </x:c>
      <x:c r="H373" s="40" t="str">
        <x:v>Unlabeled</x:v>
      </x:c>
      <x:c r="I373" s="40"/>
      <x:c r="J373" s="40"/>
      <x:c r="K373" s="30" t="str">
        <x:v>Default No — no retained human paragraph-level label in the curated GPT Test</x:v>
      </x:c>
      <x:c r="L373" s="30"/>
      <x:c r="M373" s="40" t="str">
        <x:v>paragraph</x:v>
      </x:c>
      <x:c r="N373" s="40" t="str">
        <x:v>No</x:v>
      </x:c>
      <x:c r="O373" s="30"/>
      <x:c r="P373" s="30" t="str">
        <x:v>19:2</x:v>
      </x:c>
    </x:row>
    <x:row r="374" ht="45" customHeight="1">
      <x:c r="A374" s="30" t="str">
        <x:v>EPA-A066</x:v>
      </x:c>
      <x:c r="B374" s="30" t="str">
        <x:v>p 19</x:v>
      </x:c>
      <x:c r="C374" s="30" t="str">
        <x:v>The adequacy of environmental sampling was not a concern in responding to hazardous waste and debris management issues after Katrina.</x:v>
      </x:c>
      <x:c r="D374" s="30" t="str">
        <x:v>EPA</x:v>
      </x:c>
      <x:c r="E374" s="30" t="str">
        <x:v>EPA 20060914-2006-p-00033.pdf</x:v>
      </x:c>
      <x:c r="F374" s="40" t="str">
        <x:v>No</x:v>
      </x:c>
      <x:c r="G374" s="40" t="n">
        <x:v>0</x:v>
      </x:c>
      <x:c r="H374" s="40" t="str">
        <x:v>Unlabeled</x:v>
      </x:c>
      <x:c r="I374" s="40"/>
      <x:c r="J374" s="40"/>
      <x:c r="K374" s="30" t="str">
        <x:v>Default No — no retained human paragraph-level label in the curated GPT Test</x:v>
      </x:c>
      <x:c r="L374" s="30"/>
      <x:c r="M374" s="40" t="str">
        <x:v>paragraph</x:v>
      </x:c>
      <x:c r="N374" s="40" t="str">
        <x:v>No</x:v>
      </x:c>
      <x:c r="O374" s="30"/>
      <x:c r="P374" s="30" t="str">
        <x:v>19:4</x:v>
      </x:c>
    </x:row>
    <x:row r="375" ht="45" customHeight="1">
      <x:c r="A375" s="30" t="str">
        <x:v>EPA-A067</x:v>
      </x:c>
      <x:c r="B375" s="30" t="str">
        <x:v>p 19</x:v>
      </x:c>
      <x:c r="C375" s="30" t="str">
        <x:v>To assess sediment contamination, Region 6 focused its initial sampling toward characterizing the sediment to determine potential risks to first responders. On-going sampling and analysis is being conducted to address risk associated with long-term exposure. To help ensure reliable and quality sampling data, Region 6 developed an emergency response quality assurance sampling plan that includes screening levels, quality assurance measures, and data validation requirements. During the initial sampling period of September 10 – October 14, 2005, EPA and LDEQ collected sediment samples at more than 430 sites in the streets and public areas of Jefferson, Orleans, Plaquemines, and St. Bernard Parishes. EPA tested each of the samples for about 200 different pollutants, including volatile organic compounds, semi-volatile organic compounds, total metals, pesticides, and total petroleum hydrocarbons.</x:v>
      </x:c>
      <x:c r="D375" s="30" t="str">
        <x:v>EPA</x:v>
      </x:c>
      <x:c r="E375" s="30" t="str">
        <x:v>EPA 20060914-2006-p-00033.pdf</x:v>
      </x:c>
      <x:c r="F375" s="40" t="str">
        <x:v>No</x:v>
      </x:c>
      <x:c r="G375" s="40" t="n">
        <x:v>0</x:v>
      </x:c>
      <x:c r="H375" s="40" t="str">
        <x:v>Unlabeled</x:v>
      </x:c>
      <x:c r="I375" s="40"/>
      <x:c r="J375" s="40"/>
      <x:c r="K375" s="30" t="str">
        <x:v>Default No — no retained human paragraph-level label in the curated GPT Test</x:v>
      </x:c>
      <x:c r="L375" s="30"/>
      <x:c r="M375" s="40" t="str">
        <x:v>paragraph</x:v>
      </x:c>
      <x:c r="N375" s="40" t="str">
        <x:v>No</x:v>
      </x:c>
      <x:c r="O375" s="30"/>
      <x:c r="P375" s="30" t="str">
        <x:v>19:5</x:v>
      </x:c>
    </x:row>
    <x:row r="376" ht="45" customHeight="1">
      <x:c r="A376" s="30" t="str">
        <x:v>EPA-A068</x:v>
      </x:c>
      <x:c r="B376" s="30" t="str">
        <x:v>p 19</x:v>
      </x:c>
      <x:c r="C376" s="30" t="str">
        <x:v>With respect to Superfund sites in Louisiana, Region 6, with assistance from the State, conducted initial NPL site assessments during September 2-9, 2005. EPA and LDEQ conducted further evaluation and sample activities (sediments, surface water, and groundwater) from September 13 through October 14, 2005, in accordance with sitespecific operations and maintenance monitoring plans. EPA’s conclusions regarding the potential impact of the hurricane on the sites were based on comparisons of post-hurricane data to past sample data collected during routine monitoring activities.</x:v>
      </x:c>
      <x:c r="D376" s="30" t="str">
        <x:v>EPA</x:v>
      </x:c>
      <x:c r="E376" s="30" t="str">
        <x:v>EPA 20060914-2006-p-00033.pdf</x:v>
      </x:c>
      <x:c r="F376" s="40" t="str">
        <x:v>No</x:v>
      </x:c>
      <x:c r="G376" s="40" t="n">
        <x:v>0</x:v>
      </x:c>
      <x:c r="H376" s="40" t="str">
        <x:v>Unlabeled</x:v>
      </x:c>
      <x:c r="I376" s="40"/>
      <x:c r="J376" s="40"/>
      <x:c r="K376" s="30" t="str">
        <x:v>Default No — no retained human paragraph-level label in the curated GPT Test</x:v>
      </x:c>
      <x:c r="L376" s="30"/>
      <x:c r="M376" s="40" t="str">
        <x:v>paragraph</x:v>
      </x:c>
      <x:c r="N376" s="40" t="str">
        <x:v>No</x:v>
      </x:c>
      <x:c r="O376" s="30"/>
      <x:c r="P376" s="30" t="str">
        <x:v>19:6</x:v>
      </x:c>
    </x:row>
    <x:row r="377" ht="45" customHeight="1">
      <x:c r="A377" s="30" t="str">
        <x:v>EPA-A069</x:v>
      </x:c>
      <x:c r="B377" s="30" t="str">
        <x:v>p 20</x:v>
      </x:c>
      <x:c r="C377" s="30" t="str">
        <x:v>Region 6 received, evaluated, and promptly posted validated analytical data results on the Agency’s public Website.</x:v>
      </x:c>
      <x:c r="D377" s="30" t="str">
        <x:v>EPA</x:v>
      </x:c>
      <x:c r="E377" s="30" t="str">
        <x:v>EPA 20060914-2006-p-00033.pdf</x:v>
      </x:c>
      <x:c r="F377" s="40" t="str">
        <x:v>No</x:v>
      </x:c>
      <x:c r="G377" s="40" t="n">
        <x:v>0</x:v>
      </x:c>
      <x:c r="H377" s="40" t="str">
        <x:v>Unlabeled</x:v>
      </x:c>
      <x:c r="I377" s="40"/>
      <x:c r="J377" s="40"/>
      <x:c r="K377" s="30" t="str">
        <x:v>Default No — no retained human paragraph-level label in the curated GPT Test</x:v>
      </x:c>
      <x:c r="L377" s="30"/>
      <x:c r="M377" s="40" t="str">
        <x:v>paragraph</x:v>
      </x:c>
      <x:c r="N377" s="40" t="str">
        <x:v>No</x:v>
      </x:c>
      <x:c r="O377" s="30"/>
      <x:c r="P377" s="30" t="str">
        <x:v>20:0</x:v>
      </x:c>
    </x:row>
    <x:row r="378" ht="45" customHeight="1">
      <x:c r="A378" s="30" t="str">
        <x:v>EPA-A070</x:v>
      </x:c>
      <x:c r="B378" s="30" t="str">
        <x:v>p 20</x:v>
      </x:c>
      <x:c r="C378" s="30" t="str">
        <x:v>In Mississippi, MDEQ conducted initial NPL site assessments during September 7-8, 2005. EPA Region 4 conducted further evaluation and sampling activities from September 15 through October 14, 2005. Sampling activities were conducted in accordance with Region 4’s Quality Assurance Project Plan, Post-Katrina Site Evaluations, Southern and Coastal Alabama and Mississippi, October 2005, which was developed according to EPA guidance for Quality Assurance Project Plans.</x:v>
      </x:c>
      <x:c r="D378" s="30" t="str">
        <x:v>EPA</x:v>
      </x:c>
      <x:c r="E378" s="30" t="str">
        <x:v>EPA 20060914-2006-p-00033.pdf</x:v>
      </x:c>
      <x:c r="F378" s="40" t="str">
        <x:v>No</x:v>
      </x:c>
      <x:c r="G378" s="40" t="n">
        <x:v>0</x:v>
      </x:c>
      <x:c r="H378" s="40" t="str">
        <x:v>Unlabeled</x:v>
      </x:c>
      <x:c r="I378" s="40"/>
      <x:c r="J378" s="40"/>
      <x:c r="K378" s="30" t="str">
        <x:v>Default No — no retained human paragraph-level label in the curated GPT Test</x:v>
      </x:c>
      <x:c r="L378" s="30"/>
      <x:c r="M378" s="40" t="str">
        <x:v>paragraph</x:v>
      </x:c>
      <x:c r="N378" s="40" t="str">
        <x:v>No</x:v>
      </x:c>
      <x:c r="O378" s="30"/>
      <x:c r="P378" s="30" t="str">
        <x:v>20:1</x:v>
      </x:c>
    </x:row>
    <x:row r="379" ht="45" customHeight="1">
      <x:c r="A379" s="30" t="str">
        <x:v>EPA-A071</x:v>
      </x:c>
      <x:c r="B379" s="30" t="str">
        <x:v>p 20</x:v>
      </x:c>
      <x:c r="C379" s="30" t="str">
        <x:v>To address oil spills, EPA, working closely with LDEQ, is also overseeing ongoing sampling activities of residential and other properties, and is performing independent sampling activities in a residential neighborhood. As of March 13, 2006, EPA had collected 745 quality assurance/quality control split samples from 7,200 interior and exterior sediment samples gathered at 4,252 addresses by Murphy Oil (a site where a significant oil spill occurred adjacent to a residential neighborhood).</x:v>
      </x:c>
      <x:c r="D379" s="30" t="str">
        <x:v>EPA</x:v>
      </x:c>
      <x:c r="E379" s="30" t="str">
        <x:v>EPA 20060914-2006-p-00033.pdf</x:v>
      </x:c>
      <x:c r="F379" s="40" t="str">
        <x:v>No</x:v>
      </x:c>
      <x:c r="G379" s="40" t="n">
        <x:v>0</x:v>
      </x:c>
      <x:c r="H379" s="40" t="str">
        <x:v>Unlabeled</x:v>
      </x:c>
      <x:c r="I379" s="40"/>
      <x:c r="J379" s="40"/>
      <x:c r="K379" s="30" t="str">
        <x:v>Default No — no retained human paragraph-level label in the curated GPT Test</x:v>
      </x:c>
      <x:c r="L379" s="30"/>
      <x:c r="M379" s="40" t="str">
        <x:v>paragraph</x:v>
      </x:c>
      <x:c r="N379" s="40" t="str">
        <x:v>No</x:v>
      </x:c>
      <x:c r="O379" s="30"/>
      <x:c r="P379" s="30" t="str">
        <x:v>20:2</x:v>
      </x:c>
    </x:row>
    <x:row r="380" ht="45" customHeight="1">
      <x:c r="A380" s="30" t="str">
        <x:v>EPA-A072</x:v>
      </x:c>
      <x:c r="B380" s="30" t="str">
        <x:v>p 20</x:v>
      </x:c>
      <x:c r="C380" s="30" t="str">
        <x:v>Our World Trade Center report noted that monitoring immediately after the collapse of the World Trade Center towers was hampered by a lack of power, equipment, and analytical capacity. Lessons learned from the World Trade Center response appear to have helped in responding to monitoring concerns after Katrina. After the World Trade Center response, EPA expanded its mobile laboratory program. These mobile laboratories played a significant role in providing monitoring assistance to Louisiana and Mississippi after Katrina.</x:v>
      </x:c>
      <x:c r="D380" s="30" t="str">
        <x:v>EPA</x:v>
      </x:c>
      <x:c r="E380" s="30" t="str">
        <x:v>EPA 20060914-2006-p-00033.pdf</x:v>
      </x:c>
      <x:c r="F380" s="40" t="str">
        <x:v>No</x:v>
      </x:c>
      <x:c r="G380" s="40" t="n">
        <x:v>0</x:v>
      </x:c>
      <x:c r="H380" s="40" t="str">
        <x:v>Unlabeled</x:v>
      </x:c>
      <x:c r="I380" s="40"/>
      <x:c r="J380" s="40"/>
      <x:c r="K380" s="30" t="str">
        <x:v>Default No — no retained human paragraph-level label in the curated GPT Test</x:v>
      </x:c>
      <x:c r="L380" s="30"/>
      <x:c r="M380" s="40" t="str">
        <x:v>paragraph</x:v>
      </x:c>
      <x:c r="N380" s="40" t="str">
        <x:v>No</x:v>
      </x:c>
      <x:c r="O380" s="30"/>
      <x:c r="P380" s="30" t="str">
        <x:v>20:4</x:v>
      </x:c>
    </x:row>
    <x:row r="381" ht="45" customHeight="1">
      <x:c r="A381" s="30" t="str">
        <x:v>EPA-A073</x:v>
      </x:c>
      <x:c r="B381" s="30" t="str">
        <x:v>p 20</x:v>
      </x:c>
      <x:c r="C381" s="30" t="str">
        <x:v>Although the analytical capacity for Mississippi and Louisiana was diminished after Katrina, EPA Regions 4, 6, and 8 addressed this by providing mobile laboratories and staff to Mississippi and Louisiana to provide monitoring and analytical support for drinking water. Though Region 8 was not impacted, it provided a mobile laboratory.</x:v>
      </x:c>
      <x:c r="D381" s="30" t="str">
        <x:v>EPA</x:v>
      </x:c>
      <x:c r="E381" s="30" t="str">
        <x:v>EPA 20060914-2006-p-00033.pdf</x:v>
      </x:c>
      <x:c r="F381" s="40" t="str">
        <x:v>No</x:v>
      </x:c>
      <x:c r="G381" s="40" t="n">
        <x:v>0</x:v>
      </x:c>
      <x:c r="H381" s="40" t="str">
        <x:v>Unlabeled</x:v>
      </x:c>
      <x:c r="I381" s="40"/>
      <x:c r="J381" s="40"/>
      <x:c r="K381" s="30" t="str">
        <x:v>Default No — no retained human paragraph-level label in the curated GPT Test</x:v>
      </x:c>
      <x:c r="L381" s="30"/>
      <x:c r="M381" s="40" t="str">
        <x:v>paragraph</x:v>
      </x:c>
      <x:c r="N381" s="40" t="str">
        <x:v>No</x:v>
      </x:c>
      <x:c r="O381" s="30"/>
      <x:c r="P381" s="30" t="str">
        <x:v>20:6</x:v>
      </x:c>
    </x:row>
    <x:row r="382" ht="45" customHeight="1">
      <x:c r="A382" s="30" t="str">
        <x:v>EPA-A074</x:v>
      </x:c>
      <x:c r="B382" s="30" t="str">
        <x:v>p 20</x:v>
      </x:c>
      <x:c r="C382" s="30" t="str">
        <x:v>From our limited review of wastewater facilities impacted by Katrina, we did not find any issues with Federal and State monitoring capabilities. EPA and the States conducted some preliminary water quality monitoring to assess impacts to the environment resulting from the hurricane.</x:v>
      </x:c>
      <x:c r="D382" s="30" t="str">
        <x:v>EPA</x:v>
      </x:c>
      <x:c r="E382" s="30" t="str">
        <x:v>EPA 20060914-2006-p-00033.pdf</x:v>
      </x:c>
      <x:c r="F382" s="40" t="str">
        <x:v>No</x:v>
      </x:c>
      <x:c r="G382" s="40" t="n">
        <x:v>0</x:v>
      </x:c>
      <x:c r="H382" s="40" t="str">
        <x:v>Unlabeled</x:v>
      </x:c>
      <x:c r="I382" s="40"/>
      <x:c r="J382" s="40"/>
      <x:c r="K382" s="30" t="str">
        <x:v>Default No — no retained human paragraph-level label in the curated GPT Test</x:v>
      </x:c>
      <x:c r="L382" s="30"/>
      <x:c r="M382" s="40" t="str">
        <x:v>paragraph</x:v>
      </x:c>
      <x:c r="N382" s="40" t="str">
        <x:v>No</x:v>
      </x:c>
      <x:c r="O382" s="30"/>
      <x:c r="P382" s="30" t="str">
        <x:v>20:8</x:v>
      </x:c>
    </x:row>
    <x:row r="383" ht="45" customHeight="1">
      <x:c r="A383" s="30" t="str">
        <x:v>EPA-A075</x:v>
      </x:c>
      <x:c r="B383" s="30" t="str">
        <x:v>p 20</x:v>
      </x:c>
      <x:c r="C383" s="30" t="str">
        <x:v>EPA Region 4 and Mississippi conducted water quality monitoring to assess the impacts of Hurricane Katrina on the Gulf environment. A report was released on October 28, 2005, titled Water Quality Study of Bays in Coastal Mississippi Water Quality Report, documenting the results, which showed few detectable priority pollutant compounds on the impacted bays and rivers.</x:v>
      </x:c>
      <x:c r="D383" s="30" t="str">
        <x:v>EPA</x:v>
      </x:c>
      <x:c r="E383" s="30" t="str">
        <x:v>EPA 20060914-2006-p-00033.pdf</x:v>
      </x:c>
      <x:c r="F383" s="40" t="str">
        <x:v>No</x:v>
      </x:c>
      <x:c r="G383" s="40" t="n">
        <x:v>0</x:v>
      </x:c>
      <x:c r="H383" s="40" t="str">
        <x:v>Unlabeled</x:v>
      </x:c>
      <x:c r="I383" s="40"/>
      <x:c r="J383" s="40"/>
      <x:c r="K383" s="30" t="str">
        <x:v>Default No — no retained human paragraph-level label in the curated GPT Test</x:v>
      </x:c>
      <x:c r="L383" s="30"/>
      <x:c r="M383" s="40" t="str">
        <x:v>paragraph</x:v>
      </x:c>
      <x:c r="N383" s="40" t="str">
        <x:v>No</x:v>
      </x:c>
      <x:c r="O383" s="30"/>
      <x:c r="P383" s="30" t="str">
        <x:v>20:9</x:v>
      </x:c>
    </x:row>
    <x:row r="384" ht="45" customHeight="1">
      <x:c r="A384" s="30" t="str">
        <x:v>EPA-A076</x:v>
      </x:c>
      <x:c r="B384" s="30" t="str">
        <x:v>p 21</x:v>
      </x:c>
      <x:c r="C384" s="30" t="str">
        <x:v>On December 6, 2005, EPA released a report assessing floodwaters in Louisiana, titled Environmental Assessment Summary for Areas of Jefferson, Orleans, St. Bernard, and Plaquemines Parishes Flooded as a Result of Hurricane Katrina. The assessment found that floodwater samples revealed elevated bacteria levels associated with untreated sewage. It also found that floodwaters no longer serve as a source of exposure to residents returning to impacted areas.</x:v>
      </x:c>
      <x:c r="D384" s="30" t="str">
        <x:v>EPA</x:v>
      </x:c>
      <x:c r="E384" s="30" t="str">
        <x:v>EPA 20060914-2006-p-00033.pdf</x:v>
      </x:c>
      <x:c r="F384" s="40" t="str">
        <x:v>No</x:v>
      </x:c>
      <x:c r="G384" s="40" t="n">
        <x:v>0</x:v>
      </x:c>
      <x:c r="H384" s="40" t="str">
        <x:v>Unlabeled</x:v>
      </x:c>
      <x:c r="I384" s="40"/>
      <x:c r="J384" s="40"/>
      <x:c r="K384" s="30" t="str">
        <x:v>Default No — no retained human paragraph-level label in the curated GPT Test</x:v>
      </x:c>
      <x:c r="L384" s="30"/>
      <x:c r="M384" s="40" t="str">
        <x:v>paragraph</x:v>
      </x:c>
      <x:c r="N384" s="40" t="str">
        <x:v>No</x:v>
      </x:c>
      <x:c r="O384" s="30"/>
      <x:c r="P384" s="30" t="str">
        <x:v>21:0</x:v>
      </x:c>
    </x:row>
    <x:row r="385" ht="45" customHeight="1">
      <x:c r="A385" s="30" t="str">
        <x:v>EPA-A077</x:v>
      </x:c>
      <x:c r="B385" s="30" t="str">
        <x:v>p 21</x:v>
      </x:c>
      <x:c r="C385" s="30" t="str">
        <x:v>Wastewater treatment facility operators were required to conduct self-monitoring of effluent at wastewater treatment facilities under the State-operated NPDES programs in Louisiana and Mississippi. Facilities in Louisiana were expected to continue regular reporting of their effluent water quality, and facilities in Mississippi were given 30 days to resume monitoring and reporting.</x:v>
      </x:c>
      <x:c r="D385" s="30" t="str">
        <x:v>EPA</x:v>
      </x:c>
      <x:c r="E385" s="30" t="str">
        <x:v>EPA 20060914-2006-p-00033.pdf</x:v>
      </x:c>
      <x:c r="F385" s="40" t="str">
        <x:v>No</x:v>
      </x:c>
      <x:c r="G385" s="40" t="n">
        <x:v>0</x:v>
      </x:c>
      <x:c r="H385" s="40" t="str">
        <x:v>Unlabeled</x:v>
      </x:c>
      <x:c r="I385" s="40"/>
      <x:c r="J385" s="40"/>
      <x:c r="K385" s="30" t="str">
        <x:v>Default No — no retained human paragraph-level label in the curated GPT Test</x:v>
      </x:c>
      <x:c r="L385" s="30"/>
      <x:c r="M385" s="40" t="str">
        <x:v>paragraph</x:v>
      </x:c>
      <x:c r="N385" s="40" t="str">
        <x:v>No</x:v>
      </x:c>
      <x:c r="O385" s="30"/>
      <x:c r="P385" s="30" t="str">
        <x:v>21:1</x:v>
      </x:c>
    </x:row>
    <x:row r="386" ht="45" customHeight="1">
      <x:c r="A386" s="30" t="str">
        <x:v>EPA-A078</x:v>
      </x:c>
      <x:c r="B386" s="30" t="str">
        <x:v>p 21</x:v>
      </x:c>
      <x:c r="C386" s="30" t="str">
        <x:v>With respect to hazardous waste and debris management, we did not identify any issues with monitoring capabilities. EPA utilized its mobile equipment in the initial assessment period. Details of the monitoring activities are provided above.</x:v>
      </x:c>
      <x:c r="D386" s="30" t="str">
        <x:v>EPA</x:v>
      </x:c>
      <x:c r="E386" s="30" t="str">
        <x:v>EPA 20060914-2006-p-00033.pdf</x:v>
      </x:c>
      <x:c r="F386" s="40" t="str">
        <x:v>No</x:v>
      </x:c>
      <x:c r="G386" s="40" t="n">
        <x:v>0</x:v>
      </x:c>
      <x:c r="H386" s="40" t="str">
        <x:v>Unlabeled</x:v>
      </x:c>
      <x:c r="I386" s="40"/>
      <x:c r="J386" s="40"/>
      <x:c r="K386" s="30" t="str">
        <x:v>Default No — no retained human paragraph-level label in the curated GPT Test</x:v>
      </x:c>
      <x:c r="L386" s="30"/>
      <x:c r="M386" s="40" t="str">
        <x:v>paragraph</x:v>
      </x:c>
      <x:c r="N386" s="40" t="str">
        <x:v>No</x:v>
      </x:c>
      <x:c r="O386" s="30"/>
      <x:c r="P386" s="30" t="str">
        <x:v>21:3</x:v>
      </x:c>
    </x:row>
    <x:row r="387" ht="45" customHeight="1">
      <x:c r="A387" s="30" t="str">
        <x:v>EPA-A079</x:v>
      </x:c>
      <x:c r="B387" s="30" t="str">
        <x:v>p 21</x:v>
      </x:c>
      <x:c r="C387" s="30" t="str">
        <x:v>This issue relates to the existence of guidelines for making public health protection decisions. In the World Trade Center report, we noted that short-term or acute standards or guidelines did not exist for some pollutants of concern, and thus had to be developed to address the healtheffects from exposure to the contaminants of concern. Lack of short-term exposure guidelines was not a significant concern in the Katrina response. While the World Trade Center response dealt with indoor contamination concerns from many pollutants without short-term exposure guidelines, short-term exposure guidelines were already in place as part of the overall program structures for drinking water and wastewater. In the case of hazardous waste, EPA and ATSDR used existing guidelines or developed exposure models based on current available toxicity information to determine associated risk.</x:v>
      </x:c>
      <x:c r="D387" s="30" t="str">
        <x:v>EPA</x:v>
      </x:c>
      <x:c r="E387" s="30" t="str">
        <x:v>EPA 20060914-2006-p-00033.pdf</x:v>
      </x:c>
      <x:c r="F387" s="40" t="str">
        <x:v>No</x:v>
      </x:c>
      <x:c r="G387" s="40" t="n">
        <x:v>0</x:v>
      </x:c>
      <x:c r="H387" s="40" t="str">
        <x:v>Unlabeled</x:v>
      </x:c>
      <x:c r="I387" s="40"/>
      <x:c r="J387" s="40"/>
      <x:c r="K387" s="30" t="str">
        <x:v>Default No — no retained human paragraph-level label in the curated GPT Test</x:v>
      </x:c>
      <x:c r="L387" s="30"/>
      <x:c r="M387" s="40" t="str">
        <x:v>paragraph</x:v>
      </x:c>
      <x:c r="N387" s="40" t="str">
        <x:v>No</x:v>
      </x:c>
      <x:c r="O387" s="30"/>
      <x:c r="P387" s="30" t="str">
        <x:v>21:5</x:v>
      </x:c>
    </x:row>
    <x:row r="388" ht="45" customHeight="1">
      <x:c r="A388" s="30" t="str">
        <x:v>EPA-A080</x:v>
      </x:c>
      <x:c r="B388" s="30" t="str">
        <x:v>p 21</x:v>
      </x:c>
      <x:c r="C388" s="30" t="str">
        <x:v>This was not a concern after Katrina since EPA had already established acute exposure standards for total coliform in 1989. Mississippi and Louisiana used the EPA total coliform standard and a modified testing regimen to test drinking water safety after Katrina.</x:v>
      </x:c>
      <x:c r="D388" s="30" t="str">
        <x:v>EPA</x:v>
      </x:c>
      <x:c r="E388" s="30" t="str">
        <x:v>EPA 20060914-2006-p-00033.pdf</x:v>
      </x:c>
      <x:c r="F388" s="40" t="str">
        <x:v>No</x:v>
      </x:c>
      <x:c r="G388" s="40" t="n">
        <x:v>0</x:v>
      </x:c>
      <x:c r="H388" s="40" t="str">
        <x:v>Unlabeled</x:v>
      </x:c>
      <x:c r="I388" s="40"/>
      <x:c r="J388" s="40"/>
      <x:c r="K388" s="30" t="str">
        <x:v>Default No — no retained human paragraph-level label in the curated GPT Test</x:v>
      </x:c>
      <x:c r="L388" s="30"/>
      <x:c r="M388" s="40" t="str">
        <x:v>paragraph</x:v>
      </x:c>
      <x:c r="N388" s="40" t="str">
        <x:v>No</x:v>
      </x:c>
      <x:c r="O388" s="30"/>
      <x:c r="P388" s="30" t="str">
        <x:v>21:7</x:v>
      </x:c>
    </x:row>
    <x:row r="389" ht="45" customHeight="1">
      <x:c r="A389" s="30" t="str">
        <x:v>EPA-A081</x:v>
      </x:c>
      <x:c r="B389" s="30" t="str">
        <x:v>p 21</x:v>
      </x:c>
      <x:c r="C389" s="30" t="str">
        <x:v>With respect to wastewater, this was not a concern after Hurricane Katrina, as EPA had already established recommended levels of exposures to e-coli, a pollutant commonly found in untreated or partially treated wastewater.</x:v>
      </x:c>
      <x:c r="D389" s="30" t="str">
        <x:v>EPA</x:v>
      </x:c>
      <x:c r="E389" s="30" t="str">
        <x:v>EPA 20060914-2006-p-00033.pdf</x:v>
      </x:c>
      <x:c r="F389" s="40" t="str">
        <x:v>No</x:v>
      </x:c>
      <x:c r="G389" s="40" t="n">
        <x:v>0</x:v>
      </x:c>
      <x:c r="H389" s="40" t="str">
        <x:v>Unlabeled</x:v>
      </x:c>
      <x:c r="I389" s="40"/>
      <x:c r="J389" s="40"/>
      <x:c r="K389" s="30" t="str">
        <x:v>Default No — no retained human paragraph-level label in the curated GPT Test</x:v>
      </x:c>
      <x:c r="L389" s="30"/>
      <x:c r="M389" s="40" t="str">
        <x:v>paragraph</x:v>
      </x:c>
      <x:c r="N389" s="40" t="str">
        <x:v>No</x:v>
      </x:c>
      <x:c r="O389" s="30"/>
      <x:c r="P389" s="30" t="str">
        <x:v>21:9</x:v>
      </x:c>
    </x:row>
    <x:row r="390" ht="45" customHeight="1">
      <x:c r="A390" s="30" t="str">
        <x:v>EPA-A082</x:v>
      </x:c>
      <x:c r="B390" s="30" t="str">
        <x:v>p 22</x:v>
      </x:c>
      <x:c r="C390" s="30" t="str">
        <x:v>The existence of short-term exposure guidelines and standards was also not an issue with the response to hazardous wastes and the management of debris.</x:v>
      </x:c>
      <x:c r="D390" s="30" t="str">
        <x:v>EPA</x:v>
      </x:c>
      <x:c r="E390" s="30" t="str">
        <x:v>EPA 20060914-2006-p-00033.pdf</x:v>
      </x:c>
      <x:c r="F390" s="40" t="str">
        <x:v>No</x:v>
      </x:c>
      <x:c r="G390" s="40" t="n">
        <x:v>0</x:v>
      </x:c>
      <x:c r="H390" s="40" t="str">
        <x:v>Unlabeled</x:v>
      </x:c>
      <x:c r="I390" s="40"/>
      <x:c r="J390" s="40"/>
      <x:c r="K390" s="30" t="str">
        <x:v>Default No — no retained human paragraph-level label in the curated GPT Test</x:v>
      </x:c>
      <x:c r="L390" s="30"/>
      <x:c r="M390" s="40" t="str">
        <x:v>paragraph</x:v>
      </x:c>
      <x:c r="N390" s="40" t="str">
        <x:v>No</x:v>
      </x:c>
      <x:c r="O390" s="30"/>
      <x:c r="P390" s="30" t="str">
        <x:v>22:1</x:v>
      </x:c>
    </x:row>
    <x:row r="391" ht="45" customHeight="1">
      <x:c r="A391" s="30" t="str">
        <x:v>EPA-A083</x:v>
      </x:c>
      <x:c r="B391" s="30" t="str">
        <x:v>p 22</x:v>
      </x:c>
      <x:c r="C391" s="30" t="str">
        <x:v>EPA and LDEQ compared levels of chemicals with ATSDR Minimum Risk Levels to the appropriate Minimum Risk Levels to determine risk. For those chemicals with no Minimum Risk Level, ATSDR developed exposure models based on current available toxicity information to determine associated risk. To determine short-term risk associated with the detected chemicals, EPA worked closely with ATSDR to determine appropriate exposure scenarios. EPA and ATSDR concluded that exposure during response activities to the low levels detected should not cause adverse health impacts as long as proper protective equipment is worn (e.g., gloves and safety glasses).</x:v>
      </x:c>
      <x:c r="D391" s="30" t="str">
        <x:v>EPA</x:v>
      </x:c>
      <x:c r="E391" s="30" t="str">
        <x:v>EPA 20060914-2006-p-00033.pdf</x:v>
      </x:c>
      <x:c r="F391" s="40" t="str">
        <x:v>No</x:v>
      </x:c>
      <x:c r="G391" s="40" t="n">
        <x:v>0</x:v>
      </x:c>
      <x:c r="H391" s="40" t="str">
        <x:v>Unlabeled</x:v>
      </x:c>
      <x:c r="I391" s="40"/>
      <x:c r="J391" s="40"/>
      <x:c r="K391" s="30" t="str">
        <x:v>Default No — no retained human paragraph-level label in the curated GPT Test</x:v>
      </x:c>
      <x:c r="L391" s="30"/>
      <x:c r="M391" s="40" t="str">
        <x:v>paragraph</x:v>
      </x:c>
      <x:c r="N391" s="40" t="str">
        <x:v>No</x:v>
      </x:c>
      <x:c r="O391" s="30"/>
      <x:c r="P391" s="30" t="str">
        <x:v>22:2</x:v>
      </x:c>
    </x:row>
    <x:row r="392" ht="45" customHeight="1">
      <x:c r="A392" s="30" t="str">
        <x:v>EPA-A084</x:v>
      </x:c>
      <x:c r="B392" s="30" t="str">
        <x:v>p 22</x:v>
      </x:c>
      <x:c r="C392" s="30" t="str">
        <x:v>Following the initial sampling period for sediment contamination, EPA began addressing risks associated with long-term exposure. EPA and LDEQ compared results of samples collected after September 25, 2005, to LDEQ’s Risk Evaluation/Corrective Action Program (RECAP) Management Option 1 Soil Standards. LDEQ’s non-industrial RECAP Soil Standards are intended to be protective of long-term (i.e., 30-year) exposures to children and adults in a residential setting. Although the levels in some samples exceeded RECAP standards, they fell within a risk range of 1 in 1,000,000 to 1 in 10,000 risk of an individual developing cancer over a lifetime, from exposure to those concentrations. EPA has found this risk level acceptable in other contexts.</x:v>
      </x:c>
      <x:c r="D392" s="30" t="str">
        <x:v>EPA</x:v>
      </x:c>
      <x:c r="E392" s="30" t="str">
        <x:v>EPA 20060914-2006-p-00033.pdf</x:v>
      </x:c>
      <x:c r="F392" s="40" t="str">
        <x:v>No</x:v>
      </x:c>
      <x:c r="G392" s="40" t="n">
        <x:v>0</x:v>
      </x:c>
      <x:c r="H392" s="40" t="str">
        <x:v>Unlabeled</x:v>
      </x:c>
      <x:c r="I392" s="40"/>
      <x:c r="J392" s="40"/>
      <x:c r="K392" s="30" t="str">
        <x:v>Default No — no retained human paragraph-level label in the curated GPT Test</x:v>
      </x:c>
      <x:c r="L392" s="30"/>
      <x:c r="M392" s="40" t="str">
        <x:v>paragraph</x:v>
      </x:c>
      <x:c r="N392" s="40" t="str">
        <x:v>No</x:v>
      </x:c>
      <x:c r="O392" s="30"/>
      <x:c r="P392" s="30" t="str">
        <x:v>22:3</x:v>
      </x:c>
    </x:row>
    <x:row r="393" ht="45" customHeight="1">
      <x:c r="A393" s="30" t="str">
        <x:v>EPA-A085</x:v>
      </x:c>
      <x:c r="B393" s="30" t="str">
        <x:v>p 22</x:v>
      </x:c>
      <x:c r="C393" s="30" t="str">
        <x:v>EPA’s conclusions regarding potential impact of the hurricane on Superfund sites were based on a comparison of post-hurricane data to existing soils and sediment cleanup values defined for the site, or past sample data. In addition, the results in Mississippi were compared to EPA Region 9 Preliminary Remediation Goals3 and the Office of Water’s 2004 National Recommended Water Quality Criteria4 to determine whether site conditions might represent previously unrecognized risks to human health and the environment. Region 4 received, evaluated, and promptly posted validated analytical data results to the Agency’s public Website.</x:v>
      </x:c>
      <x:c r="D393" s="30" t="str">
        <x:v>EPA</x:v>
      </x:c>
      <x:c r="E393" s="30" t="str">
        <x:v>EPA 20060914-2006-p-00033.pdf</x:v>
      </x:c>
      <x:c r="F393" s="40" t="str">
        <x:v>No</x:v>
      </x:c>
      <x:c r="G393" s="40" t="n">
        <x:v>0</x:v>
      </x:c>
      <x:c r="H393" s="40" t="str">
        <x:v>Unlabeled</x:v>
      </x:c>
      <x:c r="I393" s="40"/>
      <x:c r="J393" s="40"/>
      <x:c r="K393" s="30" t="str">
        <x:v>Default No — no retained human paragraph-level label in the curated GPT Test</x:v>
      </x:c>
      <x:c r="L393" s="30"/>
      <x:c r="M393" s="40" t="str">
        <x:v>paragraph</x:v>
      </x:c>
      <x:c r="N393" s="40" t="str">
        <x:v>No</x:v>
      </x:c>
      <x:c r="O393" s="30"/>
      <x:c r="P393" s="30" t="str">
        <x:v>22:4</x:v>
      </x:c>
    </x:row>
    <x:row r="394" ht="45" customHeight="1">
      <x:c r="A394" s="30" t="str">
        <x:v>EPA-A086</x:v>
      </x:c>
      <x:c r="B394" s="30" t="str">
        <x:v>pp 22-23</x:v>
      </x:c>
      <x:c r="C394" s="30" t="str">
        <x:v>The results of EPA’s sampling activities for oil spills show that the primary contaminants detected include arsenic, polycyclic aromatic hydrocarbons, and diesel and oil range organic chemicals. EPA provided its sample results to ATSDR for evaluation and notification to the public. ATSDR concluded that short- and long-term exposures to sediments in the oil spill area do not pose a public health hazard. However, ATSDR recommended that returning residents should avoid direct contact with the oil contaminated sediments, as they may cause skin irritation. Sample results, activities performed, and recommendations for short-term protectiveness are posted on EPA’s public Website as the information becomes available.</x:v>
      </x:c>
      <x:c r="D394" s="30" t="str">
        <x:v>EPA</x:v>
      </x:c>
      <x:c r="E394" s="30" t="str">
        <x:v>EPA 20060914-2006-p-00033.pdf</x:v>
      </x:c>
      <x:c r="F394" s="40" t="str">
        <x:v>No</x:v>
      </x:c>
      <x:c r="G394" s="40" t="n">
        <x:v>0</x:v>
      </x:c>
      <x:c r="H394" s="40" t="str">
        <x:v>Unlabeled</x:v>
      </x:c>
      <x:c r="I394" s="40"/>
      <x:c r="J394" s="40"/>
      <x:c r="K394" s="30" t="str">
        <x:v>Default No — no retained human paragraph-level label in the curated GPT Test</x:v>
      </x:c>
      <x:c r="L394" s="30"/>
      <x:c r="M394" s="40" t="str">
        <x:v>paragraph</x:v>
      </x:c>
      <x:c r="N394" s="40" t="str">
        <x:v>No</x:v>
      </x:c>
      <x:c r="O394" s="30"/>
      <x:c r="P394" s="30" t="str">
        <x:v>22:5;23:0</x:v>
      </x:c>
    </x:row>
    <x:row r="395" ht="45" customHeight="1">
      <x:c r="A395" s="30" t="str">
        <x:v>EPA-A087</x:v>
      </x:c>
      <x:c r="B395" s="30" t="str">
        <x:v>p 23</x:v>
      </x:c>
      <x:c r="C395" s="30" t="str">
        <x:v>Our World Trade Center report noted that there were sometimes overlapping and confusing roles and responsibilities for the various organizations responding to the collapse of the towers. Responders’ lack of understanding of roles did not appear to be a significant concern in responding to Katrina. We believe this is primarily because the three areas of the response we evaluated – drinking water, wastewater, and hazardous waste and debris management – are all programs in which management of the program, including responding to emergencies, has been delegated to the States by EPA.</x:v>
      </x:c>
      <x:c r="D395" s="30" t="str">
        <x:v>EPA</x:v>
      </x:c>
      <x:c r="E395" s="30" t="str">
        <x:v>EPA 20060914-2006-p-00033.pdf</x:v>
      </x:c>
      <x:c r="F395" s="40" t="str">
        <x:v>No</x:v>
      </x:c>
      <x:c r="G395" s="40" t="n">
        <x:v>0</x:v>
      </x:c>
      <x:c r="H395" s="40" t="str">
        <x:v>Unlabeled</x:v>
      </x:c>
      <x:c r="I395" s="40"/>
      <x:c r="J395" s="40"/>
      <x:c r="K395" s="30" t="str">
        <x:v>Default No — no retained human paragraph-level label in the curated GPT Test</x:v>
      </x:c>
      <x:c r="L395" s="30"/>
      <x:c r="M395" s="40" t="str">
        <x:v>paragraph</x:v>
      </x:c>
      <x:c r="N395" s="40" t="str">
        <x:v>No</x:v>
      </x:c>
      <x:c r="O395" s="30"/>
      <x:c r="P395" s="30" t="str">
        <x:v>23:2</x:v>
      </x:c>
    </x:row>
    <x:row r="396" ht="45" customHeight="1">
      <x:c r="A396" s="30" t="str">
        <x:v>EPA-A088</x:v>
      </x:c>
      <x:c r="B396" s="30" t="str">
        <x:v>p 23</x:v>
      </x:c>
      <x:c r="C396" s="30" t="str">
        <x:v>Except for some coordination issues with respect to EPA and USACE, as noted in this report, this was not an issue when assessing and restoring drinking water supplies after Katrina. Louisiana and Mississippi had previously been delegated responsibility for administering the drinking water systems in their States. EPA’s delegation of drinking water primacy to the States clearly establishes that this delegation remains in force during emergencies. Accordingly, EPA fulfilled a support role in the Katrina response, and Louisiana and Mississippi maintained their delegated roles of administering the program. As noted in the previous Katrina drinking water reports, both States took steps to protect the public by issuing boil water notices and overseeing the recovery of water systems.</x:v>
      </x:c>
      <x:c r="D396" s="30" t="str">
        <x:v>EPA</x:v>
      </x:c>
      <x:c r="E396" s="30" t="str">
        <x:v>EPA 20060914-2006-p-00033.pdf</x:v>
      </x:c>
      <x:c r="F396" s="40" t="str">
        <x:v>No</x:v>
      </x:c>
      <x:c r="G396" s="40" t="n">
        <x:v>0</x:v>
      </x:c>
      <x:c r="H396" s="40" t="str">
        <x:v>Unlabeled</x:v>
      </x:c>
      <x:c r="I396" s="40"/>
      <x:c r="J396" s="40"/>
      <x:c r="K396" s="30" t="str">
        <x:v>Default No — no retained human paragraph-level label in the curated GPT Test</x:v>
      </x:c>
      <x:c r="L396" s="30"/>
      <x:c r="M396" s="40" t="str">
        <x:v>paragraph</x:v>
      </x:c>
      <x:c r="N396" s="40" t="str">
        <x:v>No</x:v>
      </x:c>
      <x:c r="O396" s="30"/>
      <x:c r="P396" s="30" t="str">
        <x:v>23:4</x:v>
      </x:c>
    </x:row>
    <x:row r="397" ht="45" customHeight="1">
      <x:c r="A397" s="30" t="str">
        <x:v>EPA-A089</x:v>
      </x:c>
      <x:c r="B397" s="30" t="str">
        <x:v>p 23</x:v>
      </x:c>
      <x:c r="C397" s="30" t="str">
        <x:v>From our limited review of wastewater issues, we found at times that parts of EPA were not communicating. We also found that EPA could coordinate its work better with the States and local wastewater facilities. The communications issues we observed are detailed earlier in this report.</x:v>
      </x:c>
      <x:c r="D397" s="30" t="str">
        <x:v>EPA</x:v>
      </x:c>
      <x:c r="E397" s="30" t="str">
        <x:v>EPA 20060914-2006-p-00033.pdf</x:v>
      </x:c>
      <x:c r="F397" s="40" t="str">
        <x:v>No</x:v>
      </x:c>
      <x:c r="G397" s="40" t="n">
        <x:v>0</x:v>
      </x:c>
      <x:c r="H397" s="40" t="str">
        <x:v>Unlabeled</x:v>
      </x:c>
      <x:c r="I397" s="40"/>
      <x:c r="J397" s="40"/>
      <x:c r="K397" s="30" t="str">
        <x:v>Default No — no retained human paragraph-level label in the curated GPT Test</x:v>
      </x:c>
      <x:c r="L397" s="30"/>
      <x:c r="M397" s="40" t="str">
        <x:v>paragraph</x:v>
      </x:c>
      <x:c r="N397" s="40" t="str">
        <x:v>No</x:v>
      </x:c>
      <x:c r="O397" s="30"/>
      <x:c r="P397" s="30" t="str">
        <x:v>23:6</x:v>
      </x:c>
    </x:row>
    <x:row r="398" ht="45" customHeight="1">
      <x:c r="A398" s="30" t="str">
        <x:v>EPA-A090</x:v>
      </x:c>
      <x:c r="B398" s="30" t="str">
        <x:v>pp 23-24</x:v>
      </x:c>
      <x:c r="C398" s="30" t="str">
        <x:v>We did not identify any coordination issues with the response to hazardous waste and the management of debris. Similar to drinking water, we found that Mississippi and Louisiana had previously been delegated responsibility for administering the Underground Storage Tanks programs in their States, including emergencies. As such, EPA fulfilled a support role in the Katrina response, while the States maintained their delegated roles of administering the program. Additionally, EPA primarily fulfilled a support role to the U.S. Coast Guard in response to oil spills. For Murphy Oil, one of the five major oil spills reported, the U.S. Coast Guard, with support from EPA, conducted initial response and assessment efforts. Subsequently, the Coast Guard and EPA split lead responsibilities for oversight of Murphy’s cleanup activities at the site. The Coast Guard agreed to provide oversight of the removal of free oil in the canals, tank farm containment area, neighborhood streets, and storm drains. EPA agreed to provide oversight of cleanup in residential areas accessible to the public (e.g., parks, school yards, roads, highway median strips, and sidewalks).</x:v>
      </x:c>
      <x:c r="D398" s="30" t="str">
        <x:v>EPA</x:v>
      </x:c>
      <x:c r="E398" s="30" t="str">
        <x:v>EPA 20060914-2006-p-00033.pdf</x:v>
      </x:c>
      <x:c r="F398" s="40" t="str">
        <x:v>No</x:v>
      </x:c>
      <x:c r="G398" s="40" t="n">
        <x:v>0</x:v>
      </x:c>
      <x:c r="H398" s="40" t="str">
        <x:v>Unlabeled</x:v>
      </x:c>
      <x:c r="I398" s="40"/>
      <x:c r="J398" s="40"/>
      <x:c r="K398" s="30" t="str">
        <x:v>Default No — no retained human paragraph-level label in the curated GPT Test</x:v>
      </x:c>
      <x:c r="L398" s="30"/>
      <x:c r="M398" s="40" t="str">
        <x:v>paragraph</x:v>
      </x:c>
      <x:c r="N398" s="40" t="str">
        <x:v>No</x:v>
      </x:c>
      <x:c r="O398" s="30"/>
      <x:c r="P398" s="30" t="str">
        <x:v>23:8;24:0</x:v>
      </x:c>
    </x:row>
    <x:row r="399" ht="45" customHeight="1">
      <x:c r="A399" s="30" t="str">
        <x:v>EPA-A091</x:v>
      </x:c>
      <x:c r="B399" s="30" t="str">
        <x:v>p 24</x:v>
      </x:c>
      <x:c r="C399" s="30" t="str">
        <x:v>This issue pertains to the existence of political or economic concerns that would potentially impact the information provided to the public. In the World Trade Center evaluation, it was noted that there were competing economic pressures to reopen lower Manhattan. While, according to media accounts, political and business leaders wanted to reopen New Orleans as soon as possible after Katrina, these desires did not appear to influence the health decisions we reviewed. In particular, EPA’s public pronouncements regarding conditions in New Orleans expressed caution with respect to re-inhabiting the city. Competing concerns did not appear to be an issue for other locations we reviewed.</x:v>
      </x:c>
      <x:c r="D399" s="30" t="str">
        <x:v>EPA</x:v>
      </x:c>
      <x:c r="E399" s="30" t="str">
        <x:v>EPA 20060914-2006-p-00033.pdf</x:v>
      </x:c>
      <x:c r="F399" s="40" t="str">
        <x:v>No</x:v>
      </x:c>
      <x:c r="G399" s="40" t="n">
        <x:v>0</x:v>
      </x:c>
      <x:c r="H399" s="40" t="str">
        <x:v>Unlabeled</x:v>
      </x:c>
      <x:c r="I399" s="40"/>
      <x:c r="J399" s="40"/>
      <x:c r="K399" s="30" t="str">
        <x:v>Default No — no retained human paragraph-level label in the curated GPT Test</x:v>
      </x:c>
      <x:c r="L399" s="30"/>
      <x:c r="M399" s="40" t="str">
        <x:v>paragraph</x:v>
      </x:c>
      <x:c r="N399" s="40" t="str">
        <x:v>No</x:v>
      </x:c>
      <x:c r="O399" s="30"/>
      <x:c r="P399" s="30" t="str">
        <x:v>24:2</x:v>
      </x:c>
    </x:row>
    <x:row r="400" ht="45" customHeight="1">
      <x:c r="A400" s="30" t="str">
        <x:v>EPA-A092</x:v>
      </x:c>
      <x:c r="B400" s="30" t="str">
        <x:v>p 24</x:v>
      </x:c>
      <x:c r="C400" s="30" t="str">
        <x:v>While public officials desired to have New Orleans opened to the public as soon as possible after Hurricane Katrina, for the systems reviewed we did not find that the desire to reopen New Orleans to the public influenced the decisions made by officials responsible for deciding when to remove boil water notices for public water systems. We also did not identify any undue influences in removing boil water notices for Louisiana systems outside of New Orleans. In Mississippi, neither State officials nor local officials for the four systems reviewed told us of any attempts to influence removing boil water notices because of political or economic concerns.</x:v>
      </x:c>
      <x:c r="D400" s="30" t="str">
        <x:v>EPA</x:v>
      </x:c>
      <x:c r="E400" s="30" t="str">
        <x:v>EPA 20060914-2006-p-00033.pdf</x:v>
      </x:c>
      <x:c r="F400" s="40" t="str">
        <x:v>No</x:v>
      </x:c>
      <x:c r="G400" s="40" t="n">
        <x:v>0</x:v>
      </x:c>
      <x:c r="H400" s="40" t="str">
        <x:v>Unlabeled</x:v>
      </x:c>
      <x:c r="I400" s="40"/>
      <x:c r="J400" s="40"/>
      <x:c r="K400" s="30" t="str">
        <x:v>Default No — no retained human paragraph-level label in the curated GPT Test</x:v>
      </x:c>
      <x:c r="L400" s="30"/>
      <x:c r="M400" s="40" t="str">
        <x:v>paragraph</x:v>
      </x:c>
      <x:c r="N400" s="40" t="str">
        <x:v>No</x:v>
      </x:c>
      <x:c r="O400" s="30"/>
      <x:c r="P400" s="30" t="str">
        <x:v>24:4</x:v>
      </x:c>
    </x:row>
    <x:row r="401" ht="45" customHeight="1">
      <x:c r="A401" s="30" t="str">
        <x:v>EPA-A093</x:v>
      </x:c>
      <x:c r="B401" s="30" t="str">
        <x:v>p 24</x:v>
      </x:c>
      <x:c r="C401" s="30" t="str">
        <x:v>Based on our limited review of wastewater facilities we visited in Mississippi and Louisiana, we did not find that political or economic concerns influenced the decisions made by wastewater officials responsible for determining when residents should be allowed to repopulate impacted areas.</x:v>
      </x:c>
      <x:c r="D401" s="30" t="str">
        <x:v>EPA</x:v>
      </x:c>
      <x:c r="E401" s="30" t="str">
        <x:v>EPA 20060914-2006-p-00033.pdf</x:v>
      </x:c>
      <x:c r="F401" s="40" t="str">
        <x:v>No</x:v>
      </x:c>
      <x:c r="G401" s="40" t="n">
        <x:v>0</x:v>
      </x:c>
      <x:c r="H401" s="40" t="str">
        <x:v>Unlabeled</x:v>
      </x:c>
      <x:c r="I401" s="40"/>
      <x:c r="J401" s="40"/>
      <x:c r="K401" s="30" t="str">
        <x:v>Default No — no retained human paragraph-level label in the curated GPT Test</x:v>
      </x:c>
      <x:c r="L401" s="30"/>
      <x:c r="M401" s="40" t="str">
        <x:v>paragraph</x:v>
      </x:c>
      <x:c r="N401" s="40" t="str">
        <x:v>No</x:v>
      </x:c>
      <x:c r="O401" s="30"/>
      <x:c r="P401" s="30" t="str">
        <x:v>24:6</x:v>
      </x:c>
    </x:row>
    <x:row r="402" ht="45" customHeight="1">
      <x:c r="A402" s="30" t="str">
        <x:v>EPA-A094</x:v>
      </x:c>
      <x:c r="B402" s="30" t="str">
        <x:v>p 24</x:v>
      </x:c>
      <x:c r="C402" s="30" t="str">
        <x:v>For the hazardous waste and debris management areas reviewed, we did not find that the desire to reopen New Orleans to the public influenced the decisions made by officials responsible for making public health and safety decisions. In Mississippi, we also did not see evidence of competing concerns influencing officials’ decisions to allow residents to return to the locales we visited.</x:v>
      </x:c>
      <x:c r="D402" s="30" t="str">
        <x:v>EPA</x:v>
      </x:c>
      <x:c r="E402" s="30" t="str">
        <x:v>EPA 20060914-2006-p-00033.pdf</x:v>
      </x:c>
      <x:c r="F402" s="40" t="str">
        <x:v>No</x:v>
      </x:c>
      <x:c r="G402" s="40" t="n">
        <x:v>0</x:v>
      </x:c>
      <x:c r="H402" s="40" t="str">
        <x:v>Unlabeled</x:v>
      </x:c>
      <x:c r="I402" s="40"/>
      <x:c r="J402" s="40"/>
      <x:c r="K402" s="30" t="str">
        <x:v>Default No — no retained human paragraph-level label in the curated GPT Test</x:v>
      </x:c>
      <x:c r="L402" s="30"/>
      <x:c r="M402" s="40" t="str">
        <x:v>paragraph</x:v>
      </x:c>
      <x:c r="N402" s="40" t="str">
        <x:v>No</x:v>
      </x:c>
      <x:c r="O402" s="30"/>
      <x:c r="P402" s="30" t="str">
        <x:v>24:8</x:v>
      </x:c>
    </x:row>
    <x:row r="403" ht="45" customHeight="1">
      <x:c r="A403" s="30" t="str">
        <x:v>EPA-A095</x:v>
      </x:c>
      <x:c r="B403" s="30" t="str">
        <x:v>p 25</x:v>
      </x:c>
      <x:c r="C403" s="30" t="str">
        <x:v>This memorandum is in response to the Office of Inspector General’s (OIG’s) draft Evaluation Report dated July, 21, 2006 ” Lessons Learned: EPA’s Response to Hurricane Katrina.”</x:v>
      </x:c>
      <x:c r="D403" s="30" t="str">
        <x:v>EPA</x:v>
      </x:c>
      <x:c r="E403" s="30" t="str">
        <x:v>EPA 20060914-2006-p-00033.pdf</x:v>
      </x:c>
      <x:c r="F403" s="40" t="str">
        <x:v>No</x:v>
      </x:c>
      <x:c r="G403" s="40" t="n">
        <x:v>0</x:v>
      </x:c>
      <x:c r="H403" s="40" t="str">
        <x:v>Unlabeled</x:v>
      </x:c>
      <x:c r="I403" s="40"/>
      <x:c r="J403" s="40"/>
      <x:c r="K403" s="30" t="str">
        <x:v>Default No — no retained human paragraph-level label in the curated GPT Test</x:v>
      </x:c>
      <x:c r="L403" s="30"/>
      <x:c r="M403" s="40" t="str">
        <x:v>paragraph</x:v>
      </x:c>
      <x:c r="N403" s="40" t="str">
        <x:v>No</x:v>
      </x:c>
      <x:c r="O403" s="30"/>
      <x:c r="P403" s="30" t="str">
        <x:v>25:8</x:v>
      </x:c>
    </x:row>
    <x:row r="404" ht="45" customHeight="1">
      <x:c r="A404" s="30" t="str">
        <x:v>EPA-A096</x:v>
      </x:c>
      <x:c r="B404" s="30" t="str">
        <x:v>p 25</x:v>
      </x:c>
      <x:c r="C404" s="30" t="str">
        <x:v>EPA manual 2750 requires the Agency to provide a written response to the findings and recommendations. This response has been coordinated with representatives from Regions 4 and 6. EPA concurs with the recommendations included within the report. Our specific responses to the corrective actions are provided in the Attachment.</x:v>
      </x:c>
      <x:c r="D404" s="30" t="str">
        <x:v>EPA</x:v>
      </x:c>
      <x:c r="E404" s="30" t="str">
        <x:v>EPA 20060914-2006-p-00033.pdf</x:v>
      </x:c>
      <x:c r="F404" s="40" t="str">
        <x:v>No</x:v>
      </x:c>
      <x:c r="G404" s="40" t="n">
        <x:v>0</x:v>
      </x:c>
      <x:c r="H404" s="40" t="str">
        <x:v>Unlabeled</x:v>
      </x:c>
      <x:c r="I404" s="40"/>
      <x:c r="J404" s="40"/>
      <x:c r="K404" s="30" t="str">
        <x:v>Default No — no retained human paragraph-level label in the curated GPT Test</x:v>
      </x:c>
      <x:c r="L404" s="30"/>
      <x:c r="M404" s="40" t="str">
        <x:v>paragraph</x:v>
      </x:c>
      <x:c r="N404" s="40" t="str">
        <x:v>No</x:v>
      </x:c>
      <x:c r="O404" s="30"/>
      <x:c r="P404" s="30" t="str">
        <x:v>25:9</x:v>
      </x:c>
    </x:row>
    <x:row r="405" ht="45" customHeight="1">
      <x:c r="A405" s="30" t="str">
        <x:v>EPA-A097</x:v>
      </x:c>
      <x:c r="B405" s="30" t="str">
        <x:v>p 25</x:v>
      </x:c>
      <x:c r="C405" s="30" t="str">
        <x:v>EPA’s Response to Hurricane Katrina has been a major undertaking, involving staff from across the country and at Headquarters. As you note in the draft report, EPA’s response to Hurricane Katrina reflects that we did learn lessons from our response to the World Trade Center in 2001. Our response to Hurricane Katrina reflected the progress we have made in implementing an agency-wide National Approach to Response.</x:v>
      </x:c>
      <x:c r="D405" s="30" t="str">
        <x:v>EPA</x:v>
      </x:c>
      <x:c r="E405" s="30" t="str">
        <x:v>EPA 20060914-2006-p-00033.pdf</x:v>
      </x:c>
      <x:c r="F405" s="40" t="str">
        <x:v>No</x:v>
      </x:c>
      <x:c r="G405" s="40" t="n">
        <x:v>0</x:v>
      </x:c>
      <x:c r="H405" s="40" t="str">
        <x:v>Unlabeled</x:v>
      </x:c>
      <x:c r="I405" s="40"/>
      <x:c r="J405" s="40"/>
      <x:c r="K405" s="30" t="str">
        <x:v>Default No — no retained human paragraph-level label in the curated GPT Test</x:v>
      </x:c>
      <x:c r="L405" s="30"/>
      <x:c r="M405" s="40" t="str">
        <x:v>paragraph</x:v>
      </x:c>
      <x:c r="N405" s="40" t="str">
        <x:v>No</x:v>
      </x:c>
      <x:c r="O405" s="30"/>
      <x:c r="P405" s="30" t="str">
        <x:v>25:10</x:v>
      </x:c>
    </x:row>
    <x:row r="406" ht="45" customHeight="1">
      <x:c r="A406" s="30" t="str">
        <x:v>EPA-A098</x:v>
      </x:c>
      <x:c r="B406" s="30" t="str">
        <x:v>p 25</x:v>
      </x:c>
      <x:c r="C406" s="30" t="str">
        <x:v>We would like to thank you for incorporating into the report considerations we presented to you following review of the discussion draft version. In particular, we appreciate your noting on page 4 regarding interaction with the U.S. Army Corps of Engineers: “We found no evidence that hurricane response activities were negatively impacted by these coordination issues.” We suggest that this sentence could also be included in the first bullet of the “At a Glance” section of the report.</x:v>
      </x:c>
      <x:c r="D406" s="30" t="str">
        <x:v>EPA</x:v>
      </x:c>
      <x:c r="E406" s="30" t="str">
        <x:v>EPA 20060914-2006-p-00033.pdf</x:v>
      </x:c>
      <x:c r="F406" s="40" t="str">
        <x:v>No</x:v>
      </x:c>
      <x:c r="G406" s="40" t="n">
        <x:v>0</x:v>
      </x:c>
      <x:c r="H406" s="40" t="str">
        <x:v>Unlabeled</x:v>
      </x:c>
      <x:c r="I406" s="40"/>
      <x:c r="J406" s="40"/>
      <x:c r="K406" s="30" t="str">
        <x:v>Default No — no retained human paragraph-level label in the curated GPT Test</x:v>
      </x:c>
      <x:c r="L406" s="30"/>
      <x:c r="M406" s="40" t="str">
        <x:v>paragraph</x:v>
      </x:c>
      <x:c r="N406" s="40" t="str">
        <x:v>No</x:v>
      </x:c>
      <x:c r="O406" s="30"/>
      <x:c r="P406" s="30" t="str">
        <x:v>25:11</x:v>
      </x:c>
    </x:row>
    <x:row r="407" ht="45" customHeight="1">
      <x:c r="A407" s="30" t="str">
        <x:v>EPA-A099</x:v>
      </x:c>
      <x:c r="B407" s="30" t="str">
        <x:v>p 27</x:v>
      </x:c>
      <x:c r="C407" s="30" t="str">
        <x:v>Recommendation 2.1: We recommend that the Assistant Administrators for the Office of Solid Waste and Emergency Response and Office of Water, as part of the Agency’s efforts to address lessons learned from Katrina, ensure that the corrective actions discussed in the report are implemented. Specifically, these planned corrective actions include:</x:v>
      </x:c>
      <x:c r="D407" s="30" t="str">
        <x:v>EPA</x:v>
      </x:c>
      <x:c r="E407" s="30" t="str">
        <x:v>EPA 20060914-2006-p-00033.pdf</x:v>
      </x:c>
      <x:c r="F407" s="40" t="str">
        <x:v>No</x:v>
      </x:c>
      <x:c r="G407" s="40" t="n">
        <x:v>0</x:v>
      </x:c>
      <x:c r="H407" s="40" t="str">
        <x:v>Unlabeled</x:v>
      </x:c>
      <x:c r="I407" s="40"/>
      <x:c r="J407" s="40"/>
      <x:c r="K407" s="30" t="str">
        <x:v>Default No — no retained human paragraph-level label in the curated GPT Test</x:v>
      </x:c>
      <x:c r="L407" s="30"/>
      <x:c r="M407" s="40" t="str">
        <x:v>paragraph</x:v>
      </x:c>
      <x:c r="N407" s="40" t="str">
        <x:v>No</x:v>
      </x:c>
      <x:c r="O407" s="30"/>
      <x:c r="P407" s="30" t="str">
        <x:v>27:2</x:v>
      </x:c>
    </x:row>
    <x:row r="408" ht="45" customHeight="1">
      <x:c r="A408" s="30" t="str">
        <x:v>EPA-A100</x:v>
      </x:c>
      <x:c r="B408" s="30" t="str">
        <x:v>p 27</x:v>
      </x:c>
      <x:c r="C408" s="30" t="str">
        <x:v>• Conducting interagency meetings and establishing coordination protocols with the U.S. Army Corps of Engineers (USACE).</x:v>
      </x:c>
      <x:c r="D408" s="30" t="str">
        <x:v>EPA</x:v>
      </x:c>
      <x:c r="E408" s="30" t="str">
        <x:v>EPA 20060914-2006-p-00033.pdf</x:v>
      </x:c>
      <x:c r="F408" s="40" t="str">
        <x:v>No</x:v>
      </x:c>
      <x:c r="G408" s="40" t="n">
        <x:v>0</x:v>
      </x:c>
      <x:c r="H408" s="40" t="str">
        <x:v>Unlabeled</x:v>
      </x:c>
      <x:c r="I408" s="40"/>
      <x:c r="J408" s="40"/>
      <x:c r="K408" s="30" t="str">
        <x:v>Default No — no retained human paragraph-level label in the curated GPT Test</x:v>
      </x:c>
      <x:c r="L408" s="30"/>
      <x:c r="M408" s="40" t="str">
        <x:v>bullet</x:v>
      </x:c>
      <x:c r="N408" s="40" t="str">
        <x:v>No</x:v>
      </x:c>
      <x:c r="O408" s="30"/>
      <x:c r="P408" s="30" t="str">
        <x:v>27:3;27:4</x:v>
      </x:c>
    </x:row>
    <x:row r="409" ht="45" customHeight="1">
      <x:c r="A409" s="30" t="str">
        <x:v>EPA-A101</x:v>
      </x:c>
      <x:c r="B409" s="30" t="str">
        <x:v>p 27</x:v>
      </x:c>
      <x:c r="C409" s="30" t="str">
        <x:v>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D409" s="30" t="str">
        <x:v>EPA</x:v>
      </x:c>
      <x:c r="E409" s="30" t="str">
        <x:v>EPA 20060914-2006-p-00033.pdf</x:v>
      </x:c>
      <x:c r="F409" s="40" t="str">
        <x:v>No</x:v>
      </x:c>
      <x:c r="G409" s="40" t="n">
        <x:v>0</x:v>
      </x:c>
      <x:c r="H409" s="40" t="str">
        <x:v>Direct human-labeled/adjudicated</x:v>
      </x:c>
      <x:c r="I409" s="40" t="str">
        <x:v>Prerana, Kyle</x:v>
      </x:c>
      <x:c r="J409" s="40" t="str">
        <x:v>EPA-022</x:v>
      </x:c>
      <x:c r="K409" s="30" t="str">
        <x:v>Retained human/adjudicated label from the curated GPT Test after PyMuPDF source reconciliation. The original excerpt’s label was carried to the source-complete paragraph.</x:v>
      </x:c>
      <x:c r="L409" s="30" t="str">
        <x:v>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x:v>
      </x:c>
      <x:c r="M409" s="40" t="str">
        <x:v>paragraph</x:v>
      </x:c>
      <x:c r="N409" s="40" t="str">
        <x:v>No</x:v>
      </x:c>
      <x:c r="O409" s="30"/>
      <x:c r="P409" s="30" t="str">
        <x:v>27:5</x:v>
      </x:c>
    </x:row>
    <x:row r="410" ht="45" customHeight="1">
      <x:c r="A410" s="30" t="str">
        <x:v>EPA-A102</x:v>
      </x:c>
      <x:c r="B410" s="30" t="str">
        <x:v>p 27</x:v>
      </x:c>
      <x:c r="C410" s="30" t="str">
        <x:v>• Conducting training for EPA Region 6 and State staff on the Incident Command System (ICS), the National Response Plan (NRP) and ESF support functions.</x:v>
      </x:c>
      <x:c r="D410" s="30" t="str">
        <x:v>EPA</x:v>
      </x:c>
      <x:c r="E410" s="30" t="str">
        <x:v>EPA 20060914-2006-p-00033.pdf</x:v>
      </x:c>
      <x:c r="F410" s="40" t="str">
        <x:v>No</x:v>
      </x:c>
      <x:c r="G410" s="40" t="n">
        <x:v>0</x:v>
      </x:c>
      <x:c r="H410" s="40" t="str">
        <x:v>Unlabeled</x:v>
      </x:c>
      <x:c r="I410" s="40"/>
      <x:c r="J410" s="40"/>
      <x:c r="K410" s="30" t="str">
        <x:v>Default No — no retained human paragraph-level label in the curated GPT Test</x:v>
      </x:c>
      <x:c r="L410" s="30"/>
      <x:c r="M410" s="40" t="str">
        <x:v>bullet</x:v>
      </x:c>
      <x:c r="N410" s="40" t="str">
        <x:v>No</x:v>
      </x:c>
      <x:c r="O410" s="30"/>
      <x:c r="P410" s="30" t="str">
        <x:v>27:6;27:7</x:v>
      </x:c>
    </x:row>
    <x:row r="411" ht="45" customHeight="1">
      <x:c r="A411" s="30" t="str">
        <x:v>EPA-A103</x:v>
      </x:c>
      <x:c r="B411" s="30" t="str">
        <x:v>p 27</x:v>
      </x:c>
      <x:c r="C411" s="30" t="str">
        <x:v>Response: EPA Region 6 has plans underway to require and provide ICS 100/200 level training, as well as training on the National Response Plan for all of the Region 6 Response Support Corps Staff. EPA’s Office of Water is also sponsoring 24 1-day workshops around the country to help drinking water and wastewater utilities, states and regional EPA staff better understand ICS, how to implement ICS within emergency response plans (ERPs), and how to integrate with other first responders within an expanding ICS structure.</x:v>
      </x:c>
      <x:c r="D411" s="30" t="str">
        <x:v>EPA</x:v>
      </x:c>
      <x:c r="E411" s="30" t="str">
        <x:v>EPA 20060914-2006-p-00033.pdf</x:v>
      </x:c>
      <x:c r="F411" s="40" t="str">
        <x:v>No</x:v>
      </x:c>
      <x:c r="G411" s="40" t="n">
        <x:v>0</x:v>
      </x:c>
      <x:c r="H411" s="40" t="str">
        <x:v>Unlabeled</x:v>
      </x:c>
      <x:c r="I411" s="40"/>
      <x:c r="J411" s="40"/>
      <x:c r="K411" s="30" t="str">
        <x:v>Default No — no retained human paragraph-level label in the curated GPT Test</x:v>
      </x:c>
      <x:c r="L411" s="30"/>
      <x:c r="M411" s="40" t="str">
        <x:v>paragraph</x:v>
      </x:c>
      <x:c r="N411" s="40" t="str">
        <x:v>No</x:v>
      </x:c>
      <x:c r="O411" s="30"/>
      <x:c r="P411" s="30" t="str">
        <x:v>27:8</x:v>
      </x:c>
    </x:row>
    <x:row r="412" ht="45" customHeight="1">
      <x:c r="A412" s="30" t="str">
        <x:v>EPA-A104</x:v>
      </x:c>
      <x:c r="B412" s="30" t="str">
        <x:v>p 27</x:v>
      </x:c>
      <x:c r="C412" s="30" t="str">
        <x:v>• Sharing the procedures developed for handling tanker truck support of water in Louisiana with other EPA Regions and States.</x:v>
      </x:c>
      <x:c r="D412" s="30" t="str">
        <x:v>EPA</x:v>
      </x:c>
      <x:c r="E412" s="30" t="str">
        <x:v>EPA 20060914-2006-p-00033.pdf</x:v>
      </x:c>
      <x:c r="F412" s="40" t="str">
        <x:v>No</x:v>
      </x:c>
      <x:c r="G412" s="40" t="n">
        <x:v>0</x:v>
      </x:c>
      <x:c r="H412" s="40" t="str">
        <x:v>Unlabeled</x:v>
      </x:c>
      <x:c r="I412" s="40"/>
      <x:c r="J412" s="40"/>
      <x:c r="K412" s="30" t="str">
        <x:v>Default No — no retained human paragraph-level label in the curated GPT Test</x:v>
      </x:c>
      <x:c r="L412" s="30"/>
      <x:c r="M412" s="40" t="str">
        <x:v>bullet</x:v>
      </x:c>
      <x:c r="N412" s="40" t="str">
        <x:v>No</x:v>
      </x:c>
      <x:c r="O412" s="30"/>
      <x:c r="P412" s="30" t="str">
        <x:v>27:9;27:10</x:v>
      </x:c>
    </x:row>
    <x:row r="413" ht="45" customHeight="1">
      <x:c r="A413" s="30" t="str">
        <x:v>EPA-A105</x:v>
      </x:c>
      <x:c r="B413" s="30" t="str">
        <x:v>p 27</x:v>
      </x:c>
      <x:c r="C413" s="30" t="str">
        <x:v>Response: Region 6 procedures for handling tanker truck support of water in Louisiana will be provided to other EPA Regions during the week of August 21, 2006.</x:v>
      </x:c>
      <x:c r="D413" s="30" t="str">
        <x:v>EPA</x:v>
      </x:c>
      <x:c r="E413" s="30" t="str">
        <x:v>EPA 20060914-2006-p-00033.pdf</x:v>
      </x:c>
      <x:c r="F413" s="40" t="str">
        <x:v>No</x:v>
      </x:c>
      <x:c r="G413" s="40" t="n">
        <x:v>0</x:v>
      </x:c>
      <x:c r="H413" s="40" t="str">
        <x:v>Unlabeled</x:v>
      </x:c>
      <x:c r="I413" s="40"/>
      <x:c r="J413" s="40"/>
      <x:c r="K413" s="30" t="str">
        <x:v>Default No — no retained human paragraph-level label in the curated GPT Test</x:v>
      </x:c>
      <x:c r="L413" s="30"/>
      <x:c r="M413" s="40" t="str">
        <x:v>paragraph</x:v>
      </x:c>
      <x:c r="N413" s="40" t="str">
        <x:v>No</x:v>
      </x:c>
      <x:c r="O413" s="30"/>
      <x:c r="P413" s="30" t="str">
        <x:v>27:11</x:v>
      </x:c>
    </x:row>
    <x:row r="414" ht="45" customHeight="1">
      <x:c r="A414" s="30" t="str">
        <x:v>EPA-A106</x:v>
      </x:c>
      <x:c r="B414" s="30" t="str">
        <x:v>p 27</x:v>
      </x:c>
      <x:c r="C414" s="30" t="str">
        <x:v>• Sharing the Region 4 Katrina Lessons Learned review with other Regions.</x:v>
      </x:c>
      <x:c r="D414" s="30" t="str">
        <x:v>EPA</x:v>
      </x:c>
      <x:c r="E414" s="30" t="str">
        <x:v>EPA 20060914-2006-p-00033.pdf</x:v>
      </x:c>
      <x:c r="F414" s="40" t="str">
        <x:v>No</x:v>
      </x:c>
      <x:c r="G414" s="40" t="n">
        <x:v>0</x:v>
      </x:c>
      <x:c r="H414" s="40" t="str">
        <x:v>Unlabeled</x:v>
      </x:c>
      <x:c r="I414" s="40"/>
      <x:c r="J414" s="40"/>
      <x:c r="K414" s="30" t="str">
        <x:v>Default No — no retained human paragraph-level label in the curated GPT Test</x:v>
      </x:c>
      <x:c r="L414" s="30"/>
      <x:c r="M414" s="40" t="str">
        <x:v>bullet</x:v>
      </x:c>
      <x:c r="N414" s="40" t="str">
        <x:v>No</x:v>
      </x:c>
      <x:c r="O414" s="30"/>
      <x:c r="P414" s="30" t="str">
        <x:v>27:12</x:v>
      </x:c>
    </x:row>
    <x:row r="415" ht="45" customHeight="1">
      <x:c r="A415" s="30" t="str">
        <x:v>EPA-A107</x:v>
      </x:c>
      <x:c r="B415" s="30" t="str">
        <x:v>pp 27-28</x:v>
      </x:c>
      <x:c r="C415" s="30" t="str">
        <x:v>Response: Region 4 is in the process of finalizing the Katrina After Action Report. It is anticipated to be completed in September 2006 and will be distributed to Headquarters and Regional Offices. Work on improvements identified in this process is already underway through the Region 4 Regional Incident Coordination Team (RICT) and through participation on National Approach to Response (NAR) workgroups.</x:v>
      </x:c>
      <x:c r="D415" s="30" t="str">
        <x:v>EPA</x:v>
      </x:c>
      <x:c r="E415" s="30" t="str">
        <x:v>EPA 20060914-2006-p-00033.pdf</x:v>
      </x:c>
      <x:c r="F415" s="40" t="str">
        <x:v>No</x:v>
      </x:c>
      <x:c r="G415" s="40" t="n">
        <x:v>0</x:v>
      </x:c>
      <x:c r="H415" s="40" t="str">
        <x:v>Unlabeled</x:v>
      </x:c>
      <x:c r="I415" s="40"/>
      <x:c r="J415" s="40"/>
      <x:c r="K415" s="30" t="str">
        <x:v>Default No — no retained human paragraph-level label in the curated GPT Test</x:v>
      </x:c>
      <x:c r="L415" s="30"/>
      <x:c r="M415" s="40" t="str">
        <x:v>paragraph</x:v>
      </x:c>
      <x:c r="N415" s="40" t="str">
        <x:v>No</x:v>
      </x:c>
      <x:c r="O415" s="30"/>
      <x:c r="P415" s="30" t="str">
        <x:v>27:13;28:0</x:v>
      </x:c>
    </x:row>
    <x:row r="416" ht="45" customHeight="1">
      <x:c r="A416" s="30" t="str">
        <x:v>EPA-A108</x:v>
      </x:c>
      <x:c r="B416" s="30" t="str">
        <x:v>p 28</x:v>
      </x:c>
      <x:c r="C416" s="30" t="str">
        <x:v>• Developing procedures for the appropriate use of emergency tanker trucks in tribal lands in Region 4.</x:v>
      </x:c>
      <x:c r="D416" s="30" t="str">
        <x:v>EPA</x:v>
      </x:c>
      <x:c r="E416" s="30" t="str">
        <x:v>EPA 20060914-2006-p-00033.pdf</x:v>
      </x:c>
      <x:c r="F416" s="40" t="str">
        <x:v>No</x:v>
      </x:c>
      <x:c r="G416" s="40" t="n">
        <x:v>0</x:v>
      </x:c>
      <x:c r="H416" s="40" t="str">
        <x:v>Unlabeled</x:v>
      </x:c>
      <x:c r="I416" s="40"/>
      <x:c r="J416" s="40"/>
      <x:c r="K416" s="30" t="str">
        <x:v>Default No — no retained human paragraph-level label in the curated GPT Test</x:v>
      </x:c>
      <x:c r="L416" s="30"/>
      <x:c r="M416" s="40" t="str">
        <x:v>bullet</x:v>
      </x:c>
      <x:c r="N416" s="40" t="str">
        <x:v>No</x:v>
      </x:c>
      <x:c r="O416" s="30"/>
      <x:c r="P416" s="30" t="str">
        <x:v>28:1</x:v>
      </x:c>
    </x:row>
    <x:row r="417" ht="45" customHeight="1">
      <x:c r="A417" s="30" t="str">
        <x:v>EPA-A109</x:v>
      </x:c>
      <x:c r="B417" s="30" t="str">
        <x:v>p 28</x:v>
      </x:c>
      <x:c r="C417" s="30" t="str">
        <x:v>Response: The Region 4 Water Management Division will work with the EPA Headquarters Office of Water to develop a policy on a nationwide basis for the application of this recommendation for all federally recognized tribal lands across the country. The policy development is anticipated to begin in the fall of 2006.</x:v>
      </x:c>
      <x:c r="D417" s="30" t="str">
        <x:v>EPA</x:v>
      </x:c>
      <x:c r="E417" s="30" t="str">
        <x:v>EPA 20060914-2006-p-00033.pdf</x:v>
      </x:c>
      <x:c r="F417" s="40" t="str">
        <x:v>No</x:v>
      </x:c>
      <x:c r="G417" s="40" t="n">
        <x:v>0</x:v>
      </x:c>
      <x:c r="H417" s="40" t="str">
        <x:v>Unlabeled</x:v>
      </x:c>
      <x:c r="I417" s="40"/>
      <x:c r="J417" s="40"/>
      <x:c r="K417" s="30" t="str">
        <x:v>Default No — no retained human paragraph-level label in the curated GPT Test</x:v>
      </x:c>
      <x:c r="L417" s="30"/>
      <x:c r="M417" s="40" t="str">
        <x:v>paragraph</x:v>
      </x:c>
      <x:c r="N417" s="40" t="str">
        <x:v>No</x:v>
      </x:c>
      <x:c r="O417" s="30"/>
      <x:c r="P417" s="30" t="str">
        <x:v>28:3</x:v>
      </x:c>
    </x:row>
    <x:row r="418" ht="45" customHeight="1">
      <x:c r="A418" s="30" t="str">
        <x:v>HK-A001</x:v>
      </x:c>
      <x:c r="B418" s="30" t="str">
        <x:v>p 3</x:v>
      </x:c>
      <x:c r="C418" s="30" t="str">
        <x:v>I appreciate the opportunity to participate in today’s hearing to discuss our work stemming from the catastrophic hurricanes in the Gulf Coast last fall. GAO has a large body of ongoing work on a range of issues relating to all phases of the preparation, response, recovery, and rebuilding efforts related to Hurricanes Katrina and Rita. We currently have nearly 40 different engagements underway. Consequently, my remarks today are preliminary, but well grounded in the work we have done to-date as well as our completed work on prior disasters and catastrophes. We also recently provided to this committee a summary of the views of several groups regarding potential changes to the national emergency response system. In the coming months, we will provide Congress with more detailed findings, and a comprehensive summary of what went well and why, what did not go well and why, and what specific changes, if any, are called for in this nation’s emergency preparedness, response, and recovery system. In addition, based on the work reflected in our recent testimony before the committee on fraud and abuse related to the Individuals and Households Program, we plan to issue recommendations to FEMA intended to strengthen fraud prevention controls over the process for applying for disaster benefits, including validating an individual’s identity and damaged property address.</x:v>
      </x:c>
      <x:c r="D418" s="30" t="str">
        <x:v>Hurricane Katrina</x:v>
      </x:c>
      <x:c r="E418" s="30" t="str">
        <x:v>gao-06-442t.pdf</x:v>
      </x:c>
      <x:c r="F418" s="40" t="str">
        <x:v>No</x:v>
      </x:c>
      <x:c r="G418" s="40" t="n">
        <x:v>0</x:v>
      </x:c>
      <x:c r="H418" s="40" t="str">
        <x:v>Unlabeled</x:v>
      </x:c>
      <x:c r="I418" s="40"/>
      <x:c r="J418" s="40"/>
      <x:c r="K418" s="30" t="str">
        <x:v>Default No — no retained human paragraph-level label in the curated GPT Test</x:v>
      </x:c>
      <x:c r="L418" s="30"/>
      <x:c r="M418" s="40" t="str">
        <x:v>paragraph</x:v>
      </x:c>
      <x:c r="N418" s="40" t="str">
        <x:v>No</x:v>
      </x:c>
      <x:c r="O418" s="30"/>
      <x:c r="P418" s="30" t="str">
        <x:v>3:3:0;3:3:1;3:3:2;3:3:3;3:3:4;3:3:5;3:3:6;3:3:7;3:3:8;3:3:9;3:3:10;3:3:11;3:3:12;3:3:13;3:3:14;3:3:15;3:3:16;3:3:17;3:3:18;3:3:19</x:v>
      </x:c>
    </x:row>
    <x:row r="419" ht="45" customHeight="1">
      <x:c r="A419" s="30" t="str">
        <x:v>HK-A002</x:v>
      </x:c>
      <x:c r="B419" s="30" t="str">
        <x:v>p 3</x:v>
      </x:c>
      <x:c r="C419" s="30" t="str">
        <x:v>Hurricane Katrina was one of the largest natural disasters in our nation’s history; its size and strength will have long standing effects for years to come. It exacted terrible human costs with the loss of significant numbers of lives and resulted in billions of dollars in property damage. The fact that Hurricane Rita followed closely on the heels of Hurricane Katrina only added to the destruction and suffering. It also increased demands of an already stressed response and recovery effort by all levels of government, especially in Louisiana. Moreover, the two hurricanes provided a sobering picture of the overwhelming strains on disaster response and recovery if there are back-to-back catastrophic disasters in the same area.</x:v>
      </x:c>
      <x:c r="D419" s="30" t="str">
        <x:v>Hurricane Katrina</x:v>
      </x:c>
      <x:c r="E419" s="30" t="str">
        <x:v>gao-06-442t.pdf</x:v>
      </x:c>
      <x:c r="F419" s="40" t="str">
        <x:v>No</x:v>
      </x:c>
      <x:c r="G419" s="40" t="n">
        <x:v>0</x:v>
      </x:c>
      <x:c r="H419" s="40" t="str">
        <x:v>Unlabeled</x:v>
      </x:c>
      <x:c r="I419" s="40"/>
      <x:c r="J419" s="40"/>
      <x:c r="K419" s="30" t="str">
        <x:v>Default No — no retained human paragraph-level label in the curated GPT Test</x:v>
      </x:c>
      <x:c r="L419" s="30"/>
      <x:c r="M419" s="40" t="str">
        <x:v>paragraph</x:v>
      </x:c>
      <x:c r="N419" s="40" t="str">
        <x:v>No</x:v>
      </x:c>
      <x:c r="O419" s="30"/>
      <x:c r="P419" s="30" t="str">
        <x:v>3:4:0;3:4:1;3:4:2;3:4:3;3:4:4;3:4:5;3:4:6;3:4:7;3:4:8;3:4:9</x:v>
      </x:c>
    </x:row>
    <x:row r="420" ht="45" customHeight="1">
      <x:c r="A420" s="30" t="str">
        <x:v>HK-A003</x:v>
      </x:c>
      <x:c r="B420" s="30" t="str">
        <x:v>pp 3-4</x:v>
      </x:c>
      <x:c r="C420" s="30" t="str">
        <x:v>Significant local, state, and federal resources were mobilized to respond to the Hurricane Katrina disaster, along with significant participation from charitable and private sector organizations. However, the capabilities of several federal, state, and local agencies were clearly overwhelmed,
especially in Louisiana. Therefore, there was widespread dissatisfaction with the level of preparedness and the collective response. As events unfolded in the immediate aftermath and ensuing days after Hurricane Katrina’s final landfall, responders at all levels of government—many victims themselves—encountered significant breakdowns in vital areas such as emergency communications as well as obtaining essential supplies and equipment.</x:v>
      </x:c>
      <x:c r="D420" s="30" t="str">
        <x:v>Hurricane Katrina</x:v>
      </x:c>
      <x:c r="E420" s="30" t="str">
        <x:v>gao-06-442t.pdf</x:v>
      </x:c>
      <x:c r="F420" s="40" t="str">
        <x:v>No</x:v>
      </x:c>
      <x:c r="G420" s="40" t="n">
        <x:v>0</x:v>
      </x:c>
      <x:c r="H420" s="40" t="str">
        <x:v>Unlabeled</x:v>
      </x:c>
      <x:c r="I420" s="40"/>
      <x:c r="J420" s="40"/>
      <x:c r="K420" s="30" t="str">
        <x:v>Default No — no retained human paragraph-level label in the curated GPT Test</x:v>
      </x:c>
      <x:c r="L420" s="30"/>
      <x:c r="M420" s="40" t="str">
        <x:v>paragraph</x:v>
      </x:c>
      <x:c r="N420" s="40" t="str">
        <x:v>No</x:v>
      </x:c>
      <x:c r="O420" s="30"/>
      <x:c r="P420" s="30" t="str">
        <x:v>3:5:0;3:5:1;3:5:2;3:5:3;4:2:0;4:2:1;4:2:2;4:2:3;4:2:4;4:2:5;4:2:6</x:v>
      </x:c>
    </x:row>
    <x:row r="421" ht="45" customHeight="1">
      <x:c r="A421" s="30" t="str">
        <x:v>HK-A004</x:v>
      </x:c>
      <x:c r="B421" s="30" t="str">
        <x:v>p 4</x:v>
      </x:c>
      <x:c r="C421" s="30" t="str">
        <x:v>The causes of these breakdowns must be well understood and addressed in order to strengthen the nation’s ability to prepare for, respond to, and recover from major catastrophic events in the future—whether natural or man-made. Unfortunately, many of the lessons emerging from Hurricanes Katrina and Rita are similar to those we identified more than a decade ago, in the aftermath of Hurricane Andrew in 1992, which leveled much of South Florida. The experience of Hurricane Andrew raised questions about whether and how national disaster response efforts had incorporated lessons from experiences with Hurricane Hugo in 1989. All critical players must do much more to learn from past mistakes and actually implement recommendations that address prior deficiencies in preparing for and responding to catastrophic disasters. However, these actions will not be cost-free—posing a range of challenges in determining the priority of various action steps and how they will be funded.</x:v>
      </x:c>
      <x:c r="D421" s="30" t="str">
        <x:v>Hurricane Katrina</x:v>
      </x:c>
      <x:c r="E421" s="30" t="str">
        <x:v>gao-06-442t.pdf</x:v>
      </x:c>
      <x:c r="F421" s="40" t="str">
        <x:v>No</x:v>
      </x:c>
      <x:c r="G421" s="40" t="n">
        <x:v>0</x:v>
      </x:c>
      <x:c r="H421" s="40" t="str">
        <x:v>Unlabeled</x:v>
      </x:c>
      <x:c r="I421" s="40"/>
      <x:c r="J421" s="40"/>
      <x:c r="K421" s="30" t="str">
        <x:v>Default No — no retained human paragraph-level label in the curated GPT Test</x:v>
      </x:c>
      <x:c r="L421" s="30"/>
      <x:c r="M421" s="40" t="str">
        <x:v>paragraph</x:v>
      </x:c>
      <x:c r="N421" s="40" t="str">
        <x:v>No</x:v>
      </x:c>
      <x:c r="O421" s="30"/>
      <x:c r="P421" s="30" t="str">
        <x:v>4:2:8;4:2:9;4:2:10;4:2:11;4:2:12;4:2:13;4:2:14;4:2:15;4:2:16;4:2:17;4:2:18;4:2:19;4:2:20;4:2:21</x:v>
      </x:c>
    </x:row>
    <x:row r="422" ht="45" customHeight="1">
      <x:c r="A422" s="30" t="str">
        <x:v>HK-A005</x:v>
      </x:c>
      <x:c r="B422" s="30" t="str">
        <x:v>pp 4-5</x:v>
      </x:c>
      <x:c r="C422" s="30" t="str">
        <x:v>GAO staff have visited areas most affected by Hurricanes Katrina and Rita—Alabama, Louisiana, Mississippi, and Texas. They have interviewed officials and analyzed information from the various involved federal agencies such as the Department of Homeland Security’s Federal Emergency Management Agency (FEMA) and the Department of Defense (DOD); state and local organizations, including state emergency management agencies; state adjutant generals; local officials; and representatives from nongovernmental agencies. I have personally toured southern Mississippi, southern Louisiana, and the city of New Orleans. I also have had discussions with many governmental and other officials, including the governors of Alabama, Mississippi, Louisiana, and Texas; the mayor of New Orleans; the principal federal official on the scene; the joint task force commander of active duty forces, and the federal coordinator for federal support for the Gulf Coast’s recovery and rebuilding. Additionally, we have closely followed the hearings conducted by this Committee, the House’s Select Committee to Investigate the Preparation for and Response to Hurricane Katrina, and other Congressional committees on Hurricane Katrina issues. We have studied the House Select Committee report and are carefully reviewing the recently issued White House report on lessons learned from the federal response to Hurricane Katrina. Finally, we discussed our preliminary observations with the Deputy Secretary of the Department of Homeland Security.</x:v>
      </x:c>
      <x:c r="D422" s="30" t="str">
        <x:v>Hurricane Katrina</x:v>
      </x:c>
      <x:c r="E422" s="30" t="str">
        <x:v>gao-06-442t.pdf</x:v>
      </x:c>
      <x:c r="F422" s="40" t="str">
        <x:v>No</x:v>
      </x:c>
      <x:c r="G422" s="40" t="n">
        <x:v>0</x:v>
      </x:c>
      <x:c r="H422" s="40" t="str">
        <x:v>Unlabeled</x:v>
      </x:c>
      <x:c r="I422" s="40"/>
      <x:c r="J422" s="40"/>
      <x:c r="K422" s="30" t="str">
        <x:v>Default No — no retained human paragraph-level label in the curated GPT Test</x:v>
      </x:c>
      <x:c r="L422" s="30"/>
      <x:c r="M422" s="40" t="str">
        <x:v>paragraph</x:v>
      </x:c>
      <x:c r="N422" s="40" t="str">
        <x:v>No</x:v>
      </x:c>
      <x:c r="O422" s="30"/>
      <x:c r="P422" s="30" t="str">
        <x:v>4:2:23;4:2:24;4:2:25;4:2:26;4:2:27;4:2:28;4:2:29;4:2:30;4:2:31;4:2:32;4:2:33;4:2:34;4:2:35;4:2:36;4:2:37;4:2:38;4:2:39;4:2:40;4:2:41;4:2:42;5:2:0;5:2:1</x:v>
      </x:c>
    </x:row>
    <x:row r="423" ht="45" customHeight="1">
      <x:c r="A423" s="30" t="str">
        <x:v>HK-A006</x:v>
      </x:c>
      <x:c r="B423" s="30" t="str">
        <x:v>p 5</x:v>
      </x:c>
      <x:c r="C423" s="30" t="str">
        <x:v>In addition, we have done a great deal of work on prior disasters. In 1993, we conducted several reviews examining the federal response to Hurricane Andrew. The reviews focused on the unique challenges involved 2 These reviews defined in responding to “catastrophic disasters.” “catastrophic disasters” as a subset of other disasters requiring federal assistance. Unlike the bulk of the disasters requiring FEMA to respond, catastrophic disasters can overwhelm the ability of state, local and voluntary agencies to adequately provide victims withessential services, such as food and water, within 12 to 24 hours. These prior GAO reports focused on improving the immediate response to catastrophic disasters, and we made various recommendations within this context. We recommended that, in a catastrophic disaster, (1) a single individual directly responsible and accountable to the President should be designated to act as the central focal point to lead and coordinate the overall federal response when a catastrophic disaster has happened or is imminent, (2) FEMA should immediately establish a disaster unit to independently assess damage and estimate response needs following a catastrophic disaster, and (3) FEMA should enhance the capacity of state and local governments to respond to catastrophic disasters by (a) continuing to give them increasing flexibility to match grant funding with individual response needs, (b) upgrading training and exercises for catastrophic disaster response, and (c) assessing each state’s preparedness for catastrophic disaster response. We also recommended that Congress should consider (1) giving FEMA and other federal agencies explicit authority to take actions to prepare for catastrophic disasters when there is warning and (2) removing statutory restrictions on DOD’s authority to activate Reserve units for catastrophic disaster relief.</x:v>
      </x:c>
      <x:c r="D423" s="30" t="str">
        <x:v>Hurricane Katrina</x:v>
      </x:c>
      <x:c r="E423" s="30" t="str">
        <x:v>gao-06-442t.pdf</x:v>
      </x:c>
      <x:c r="F423" s="40" t="str">
        <x:v>No</x:v>
      </x:c>
      <x:c r="G423" s="40" t="n">
        <x:v>0</x:v>
      </x:c>
      <x:c r="H423" s="40" t="str">
        <x:v>Unlabeled</x:v>
      </x:c>
      <x:c r="I423" s="40"/>
      <x:c r="J423" s="40"/>
      <x:c r="K423" s="30" t="str">
        <x:v>Default No — no retained human paragraph-level label in the curated GPT Test</x:v>
      </x:c>
      <x:c r="L423" s="30"/>
      <x:c r="M423" s="40" t="str">
        <x:v>paragraph</x:v>
      </x:c>
      <x:c r="N423" s="40" t="str">
        <x:v>No</x:v>
      </x:c>
      <x:c r="O423" s="30"/>
      <x:c r="P423" s="30" t="str">
        <x:v>5:2:3;5:2:4;5:2:5;5:2:7;5:2:6;5:2:8;5:2:9;5:2:10;5:2:11;5:2:12;5:2:13;5:2:14;5:2:15;5:2:16;5:2:17;5:2:18;5:2:19;5:2:20;5:2:21;5:2:22;5:2:23;5:2:24;5:2:25;5:2:26;5:2:27;5:2:28;5:2:29;5:2:30</x:v>
      </x:c>
    </x:row>
    <x:row r="424" ht="45" customHeight="1">
      <x:c r="A424" s="30" t="str">
        <x:v>HK-A007</x:v>
      </x:c>
      <x:c r="B424" s="30" t="str">
        <x:v>pp 5-6</x:v>
      </x:c>
      <x:c r="C424" s="30" t="str">
        <x:v>Unfortunately, some of these recommendations were not adopted or in effect when Hurricane Katrina hit the Gulf Coast. We continue to believe, for the most part, these recommendations are still viable, as we discuss later in this testimony. For example, current DOD strategy calls for reliance on the reserve components (National Guard and reserves) for civil support missions. Modifying statutory restrictions to allow for the use
of the reserves for catastrophic disasters would provide greater access to Reserve units in the event they are needed for future responses.</x:v>
      </x:c>
      <x:c r="D424" s="30" t="str">
        <x:v>Hurricane Katrina</x:v>
      </x:c>
      <x:c r="E424" s="30" t="str">
        <x:v>gao-06-442t.pdf</x:v>
      </x:c>
      <x:c r="F424" s="40" t="str">
        <x:v>No</x:v>
      </x:c>
      <x:c r="G424" s="40" t="n">
        <x:v>0</x:v>
      </x:c>
      <x:c r="H424" s="40" t="str">
        <x:v>Unlabeled</x:v>
      </x:c>
      <x:c r="I424" s="40"/>
      <x:c r="J424" s="40"/>
      <x:c r="K424" s="30" t="str">
        <x:v>Default No — no retained human paragraph-level label in the curated GPT Test</x:v>
      </x:c>
      <x:c r="L424" s="30"/>
      <x:c r="M424" s="40" t="str">
        <x:v>paragraph</x:v>
      </x:c>
      <x:c r="N424" s="40" t="str">
        <x:v>No</x:v>
      </x:c>
      <x:c r="O424" s="30"/>
      <x:c r="P424" s="30" t="str">
        <x:v>5:3:0;5:3:1;5:3:2;5:3:3;5:3:4;5:3:5;6:2:0;6:2:1</x:v>
      </x:c>
    </x:row>
    <x:row r="425" ht="45" customHeight="1">
      <x:c r="A425" s="30" t="str">
        <x:v>HK-A008</x:v>
      </x:c>
      <x:c r="B425" s="30" t="str">
        <x:v>p 6</x:v>
      </x:c>
      <x:c r="C425" s="30" t="str">
        <x:v>Other work we have conducted related to disaster preparedness and management has involved programs to prevent or mitigate disasters or to improve the capabilities and readiness of first responders. We have identified needed improvements in a number of areas, including preparedness for “all-hazards,” balancing efforts to prepare for emergency incidents resulting from terrorism and natural disasters or man-made accidents; support for training, exercises, evaluations, and disseminating lessons learned to first responders; and interoperable communications for first responders. Similarly, our work on response to disasters has identified a number of problems, such as the lack of clarity of various federal, state, and local roles in coordinating the response and medical and public health response capabilities.</x:v>
      </x:c>
      <x:c r="D425" s="30" t="str">
        <x:v>Hurricane Katrina</x:v>
      </x:c>
      <x:c r="E425" s="30" t="str">
        <x:v>gao-06-442t.pdf</x:v>
      </x:c>
      <x:c r="F425" s="40" t="str">
        <x:v>No</x:v>
      </x:c>
      <x:c r="G425" s="40" t="n">
        <x:v>0</x:v>
      </x:c>
      <x:c r="H425" s="40" t="str">
        <x:v>Unlabeled</x:v>
      </x:c>
      <x:c r="I425" s="40"/>
      <x:c r="J425" s="40"/>
      <x:c r="K425" s="30" t="str">
        <x:v>Default No — no retained human paragraph-level label in the curated GPT Test</x:v>
      </x:c>
      <x:c r="L425" s="30"/>
      <x:c r="M425" s="40" t="str">
        <x:v>paragraph</x:v>
      </x:c>
      <x:c r="N425" s="40" t="str">
        <x:v>No</x:v>
      </x:c>
      <x:c r="O425" s="30"/>
      <x:c r="P425" s="30" t="str">
        <x:v>6:3:0;6:3:1;6:3:2;6:3:3;6:3:4;6:3:5;6:3:6;6:3:7;6:3:8;6:3:9;6:3:10;6:3:11</x:v>
      </x:c>
    </x:row>
    <x:row r="426" ht="45" customHeight="1">
      <x:c r="A426" s="30" t="str">
        <x:v>HK-A009</x:v>
      </x:c>
      <x:c r="B426" s="30" t="str">
        <x:v>p 6</x:v>
      </x:c>
      <x:c r="C426" s="30" t="str">
        <x:v>Today, I will cover several major areas based on our preliminary work related to the 2005 hurricane season. In summary:</x:v>
      </x:c>
      <x:c r="D426" s="30" t="str">
        <x:v>Hurricane Katrina</x:v>
      </x:c>
      <x:c r="E426" s="30" t="str">
        <x:v>gao-06-442t.pdf</x:v>
      </x:c>
      <x:c r="F426" s="40" t="str">
        <x:v>No</x:v>
      </x:c>
      <x:c r="G426" s="40" t="n">
        <x:v>0</x:v>
      </x:c>
      <x:c r="H426" s="40" t="str">
        <x:v>Unlabeled</x:v>
      </x:c>
      <x:c r="I426" s="40"/>
      <x:c r="J426" s="40"/>
      <x:c r="K426" s="30" t="str">
        <x:v>Default No — no retained human paragraph-level label in the curated GPT Test</x:v>
      </x:c>
      <x:c r="L426" s="30"/>
      <x:c r="M426" s="40" t="str">
        <x:v>paragraph</x:v>
      </x:c>
      <x:c r="N426" s="40" t="str">
        <x:v>No</x:v>
      </x:c>
      <x:c r="O426" s="30"/>
      <x:c r="P426" s="30" t="str">
        <x:v>6:4:0;6:4:1</x:v>
      </x:c>
    </x:row>
    <x:row r="427" ht="45" customHeight="1">
      <x:c r="A427" s="30" t="str">
        <x:v>HK-A010</x:v>
      </x:c>
      <x:c r="B427" s="30" t="str">
        <x:v>p 6</x:v>
      </x:c>
      <x:c r="C427" s="30" t="str">
        <x:v>Four key themes underpin many of the challenges encountered in the response to Hurricane Katrina and are similar to lessons learned from past catastrophic disasters. These include the central importance of (1) clearly defining and communicating leadership roles, responsibilities, and lines of authority for response in advance of a catastrophic disaster, (2) clarifying the procedures for activating the National Response Plan and applying them to emerging catastrophic disasters, (3) conducting strong advance planning and robust training and exercise programs, and (4) strengthening response and recovery capabilities for a catastrophic disaster.</x:v>
      </x:c>
      <x:c r="D427" s="30" t="str">
        <x:v>Hurricane Katrina</x:v>
      </x:c>
      <x:c r="E427" s="30" t="str">
        <x:v>gao-06-442t.pdf</x:v>
      </x:c>
      <x:c r="F427" s="40" t="str">
        <x:v>No</x:v>
      </x:c>
      <x:c r="G427" s="40" t="n">
        <x:v>0</x:v>
      </x:c>
      <x:c r="H427" s="40" t="str">
        <x:v>Unlabeled</x:v>
      </x:c>
      <x:c r="I427" s="40"/>
      <x:c r="J427" s="40"/>
      <x:c r="K427" s="30" t="str">
        <x:v>Default No — no retained human paragraph-level label in the curated GPT Test</x:v>
      </x:c>
      <x:c r="L427" s="30"/>
      <x:c r="M427" s="40" t="str">
        <x:v>paragraph</x:v>
      </x:c>
      <x:c r="N427" s="40" t="str">
        <x:v>No</x:v>
      </x:c>
      <x:c r="O427" s="30"/>
      <x:c r="P427" s="30" t="str">
        <x:v>6:5:1;6:5:2;6:5:3;6:5:4;6:5:5;6:5:6;6:5:7;6:5:8;6:5:9</x:v>
      </x:c>
    </x:row>
    <x:row r="428" ht="45" customHeight="1">
      <x:c r="A428" s="30" t="str">
        <x:v>HK-A011</x:v>
      </x:c>
      <x:c r="B428" s="30" t="str">
        <x:v>p 6</x:v>
      </x:c>
      <x:c r="C428" s="30" t="str">
        <x:v>It is vital to have in place a risk management decision making approach to develop federal capabilities and the expertise to use them to respond to a catastrophic disaster. Given the likely costs, Congress should consider using such an approach in deciding how best to invest in specific capabilities for a catastrophic disaster.</x:v>
      </x:c>
      <x:c r="D428" s="30" t="str">
        <x:v>Hurricane Katrina</x:v>
      </x:c>
      <x:c r="E428" s="30" t="str">
        <x:v>gao-06-442t.pdf</x:v>
      </x:c>
      <x:c r="F428" s="40" t="str">
        <x:v>No</x:v>
      </x:c>
      <x:c r="G428" s="40" t="n">
        <x:v>0</x:v>
      </x:c>
      <x:c r="H428" s="40" t="str">
        <x:v>Unlabeled</x:v>
      </x:c>
      <x:c r="I428" s="40"/>
      <x:c r="J428" s="40"/>
      <x:c r="K428" s="30" t="str">
        <x:v>Default No — no retained human paragraph-level label in the curated GPT Test</x:v>
      </x:c>
      <x:c r="L428" s="30"/>
      <x:c r="M428" s="40" t="str">
        <x:v>paragraph</x:v>
      </x:c>
      <x:c r="N428" s="40" t="str">
        <x:v>No</x:v>
      </x:c>
      <x:c r="O428" s="30"/>
      <x:c r="P428" s="30" t="str">
        <x:v>6:5:12;6:5:13;6:5:14;6:5:15;6:5:16</x:v>
      </x:c>
    </x:row>
    <x:row r="429" ht="45" customHeight="1">
      <x:c r="A429" s="30" t="str">
        <x:v>HK-A012</x:v>
      </x:c>
      <x:c r="B429" s="30" t="str">
        <x:v>p 6</x:v>
      </x:c>
      <x:c r="C429" s="30"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and training of FEMA leadership and the adequacy of its resources may be more important to FEMA’s future success than its organizational placement.</x:v>
      </x:c>
      <x:c r="D429" s="30" t="str">
        <x:v>Hurricane Katrina</x:v>
      </x:c>
      <x:c r="E429" s="30" t="str">
        <x:v>gao-06-442t.pdf</x:v>
      </x:c>
      <x:c r="F429" s="40" t="str">
        <x:v>No</x:v>
      </x:c>
      <x:c r="G429" s="40" t="n">
        <x:v>0</x:v>
      </x:c>
      <x:c r="H429" s="40" t="str">
        <x:v>Unlabeled</x:v>
      </x:c>
      <x:c r="I429" s="40"/>
      <x:c r="J429" s="40"/>
      <x:c r="K429" s="30" t="str">
        <x:v>Default No — no retained human paragraph-level label in the curated GPT Test</x:v>
      </x:c>
      <x:c r="L429" s="30"/>
      <x:c r="M429" s="40" t="str">
        <x:v>paragraph</x:v>
      </x:c>
      <x:c r="N429" s="40" t="str">
        <x:v>No</x:v>
      </x:c>
      <x:c r="O429" s="30"/>
      <x:c r="P429" s="30" t="str">
        <x:v>6:5:19;6:5:20;6:5:21;6:5:22;6:5:23;6:5:24;6:5:25;6:5:26</x:v>
      </x:c>
    </x:row>
    <x:row r="430" ht="45" customHeight="1">
      <x:c r="A430" s="30" t="str">
        <x:v>HK-A013</x:v>
      </x:c>
      <x:c r="B430" s="30" t="str">
        <x:v>p 7</x:v>
      </x:c>
      <x:c r="C430" s="30" t="str">
        <x:v>Lastly, the federal government will be a major partner in the longer-term rebuilding of the Gulf Coast because of the widespread damage and economic impact. In support of state and local efforts, the federal role in rebuilding will be particularly important for transportation and health care infrastructures and federal facilities. In addition, federal programs will face financial difficulties and there is uncertainty concerning the impact of catastrophic disasters on the availability and affordability of insurance. Long term rebuilding raises issues concerning the need for consensus on what rebuilding should be done, where and based on what standards, who will pay for what, and what oversight is needed to ensure federal funds are spent prudently and for their intended purposes.</x:v>
      </x:c>
      <x:c r="D430" s="30" t="str">
        <x:v>Hurricane Katrina</x:v>
      </x:c>
      <x:c r="E430" s="30" t="str">
        <x:v>gao-06-442t.pdf</x:v>
      </x:c>
      <x:c r="F430" s="40" t="str">
        <x:v>No</x:v>
      </x:c>
      <x:c r="G430" s="40" t="n">
        <x:v>0</x:v>
      </x:c>
      <x:c r="H430" s="40" t="str">
        <x:v>Unlabeled</x:v>
      </x:c>
      <x:c r="I430" s="40"/>
      <x:c r="J430" s="40"/>
      <x:c r="K430" s="30" t="str">
        <x:v>Default No — no retained human paragraph-level label in the curated GPT Test</x:v>
      </x:c>
      <x:c r="L430" s="30"/>
      <x:c r="M430" s="40" t="str">
        <x:v>paragraph</x:v>
      </x:c>
      <x:c r="N430" s="40" t="str">
        <x:v>No</x:v>
      </x:c>
      <x:c r="O430" s="30"/>
      <x:c r="P430" s="30" t="str">
        <x:v>7:2:1;7:2:2;7:2:3;7:2:4;7:2:5;7:2:6;7:2:7;7:2:8;7:2:9;7:2:10;7:2:11</x:v>
      </x:c>
    </x:row>
    <x:row r="431" ht="45" customHeight="1">
      <x:c r="A431" s="30" t="str">
        <x:v>HK-A014</x:v>
      </x:c>
      <x:c r="B431" s="30" t="str">
        <x:v>p 7</x:v>
      </x:c>
      <x:c r="C431" s="30" t="str">
        <x:v>There are several federal legislative and executive provisions that support preparation for and response to emergency situations. The Robert T. Stafford Disaster Relief and Emergency Assistance Act (the Stafford Act) primarily establishes the programs and processes for the federal government to provide major disaster and emergency assistance to states, local governments, tribal nations, individuals, and qualified private nonprofit organizations. FEMA has responsibility for administering the provisions of the Stafford Act.</x:v>
      </x:c>
      <x:c r="D431" s="30" t="str">
        <x:v>Hurricane Katrina</x:v>
      </x:c>
      <x:c r="E431" s="30" t="str">
        <x:v>gao-06-442t.pdf</x:v>
      </x:c>
      <x:c r="F431" s="40" t="str">
        <x:v>No</x:v>
      </x:c>
      <x:c r="G431" s="40" t="n">
        <x:v>0</x:v>
      </x:c>
      <x:c r="H431" s="40" t="str">
        <x:v>Unlabeled</x:v>
      </x:c>
      <x:c r="I431" s="40"/>
      <x:c r="J431" s="40"/>
      <x:c r="K431" s="30" t="str">
        <x:v>Default No — no retained human paragraph-level label in the curated GPT Test</x:v>
      </x:c>
      <x:c r="L431" s="30"/>
      <x:c r="M431" s="40" t="str">
        <x:v>paragraph</x:v>
      </x:c>
      <x:c r="N431" s="40" t="str">
        <x:v>No</x:v>
      </x:c>
      <x:c r="O431" s="30"/>
      <x:c r="P431" s="30" t="str">
        <x:v>7:2:14;7:2:15;7:2:16;7:2:18;7:2:19;7:2:20;7:2:21;7:2:22</x:v>
      </x:c>
    </x:row>
    <x:row r="432" ht="45" customHeight="1">
      <x:c r="A432" s="30" t="str">
        <x:v>HK-A015</x:v>
      </x:c>
      <x:c r="B432" s="30" t="str">
        <x:v>p 7</x:v>
      </x:c>
      <x:c r="C432" s="30" t="str">
        <x:v>Upon a governor’s request, the President can declare an “emergency” or a “major disaster” under the Stafford Act, which triggers specific types of federal relief. The Stafford Act defines an emergency as any occasion or instance for which, in the determination of the President, federal assistance is needed to supplement state and local efforts and capabilities to save lives and to protect property and public health and safety, or to lessen or avert the threat of a catastrophe in any part of the United States. Under an emergency declaration, the federal government has authority to engage in various emergency response activities, debris removal, temporary housing assistance, and the distribution of medicine, food, and other consumables. The Stafford Act places a $5 million limit on federal emergency assistance, but the President may exceed the limit, followed by a report to Congress.</x:v>
      </x:c>
      <x:c r="D432" s="30" t="str">
        <x:v>Hurricane Katrina</x:v>
      </x:c>
      <x:c r="E432" s="30" t="str">
        <x:v>gao-06-442t.pdf</x:v>
      </x:c>
      <x:c r="F432" s="40" t="str">
        <x:v>No</x:v>
      </x:c>
      <x:c r="G432" s="40" t="n">
        <x:v>0</x:v>
      </x:c>
      <x:c r="H432" s="40" t="str">
        <x:v>Unlabeled</x:v>
      </x:c>
      <x:c r="I432" s="40"/>
      <x:c r="J432" s="40"/>
      <x:c r="K432" s="30" t="str">
        <x:v>Default No — no retained human paragraph-level label in the curated GPT Test</x:v>
      </x:c>
      <x:c r="L432" s="30"/>
      <x:c r="M432" s="40" t="str">
        <x:v>paragraph</x:v>
      </x:c>
      <x:c r="N432" s="40" t="str">
        <x:v>No</x:v>
      </x:c>
      <x:c r="O432" s="30"/>
      <x:c r="P432" s="30" t="str">
        <x:v>7:3:0;7:3:1;7:3:2;7:3:3;7:3:4;7:3:5;7:3:6;7:3:7;7:3:8;7:3:9;7:3:10;7:3:11;7:3:12</x:v>
      </x:c>
    </x:row>
    <x:row r="433" ht="45" customHeight="1">
      <x:c r="A433" s="30" t="str">
        <x:v>HK-A016</x:v>
      </x:c>
      <x:c r="B433" s="30" t="str">
        <x:v>pp 7-8</x:v>
      </x:c>
      <x:c r="C433" s="30" t="str">
        <x:v>The Stafford Act defines a “major disaster” as any natural catastrophe or, regardless of cause, any fire, flood, or explosion, in any part of the United States, which the President determines causes damage of sufficient
severity and magnitude to warrant major disaster assistance under the Stafford Act to supplement the efforts and available resources of states, local governments, and disaster relief organizations in alleviating damage, loss, hardship, or suffering. Under a major disaster declaration, the federal government has the authority to engage in the same activities authorized under an emergency declaration, but without the $5 million ceiling. In addition, major disaster assistance includes a variety of assistance not available in the context of an emergency. For example, in a major disaster, the federal government may provide unemployment assistance, food coupons to low-income households, and repair, restoration and replacement of certain damaged facilities, among other things.</x:v>
      </x:c>
      <x:c r="D433" s="30" t="str">
        <x:v>Hurricane Katrina</x:v>
      </x:c>
      <x:c r="E433" s="30" t="str">
        <x:v>gao-06-442t.pdf</x:v>
      </x:c>
      <x:c r="F433" s="40" t="str">
        <x:v>No</x:v>
      </x:c>
      <x:c r="G433" s="40" t="n">
        <x:v>0</x:v>
      </x:c>
      <x:c r="H433" s="40" t="str">
        <x:v>Unlabeled</x:v>
      </x:c>
      <x:c r="I433" s="40"/>
      <x:c r="J433" s="40"/>
      <x:c r="K433" s="30" t="str">
        <x:v>Default No — no retained human paragraph-level label in the curated GPT Test</x:v>
      </x:c>
      <x:c r="L433" s="30"/>
      <x:c r="M433" s="40" t="str">
        <x:v>paragraph</x:v>
      </x:c>
      <x:c r="N433" s="40" t="str">
        <x:v>No</x:v>
      </x:c>
      <x:c r="O433" s="30"/>
      <x:c r="P433" s="30" t="str">
        <x:v>7:4:0;7:4:1;7:4:2;8:2:0;8:2:1;8:2:2;8:2:3;8:2:4;8:2:5;8:2:6;8:2:7;8:2:8;8:2:9;8:2:10</x:v>
      </x:c>
    </x:row>
    <x:row r="434" ht="45" customHeight="1">
      <x:c r="A434" s="30" t="str">
        <x:v>HK-A017</x:v>
      </x:c>
      <x:c r="B434" s="30" t="str">
        <x:v>p 8</x:v>
      </x:c>
      <x:c r="C434" s="30" t="str">
        <x:v>For Hurricane Katrina, the President issued emergency declarations under the Stafford Act for Louisiana on August 27, 2005 and Mississippi and Alabama on August 28, 2005. The President made major disaster declarations for Florida on August 28, 2005, and Louisiana, Mississippi, and Alabama on August 29, 2005, the same day that Hurricane Katrina made final landfall in the affected states.</x:v>
      </x:c>
      <x:c r="D434" s="30" t="str">
        <x:v>Hurricane Katrina</x:v>
      </x:c>
      <x:c r="E434" s="30" t="str">
        <x:v>gao-06-442t.pdf</x:v>
      </x:c>
      <x:c r="F434" s="40" t="str">
        <x:v>No</x:v>
      </x:c>
      <x:c r="G434" s="40" t="n">
        <x:v>0</x:v>
      </x:c>
      <x:c r="H434" s="40" t="str">
        <x:v>Unlabeled</x:v>
      </x:c>
      <x:c r="I434" s="40"/>
      <x:c r="J434" s="40"/>
      <x:c r="K434" s="30" t="str">
        <x:v>Default No — no retained human paragraph-level label in the curated GPT Test</x:v>
      </x:c>
      <x:c r="L434" s="30"/>
      <x:c r="M434" s="40" t="str">
        <x:v>paragraph</x:v>
      </x:c>
      <x:c r="N434" s="40" t="str">
        <x:v>No</x:v>
      </x:c>
      <x:c r="O434" s="30"/>
      <x:c r="P434" s="30" t="str">
        <x:v>8:3:0;8:3:1;8:3:2;8:3:3;8:3:4;8:3:5</x:v>
      </x:c>
    </x:row>
    <x:row r="435" ht="45" customHeight="1">
      <x:c r="A435" s="30" t="str">
        <x:v>HK-A018</x:v>
      </x:c>
      <x:c r="B435" s="30" t="str">
        <x:v>p 8</x:v>
      </x:c>
      <x:c r="C435" s="30" t="str">
        <x:v>The Homeland Security Act of 2002 required the newly established DHS to develop a comprehensive National Incident Management System (NIMS) and a comprehensive National Response Plan (NRP). NIMS is intended to provide a consistent framework for incident management at all jurisdictional levels regardless of the cause, size, or complexity of the situation and to define the roles and responsibilities of federal, state, and local governments, and various first responder disciplines at each level during an emergency event. NIMS established the Incident Command System (ICS) as a standard incident management organization with five functional areas—command, operations, planning, logistics, and finance/administration—for management of all major incidents. It also prescribes interoperable communications systems and preparedness before an incident happens, including planning, training, and exercises.</x:v>
      </x:c>
      <x:c r="D435" s="30" t="str">
        <x:v>Hurricane Katrina</x:v>
      </x:c>
      <x:c r="E435" s="30" t="str">
        <x:v>gao-06-442t.pdf</x:v>
      </x:c>
      <x:c r="F435" s="40" t="str">
        <x:v>No</x:v>
      </x:c>
      <x:c r="G435" s="40" t="n">
        <x:v>0</x:v>
      </x:c>
      <x:c r="H435" s="40" t="str">
        <x:v>Unlabeled</x:v>
      </x:c>
      <x:c r="I435" s="40"/>
      <x:c r="J435" s="40"/>
      <x:c r="K435" s="30" t="str">
        <x:v>Default No — no retained human paragraph-level label in the curated GPT Test</x:v>
      </x:c>
      <x:c r="L435" s="30"/>
      <x:c r="M435" s="40" t="str">
        <x:v>paragraph</x:v>
      </x:c>
      <x:c r="N435" s="40" t="str">
        <x:v>Yes</x:v>
      </x:c>
      <x:c r="O435" s="30" t="str">
        <x:v>Superscript footnote marker was interleaved with body text by PyMuPDF; sentence order was reconstructed from page 8.</x:v>
      </x:c>
      <x:c r="P435" s="30" t="str">
        <x:v>8:4:1;8:4:0;8:4:2;8:4:3;8:4:4;8:4:5;8:4:6;8:4:7;8:4:8;8:4:9;8:4:10;8:4:11;8:4:12;8:4:13</x:v>
      </x:c>
    </x:row>
    <x:row r="436" ht="45" customHeight="1">
      <x:c r="A436" s="30" t="str">
        <x:v>HK-A019</x:v>
      </x:c>
      <x:c r="B436" s="30" t="str">
        <x:v>pp 8-9</x:v>
      </x:c>
      <x:c r="C436" s="30" t="str">
        <x:v>The Homeland Security Act of 2002 also required DHS to consolidate existing federal government emergency response plans into a single, coordinated national response plan. In December 2004, DHS issued the National Response Plan (NRP), intended to be an all-discipline, all-hazards plan establishing a single, comprehensive framework for the management of domestic incidents where federal involvement is necessary. It is to
operate within the framework of NIMS. The NRP only applies to incidents of national significance, defined as an actual or potential high-impact event that requires a coordinated and effective response by an appropriate combination of federal, state, local, tribal, nongovernmental, and/or private-sector entities in order to save lives and minimize damage, and provide the basis for long-term community recovery and mitigation activities. The NRP does not apply to the majority of incidents occurring each year that are handled by local jurisdictions or agencies through established authorities and existing plans under the planning assumption that incidents are typically managed at the lowest possible geographic, organizational, and jurisdictional level.</x:v>
      </x:c>
      <x:c r="D436" s="30" t="str">
        <x:v>Hurricane Katrina</x:v>
      </x:c>
      <x:c r="E436" s="30" t="str">
        <x:v>gao-06-442t.pdf</x:v>
      </x:c>
      <x:c r="F436" s="40" t="str">
        <x:v>No</x:v>
      </x:c>
      <x:c r="G436" s="40" t="n">
        <x:v>0</x:v>
      </x:c>
      <x:c r="H436" s="40" t="str">
        <x:v>Unlabeled</x:v>
      </x:c>
      <x:c r="I436" s="40"/>
      <x:c r="J436" s="40"/>
      <x:c r="K436" s="30" t="str">
        <x:v>Default No — no retained human paragraph-level label in the curated GPT Test</x:v>
      </x:c>
      <x:c r="L436" s="30"/>
      <x:c r="M436" s="40" t="str">
        <x:v>paragraph</x:v>
      </x:c>
      <x:c r="N436" s="40" t="str">
        <x:v>No</x:v>
      </x:c>
      <x:c r="O436" s="30"/>
      <x:c r="P436" s="30" t="str">
        <x:v>8:5:0;8:5:1;8:5:2;8:5:3;8:5:4;8:5:5;9:2:0;9:2:1;9:2:2;9:2:3;9:2:4;9:2:5;9:2:6;9:2:7;9:2:8;9:2:9;9:2:10</x:v>
      </x:c>
    </x:row>
    <x:row r="437" ht="45" customHeight="1">
      <x:c r="A437" s="30" t="str">
        <x:v>HK-A020</x:v>
      </x:c>
      <x:c r="B437" s="30" t="str">
        <x:v>p 9</x:v>
      </x:c>
      <x:c r="C437" s="30" t="str">
        <x:v>The NRP states that the Secretary of Homeland Security, as the principal federal official for domestic incident management, designates incidents of national significance, pursuant to the criteria in Homeland Security Presidential Directive 5 (HSPD-5). HSPD-5 requires one or more of the following to qualify as an incident of national significance: (1) a federal department or agency acting under its own authority has requested the assistance of the Secretary of Homeland Security, (2) the resources of state and local authorities are overwhelmed and federal assistance has been requested by the appropriate state and local 5 (3) more than one federal department or agency has become authorities, substantially involved in responding to an incident, or (4) the Secretary of Homeland Security has been directed to assume responsibility for managing a domestic incident by the President.</x:v>
      </x:c>
      <x:c r="D437" s="30" t="str">
        <x:v>Hurricane Katrina</x:v>
      </x:c>
      <x:c r="E437" s="30" t="str">
        <x:v>gao-06-442t.pdf</x:v>
      </x:c>
      <x:c r="F437" s="40" t="str">
        <x:v>No</x:v>
      </x:c>
      <x:c r="G437" s="40" t="n">
        <x:v>0</x:v>
      </x:c>
      <x:c r="H437" s="40" t="str">
        <x:v>Unlabeled</x:v>
      </x:c>
      <x:c r="I437" s="40"/>
      <x:c r="J437" s="40"/>
      <x:c r="K437" s="30" t="str">
        <x:v>Default No — no retained human paragraph-level label in the curated GPT Test</x:v>
      </x:c>
      <x:c r="L437" s="30"/>
      <x:c r="M437" s="40" t="str">
        <x:v>paragraph</x:v>
      </x:c>
      <x:c r="N437" s="40" t="str">
        <x:v>No</x:v>
      </x:c>
      <x:c r="O437" s="30"/>
      <x:c r="P437" s="30" t="str">
        <x:v>9:3:0;9:3:1;9:3:2;9:3:3;9:3:4;9:3:5;9:3:6;9:3:7;9:3:8;9:3:10;9:3:9;9:3:11;9:3:12;9:3:13</x:v>
      </x:c>
    </x:row>
    <x:row r="438" ht="45" customHeight="1">
      <x:c r="A438" s="30" t="str">
        <x:v>HK-A021</x:v>
      </x:c>
      <x:c r="B438" s="30" t="str">
        <x:v>pp 9-10</x:v>
      </x:c>
      <x:c r="C438" s="30" t="str">
        <x:v>The Secretary of Homeland Security provides overall coordination for incidents of national significance. Under the NRP, a principal federal official (PFO) is to be personally designated by the Secretary of Homeland Security for a particular incident and is to be the primary point of contact and provide local situational awareness for the secretary. Under the NRP, the PFO is to coordinate the activities of the senior federal law enforcement official for the incident, the federal coordinating officer (FCO) who manages and coordinates federal resource support activities related to Stafford Act disasters and emergencies, and other federal officials involved in incident management activities acting under their own authorities. The PFO does not have directive authority over these officials, but is to play a coordinating function under the NRP. The Stafford Act
requires that a FCO be appointed to coordinate relief for major disasters and emergencies declared by the President. The FCO retains this coordination authority notwithstanding the appointment of a PFO under the NRP.</x:v>
      </x:c>
      <x:c r="D438" s="30" t="str">
        <x:v>Hurricane Katrina</x:v>
      </x:c>
      <x:c r="E438" s="30" t="str">
        <x:v>gao-06-442t.pdf</x:v>
      </x:c>
      <x:c r="F438" s="40" t="str">
        <x:v>No</x:v>
      </x:c>
      <x:c r="G438" s="40" t="n">
        <x:v>0</x:v>
      </x:c>
      <x:c r="H438" s="40" t="str">
        <x:v>Unlabeled</x:v>
      </x:c>
      <x:c r="I438" s="40"/>
      <x:c r="J438" s="40"/>
      <x:c r="K438" s="30" t="str">
        <x:v>Default No — no retained human paragraph-level label in the curated GPT Test</x:v>
      </x:c>
      <x:c r="L438" s="30"/>
      <x:c r="M438" s="40" t="str">
        <x:v>paragraph</x:v>
      </x:c>
      <x:c r="N438" s="40" t="str">
        <x:v>No</x:v>
      </x:c>
      <x:c r="O438" s="30"/>
      <x:c r="P438" s="30" t="str">
        <x:v>9:4:0;9:4:1;9:4:2;9:4:3;9:4:4;9:4:5;9:4:6;9:4:7;9:4:8;9:4:9;9:4:10;9:4:11;10:2:0;10:2:1;10:2:2;10:2:3</x:v>
      </x:c>
    </x:row>
    <x:row r="439" ht="45" customHeight="1">
      <x:c r="A439" s="30" t="str">
        <x:v>HK-A022</x:v>
      </x:c>
      <x:c r="B439" s="30" t="str">
        <x:v>p 10</x:v>
      </x:c>
      <x:c r="C439" s="30" t="str">
        <x:v>The NRP can be partially or fully implemented in anticipation of or in response to an incident of national significance. The NRP base plan includes planning assumptions, roles and responsibilities, concept of operations, and incident management actions. Annexes (i.e. appendixes) to the NRP provide more detailed information on emergency support functions such as transportation and communications and functional processes and administrative requirements such as financial management and international coordination. Incident annexes address contingency or hazard situations that require specialized application of the NRP for incidents of national significance.</x:v>
      </x:c>
      <x:c r="D439" s="30" t="str">
        <x:v>Hurricane Katrina</x:v>
      </x:c>
      <x:c r="E439" s="30" t="str">
        <x:v>gao-06-442t.pdf</x:v>
      </x:c>
      <x:c r="F439" s="40" t="str">
        <x:v>No</x:v>
      </x:c>
      <x:c r="G439" s="40" t="n">
        <x:v>0</x:v>
      </x:c>
      <x:c r="H439" s="40" t="str">
        <x:v>Unlabeled</x:v>
      </x:c>
      <x:c r="I439" s="40"/>
      <x:c r="J439" s="40"/>
      <x:c r="K439" s="30" t="str">
        <x:v>Default No — no retained human paragraph-level label in the curated GPT Test</x:v>
      </x:c>
      <x:c r="L439" s="30"/>
      <x:c r="M439" s="40" t="str">
        <x:v>paragraph</x:v>
      </x:c>
      <x:c r="N439" s="40" t="str">
        <x:v>No</x:v>
      </x:c>
      <x:c r="O439" s="30"/>
      <x:c r="P439" s="30" t="str">
        <x:v>10:3:0;10:3:1;10:3:2;10:3:3;10:3:4;10:3:5;10:3:6;10:3:7;10:3:8;10:3:9</x:v>
      </x:c>
    </x:row>
    <x:row r="440" ht="45" customHeight="1">
      <x:c r="A440" s="30" t="str">
        <x:v>HK-A023</x:v>
      </x:c>
      <x:c r="B440" s="30" t="str">
        <x:v>p 10</x:v>
      </x:c>
      <x:c r="C440" s="30" t="str">
        <x:v>The Catastrophic Incident Annex of the NRP references “catastrophic incidents.” The NRP defines a catastrophic incident as any natural or manmade incident, including terrorism, resulting in extraordinary levels of mass casualties, damage, or disruption severely affecting the population, infrastructure, environment, economy, national morale, and/or government functions. A catastrophic incident could result in sustained national impacts over a prolonged period of time; almost immediately exceeds resources normally available to state, local, tribal, and privatesector authorities in the impacted area; and significantly interrupts governmental operations and emergency services to such an extent that national security could be threatened.</x:v>
      </x:c>
      <x:c r="D440" s="30" t="str">
        <x:v>Hurricane Katrina</x:v>
      </x:c>
      <x:c r="E440" s="30" t="str">
        <x:v>gao-06-442t.pdf</x:v>
      </x:c>
      <x:c r="F440" s="40" t="str">
        <x:v>No</x:v>
      </x:c>
      <x:c r="G440" s="40" t="n">
        <x:v>0</x:v>
      </x:c>
      <x:c r="H440" s="40" t="str">
        <x:v>Unlabeled</x:v>
      </x:c>
      <x:c r="I440" s="40"/>
      <x:c r="J440" s="40"/>
      <x:c r="K440" s="30" t="str">
        <x:v>Default No — no retained human paragraph-level label in the curated GPT Test</x:v>
      </x:c>
      <x:c r="L440" s="30"/>
      <x:c r="M440" s="40" t="str">
        <x:v>paragraph</x:v>
      </x:c>
      <x:c r="N440" s="40" t="str">
        <x:v>No</x:v>
      </x:c>
      <x:c r="O440" s="30"/>
      <x:c r="P440" s="30" t="str">
        <x:v>10:4:0;10:4:1;10:4:2;10:4:3;10:4:4;10:4:5;10:4:6;10:4:7;10:4:8;10:4:9;10:4:10</x:v>
      </x:c>
    </x:row>
    <x:row r="441" ht="45" customHeight="1">
      <x:c r="A441" s="30" t="str">
        <x:v>HK-A024</x:v>
      </x:c>
      <x:c r="B441" s="30" t="str">
        <x:v>p 10</x:v>
      </x:c>
      <x:c r="C441" s="30" t="str">
        <x:v>The Catastrophic Incident Annex describes an accelerated, proactive national response to catastrophic incidents. The annex establishes protocols to pre-identify and rapidly deploy key essential resources that are expected to be urgently needed or required to save lives and contain incidents. Expedited assistance can be provided in one or more areas, such as mass care, housing, human services, urban search and rescue, and public health and medical support.</x:v>
      </x:c>
      <x:c r="D441" s="30" t="str">
        <x:v>Hurricane Katrina</x:v>
      </x:c>
      <x:c r="E441" s="30" t="str">
        <x:v>gao-06-442t.pdf</x:v>
      </x:c>
      <x:c r="F441" s="40" t="str">
        <x:v>No</x:v>
      </x:c>
      <x:c r="G441" s="40" t="n">
        <x:v>0</x:v>
      </x:c>
      <x:c r="H441" s="40" t="str">
        <x:v>Unlabeled</x:v>
      </x:c>
      <x:c r="I441" s="40"/>
      <x:c r="J441" s="40"/>
      <x:c r="K441" s="30" t="str">
        <x:v>Default No — no retained human paragraph-level label in the curated GPT Test</x:v>
      </x:c>
      <x:c r="L441" s="30"/>
      <x:c r="M441" s="40" t="str">
        <x:v>paragraph</x:v>
      </x:c>
      <x:c r="N441" s="40" t="str">
        <x:v>No</x:v>
      </x:c>
      <x:c r="O441" s="30"/>
      <x:c r="P441" s="30" t="str">
        <x:v>10:5:0;10:5:1;10:5:2;10:5:3;10:5:4;10:5:5;10:5:6</x:v>
      </x:c>
    </x:row>
    <x:row r="442" ht="45" customHeight="1">
      <x:c r="A442" s="30" t="str">
        <x:v>HK-A025</x:v>
      </x:c>
      <x:c r="B442" s="30" t="str">
        <x:v>pp 10-11</x:v>
      </x:c>
      <x:c r="C442" s="30" t="str">
        <x:v>A draft of a more detailed and operationally specific Catastrophic Incident Supplement for the NRP’s Catastrophic Incident Annex had not been approved at the time of Hurricane Katrina, although the NRP’s 120-day schedule for implementing the supplement had passed. The draft supplement is intended to provide the operational framework for implementing the annex. The draft supplement, for example, includes operations to be carried out by local, state, and federal responders; detailed execution schedules and implementation strategies; functional capability overviews (such as coverage for transportation support); and key responsibilities of federal departments and agencies. The draft supplement language says it is designed for catastrophic incidents that occur with little or no notice, without an opportunity for advance planning and positioning of resources. The Secretary of Homeland Security is to make a catastrophic incident designation to activate the provisions of the Catastrophic Incident Annex. Otherwise, the basic provisions of the NRP will apply to the incident. The Secretary of Homeland Security declared Hurricane Katrina an incident of national significance on August 30, 2005, but never declared it a catastrophic incident.</x:v>
      </x:c>
      <x:c r="D442" s="30" t="str">
        <x:v>Hurricane Katrina</x:v>
      </x:c>
      <x:c r="E442" s="30" t="str">
        <x:v>gao-06-442t.pdf</x:v>
      </x:c>
      <x:c r="F442" s="40" t="str">
        <x:v>No</x:v>
      </x:c>
      <x:c r="G442" s="40" t="n">
        <x:v>0</x:v>
      </x:c>
      <x:c r="H442" s="40" t="str">
        <x:v>Unlabeled</x:v>
      </x:c>
      <x:c r="I442" s="40"/>
      <x:c r="J442" s="40"/>
      <x:c r="K442" s="30" t="str">
        <x:v>Default No — no retained human paragraph-level label in the curated GPT Test</x:v>
      </x:c>
      <x:c r="L442" s="30"/>
      <x:c r="M442" s="40" t="str">
        <x:v>paragraph</x:v>
      </x:c>
      <x:c r="N442" s="40" t="str">
        <x:v>No</x:v>
      </x:c>
      <x:c r="O442" s="30"/>
      <x:c r="P442" s="30" t="str">
        <x:v>10:6:0;10:6:1;10:6:2;10:6:3;10:6:4;10:6:5;10:6:6;11:2:0;11:2:1;11:2:2;11:2:3;11:2:4;11:2:5;11:2:6;11:2:7;11:2:8;11:2:9;11:2:10</x:v>
      </x:c>
    </x:row>
    <x:row r="443" ht="45" customHeight="1">
      <x:c r="A443" s="30" t="str">
        <x:v>HK-A026</x:v>
      </x:c>
      <x:c r="B443" s="30" t="str">
        <x:v>p 11</x:v>
      </x:c>
      <x:c r="C443" s="30" t="str">
        <x:v>I will now turn to the four major topics I identified at the beginning of my testimony.</x:v>
      </x:c>
      <x:c r="D443" s="30" t="str">
        <x:v>Hurricane Katrina</x:v>
      </x:c>
      <x:c r="E443" s="30" t="str">
        <x:v>gao-06-442t.pdf</x:v>
      </x:c>
      <x:c r="F443" s="40" t="str">
        <x:v>No</x:v>
      </x:c>
      <x:c r="G443" s="40" t="n">
        <x:v>0</x:v>
      </x:c>
      <x:c r="H443" s="40" t="str">
        <x:v>Unlabeled</x:v>
      </x:c>
      <x:c r="I443" s="40"/>
      <x:c r="J443" s="40"/>
      <x:c r="K443" s="30" t="str">
        <x:v>Default No — no retained human paragraph-level label in the curated GPT Test</x:v>
      </x:c>
      <x:c r="L443" s="30"/>
      <x:c r="M443" s="40" t="str">
        <x:v>paragraph</x:v>
      </x:c>
      <x:c r="N443" s="40" t="str">
        <x:v>No</x:v>
      </x:c>
      <x:c r="O443" s="30"/>
      <x:c r="P443" s="30" t="str">
        <x:v>11:3:0;11:3:1</x:v>
      </x:c>
    </x:row>
    <x:row r="444" ht="45" customHeight="1">
      <x:c r="A444" s="30" t="str">
        <x:v>HK-A027</x:v>
      </x:c>
      <x:c r="B444" s="30" t="str">
        <x:v>p 11</x:v>
      </x:c>
      <x:c r="C444" s="30" t="str">
        <x:v>Four key themes, based on our preliminary work, underpin many of the challenges encountered in the response to Hurricane Katrina and reflect certain lessons learned from past catastrophes. These are generally consistent with the themes I highlighted in a statement to the House Select 6 They include the central importance of (1) clearly defining Committee. and communicating leadership roles, responsibilities, and lines of authority for the response at all levels in advance of a catastrophic disaster, (2) clarifying the procedures for activating the National Response Plan and applying them to emerging catastrophic disasters, (3) conducting strong advance planning and robust training and exercise programs to test these plans in advance of a real disaster, and (4) strengthening response and recovery capabilities for a catastrophic disaster, including those such as emergency communications, continuity of essential government services, and logistics and distribution systems underpinning citizen safety and security. They have been among the topics covered in this committee’s hearings and were also highlighted among the many factors in the House Select Committee report and the White House report.</x:v>
      </x:c>
      <x:c r="D444" s="30" t="str">
        <x:v>Hurricane Katrina</x:v>
      </x:c>
      <x:c r="E444" s="30" t="str">
        <x:v>gao-06-442t.pdf</x:v>
      </x:c>
      <x:c r="F444" s="40" t="str">
        <x:v>No</x:v>
      </x:c>
      <x:c r="G444" s="40" t="n">
        <x:v>0</x:v>
      </x:c>
      <x:c r="H444" s="40" t="str">
        <x:v>Unlabeled</x:v>
      </x:c>
      <x:c r="I444" s="40"/>
      <x:c r="J444" s="40"/>
      <x:c r="K444" s="30" t="str">
        <x:v>Default No — no retained human paragraph-level label in the curated GPT Test</x:v>
      </x:c>
      <x:c r="L444" s="30"/>
      <x:c r="M444" s="40" t="str">
        <x:v>paragraph</x:v>
      </x:c>
      <x:c r="N444" s="40" t="str">
        <x:v>No</x:v>
      </x:c>
      <x:c r="O444" s="30"/>
      <x:c r="P444" s="30" t="str">
        <x:v>11:4:1;11:4:2;11:4:3;11:4:4;11:4:6;11:4:5;11:4:7;11:4:8;11:4:9;11:4:10;11:4:11;11:4:12;11:4:13;11:4:14;11:4:15;11:4:16;11:4:17;11:4:18</x:v>
      </x:c>
    </x:row>
    <x:row r="445" ht="45" customHeight="1">
      <x:c r="A445" s="30" t="str">
        <x:v>HK-A028</x:v>
      </x:c>
      <x:c r="B445" s="30" t="str">
        <x:v>p 12</x:v>
      </x:c>
      <x:c r="C445" s="30" t="str">
        <x:v>In the event of a catastrophic disaster, the leadership roles, responsibilities, and lines of authority for the response at all levels must be clearly defined and effectively communicated in order to facilitate rapid and effective decision making, especially in preparing for and in the early hours and days after the disaster. During incidents of national significance, including catastrophic disasters, the overall coordination of federal incident management activities is executed through the Secretary of Homeland Security. Other federal departments and agencies are to cooperate with the secretary in the secretary’s domestic incident management role.</x:v>
      </x:c>
      <x:c r="D445" s="30" t="str">
        <x:v>Hurricane Katrina</x:v>
      </x:c>
      <x:c r="E445" s="30" t="str">
        <x:v>gao-06-442t.pdf</x:v>
      </x:c>
      <x:c r="F445" s="40" t="str">
        <x:v>No</x:v>
      </x:c>
      <x:c r="G445" s="40" t="n">
        <x:v>0</x:v>
      </x:c>
      <x:c r="H445" s="40" t="str">
        <x:v>Unlabeled</x:v>
      </x:c>
      <x:c r="I445" s="40"/>
      <x:c r="J445" s="40"/>
      <x:c r="K445" s="30" t="str">
        <x:v>Default No — no retained human paragraph-level label in the curated GPT Test</x:v>
      </x:c>
      <x:c r="L445" s="30"/>
      <x:c r="M445" s="40" t="str">
        <x:v>paragraph</x:v>
      </x:c>
      <x:c r="N445" s="40" t="str">
        <x:v>No</x:v>
      </x:c>
      <x:c r="O445" s="30"/>
      <x:c r="P445" s="30" t="str">
        <x:v>12:2:0;12:2:1;12:2:2;12:2:3;12:2:4;12:2:5;12:2:6;12:2:7;12:2:8;12:2:9</x:v>
      </x:c>
    </x:row>
    <x:row r="446" ht="45" customHeight="1">
      <x:c r="A446" s="30" t="str">
        <x:v>HK-A029</x:v>
      </x:c>
      <x:c r="B446" s="30" t="str">
        <x:v>p 12</x:v>
      </x:c>
      <x:c r="C446" s="30" t="str">
        <x:v>There are three key roles in the management of a catastrophic disaster. First, the Secretary of Homeland Security provides strategic, national leadership. The Secretary of Homeland Security is to act as a focal point for natural and manmade crises and emergency planning under the provisions of the Homeland Security Act. In addition, HSPD-5, signed by the President, also names the secretary as the principal federal official for domestic incident management. This is consistent with our recommendation in 1993 that a single individual directly responsible and accountable to the President should be designated to act as the central focal point to lead and coordinate the overall federal response in the event 7 At the time of our recommendation in 1993, of a catastrophic disaster. FEMA was an independent agency. President Clinton elevated the FEMA director to cabinet status in 1996. Subsequent passage of the Homeland Security Act established the DHS secretary as the cabinet-level focal point for natural and manmade crises and emergency planning. We view this as a strategic role to coordinate federal activities and policy from a national standpoint and be directly responsible and accountable to the President.</x:v>
      </x:c>
      <x:c r="D446" s="30" t="str">
        <x:v>Hurricane Katrina</x:v>
      </x:c>
      <x:c r="E446" s="30" t="str">
        <x:v>gao-06-442t.pdf</x:v>
      </x:c>
      <x:c r="F446" s="40" t="str">
        <x:v>No</x:v>
      </x:c>
      <x:c r="G446" s="40" t="n">
        <x:v>0</x:v>
      </x:c>
      <x:c r="H446" s="40" t="str">
        <x:v>Unlabeled</x:v>
      </x:c>
      <x:c r="I446" s="40"/>
      <x:c r="J446" s="40"/>
      <x:c r="K446" s="30" t="str">
        <x:v>Default No — no retained human paragraph-level label in the curated GPT Test</x:v>
      </x:c>
      <x:c r="L446" s="30"/>
      <x:c r="M446" s="40" t="str">
        <x:v>paragraph</x:v>
      </x:c>
      <x:c r="N446" s="40" t="str">
        <x:v>No</x:v>
      </x:c>
      <x:c r="O446" s="30"/>
      <x:c r="P446" s="30" t="str">
        <x:v>12:3:0;12:3:1;12:3:2;12:3:3;12:3:4;12:3:5;12:3:6;12:3:7;12:3:8;12:3:9;12:3:11;12:3:10;12:3:12;12:3:13;12:3:14;12:3:15;12:3:16;12:3:17</x:v>
      </x:c>
    </x:row>
    <x:row r="447" ht="45" customHeight="1">
      <x:c r="A447" s="30" t="str">
        <x:v>HK-A030</x:v>
      </x:c>
      <x:c r="B447" s="30" t="str">
        <x:v>p 12</x:v>
      </x:c>
      <x:c r="C447" s="30" t="str">
        <x:v>The second key role is the principal federal official (PFO) whom the Secretary of Homeland Security designates to be the secretary’s representative under the NRP structure and to coordinate the federal response at an operational level. The third role is that of a federal coordinating officer (FCO) which, under the Stafford Act, is to coordinate relief for major disasters and emergencies declared by the President.</x:v>
      </x:c>
      <x:c r="D447" s="30" t="str">
        <x:v>Hurricane Katrina</x:v>
      </x:c>
      <x:c r="E447" s="30" t="str">
        <x:v>gao-06-442t.pdf</x:v>
      </x:c>
      <x:c r="F447" s="40" t="str">
        <x:v>No</x:v>
      </x:c>
      <x:c r="G447" s="40" t="n">
        <x:v>0</x:v>
      </x:c>
      <x:c r="H447" s="40" t="str">
        <x:v>Unlabeled</x:v>
      </x:c>
      <x:c r="I447" s="40"/>
      <x:c r="J447" s="40"/>
      <x:c r="K447" s="30" t="str">
        <x:v>Default No — no retained human paragraph-level label in the curated GPT Test</x:v>
      </x:c>
      <x:c r="L447" s="30"/>
      <x:c r="M447" s="40" t="str">
        <x:v>paragraph</x:v>
      </x:c>
      <x:c r="N447" s="40" t="str">
        <x:v>No</x:v>
      </x:c>
      <x:c r="O447" s="30"/>
      <x:c r="P447" s="30" t="str">
        <x:v>12:4:0;12:4:1;12:4:2;12:4:3;12:4:4;12:4:5</x:v>
      </x:c>
    </x:row>
    <x:row r="448" ht="45" customHeight="1">
      <x:c r="A448" s="30" t="str">
        <x:v>HK-A031</x:v>
      </x:c>
      <x:c r="B448" s="30" t="str">
        <x:v>pp 12-13</x:v>
      </x:c>
      <x:c r="C448" s="30" t="str">
        <x:v>The Secretary of Homeland Security initially designated the head of FEMA as the PFO, who appointed separate FCOs for Alabama, Louisiana, and Mississippi for Hurricane Katrina. However, it appeared there were
shifting roles and responsibilities of the players in all 3 of these roles. Our initial field work indicated this resulted in disjointed efforts of many federal agencies involved in the response, a myriad of approaches and processes for requesting and providing assistance, and confusion about who should be advised of requests and what resources would be provided within specific time frames.</x:v>
      </x:c>
      <x:c r="D448" s="30" t="str">
        <x:v>Hurricane Katrina</x:v>
      </x:c>
      <x:c r="E448" s="30" t="str">
        <x:v>gao-06-442t.pdf</x:v>
      </x:c>
      <x:c r="F448" s="40" t="str">
        <x:v>No</x:v>
      </x:c>
      <x:c r="G448" s="40" t="n">
        <x:v>0</x:v>
      </x:c>
      <x:c r="H448" s="40" t="str">
        <x:v>Unlabeled</x:v>
      </x:c>
      <x:c r="I448" s="40"/>
      <x:c r="J448" s="40"/>
      <x:c r="K448" s="30" t="str">
        <x:v>Default No — no retained human paragraph-level label in the curated GPT Test</x:v>
      </x:c>
      <x:c r="L448" s="30"/>
      <x:c r="M448" s="40" t="str">
        <x:v>paragraph</x:v>
      </x:c>
      <x:c r="N448" s="40" t="str">
        <x:v>No</x:v>
      </x:c>
      <x:c r="O448" s="30"/>
      <x:c r="P448" s="30" t="str">
        <x:v>12:5:0;12:5:1;12:5:2;13:2:0;13:2:1;13:2:2;13:2:3;13:2:4;13:2:5</x:v>
      </x:c>
    </x:row>
    <x:row r="449" ht="45" customHeight="1">
      <x:c r="A449" s="30" t="str">
        <x:v>HK-A032</x:v>
      </x:c>
      <x:c r="B449" s="30" t="str">
        <x:v>p 13</x:v>
      </x:c>
      <x:c r="C449" s="30" t="str">
        <x:v>The House Select Committee also found difficulties with roles and responsibilities, including federal officials’ unfamiliarity with their roles and responsibilities under the NRP and NIMS. The White House has made numerous recommendations, including revising the NRP to address situations that render state and local governments incapable of an effective response, giving the PFO the authority to execute responsibilities and coordinate federal response assets, and requiring agencies to develop integrated operational plans, procedures, and capabilities for their support to the base NRP and the NRP’s emergency support functions and support annexes.</x:v>
      </x:c>
      <x:c r="D449" s="30" t="str">
        <x:v>Hurricane Katrina</x:v>
      </x:c>
      <x:c r="E449" s="30" t="str">
        <x:v>gao-06-442t.pdf</x:v>
      </x:c>
      <x:c r="F449" s="40" t="str">
        <x:v>No</x:v>
      </x:c>
      <x:c r="G449" s="40" t="n">
        <x:v>0</x:v>
      </x:c>
      <x:c r="H449" s="40" t="str">
        <x:v>Unlabeled</x:v>
      </x:c>
      <x:c r="I449" s="40"/>
      <x:c r="J449" s="40"/>
      <x:c r="K449" s="30" t="str">
        <x:v>Default No — no retained human paragraph-level label in the curated GPT Test</x:v>
      </x:c>
      <x:c r="L449" s="30"/>
      <x:c r="M449" s="40" t="str">
        <x:v>paragraph</x:v>
      </x:c>
      <x:c r="N449" s="40" t="str">
        <x:v>No</x:v>
      </x:c>
      <x:c r="O449" s="30"/>
      <x:c r="P449" s="30" t="str">
        <x:v>13:3:0;13:3:1;13:3:2;13:3:3;13:3:4;13:3:5;13:3:6;13:3:7;13:3:8;13:3:9</x:v>
      </x:c>
    </x:row>
    <x:row r="450" ht="45" customHeight="1">
      <x:c r="A450" s="30" t="str">
        <x:v>HK-A033</x:v>
      </x:c>
      <x:c r="B450" s="30" t="str">
        <x:v>p 13</x:v>
      </x:c>
      <x:c r="C450" s="30" t="str">
        <x:v>Consistent with the provisions of the Homeland Security Act and the Stafford Act, we recommend that DHS clarify and communicate the roles of the secretary, the PFO, and the FCO. If legislative changes are considered, the roles and responsibilities should be clarified accordingly.</x:v>
      </x:c>
      <x:c r="D450" s="30" t="str">
        <x:v>Hurricane Katrina</x:v>
      </x:c>
      <x:c r="E450" s="30" t="str">
        <x:v>gao-06-442t.pdf</x:v>
      </x:c>
      <x:c r="F450" s="40" t="str">
        <x:v>No</x:v>
      </x:c>
      <x:c r="G450" s="40" t="n">
        <x:v>0</x:v>
      </x:c>
      <x:c r="H450" s="40" t="str">
        <x:v>Unlabeled</x:v>
      </x:c>
      <x:c r="I450" s="40"/>
      <x:c r="J450" s="40"/>
      <x:c r="K450" s="30" t="str">
        <x:v>Default No — no retained human paragraph-level label in the curated GPT Test</x:v>
      </x:c>
      <x:c r="L450" s="30"/>
      <x:c r="M450" s="40" t="str">
        <x:v>paragraph</x:v>
      </x:c>
      <x:c r="N450" s="40" t="str">
        <x:v>No</x:v>
      </x:c>
      <x:c r="O450" s="30"/>
      <x:c r="P450" s="30" t="str">
        <x:v>13:4:0;13:4:1;13:4:2;13:4:3</x:v>
      </x:c>
    </x:row>
    <x:row r="451" ht="45" customHeight="1">
      <x:c r="A451" s="30" t="str">
        <x:v>HK-A034</x:v>
      </x:c>
      <x:c r="B451" s="30" t="str">
        <x:v>p 13</x:v>
      </x:c>
      <x:c r="C451" s="30" t="str">
        <x:v>The NRP distinguishes between incidents that require DHS coordination, termed Incidents of National Significance, and the majority of incidents occurring each year, such as snow storms, that are handled by responsible jurisdictions or agencies through other established authorities and plans. However, the NRP is not clear regarding what triggers an incident of national significance. To illustrate this ambiguity, the NRP’s Planning Assumptions provide that “all presidentially-declared disasters and emergencies under the Stafford Act are considered Incidents of National Significance,” indicating that they do not need to be declared as such by the Secretary of Homeland Security. Elsewhere, the NRP suggest that the Secretary must formally declare an incident of national significance in consultation with other department and agencies, as appropriate.</x:v>
      </x:c>
      <x:c r="D451" s="30" t="str">
        <x:v>Hurricane Katrina</x:v>
      </x:c>
      <x:c r="E451" s="30" t="str">
        <x:v>gao-06-442t.pdf</x:v>
      </x:c>
      <x:c r="F451" s="40" t="str">
        <x:v>No</x:v>
      </x:c>
      <x:c r="G451" s="40" t="n">
        <x:v>0</x:v>
      </x:c>
      <x:c r="H451" s="40" t="str">
        <x:v>Unlabeled</x:v>
      </x:c>
      <x:c r="I451" s="40"/>
      <x:c r="J451" s="40"/>
      <x:c r="K451" s="30" t="str">
        <x:v>Default No — no retained human paragraph-level label in the curated GPT Test</x:v>
      </x:c>
      <x:c r="L451" s="30"/>
      <x:c r="M451" s="40" t="str">
        <x:v>paragraph</x:v>
      </x:c>
      <x:c r="N451" s="40" t="str">
        <x:v>No</x:v>
      </x:c>
      <x:c r="O451" s="30"/>
      <x:c r="P451" s="30" t="str">
        <x:v>13:5:1;13:5:2;13:5:3;13:5:4;13:5:5;13:5:6;13:5:7;13:5:8;13:5:9;13:5:10;13:5:11;13:5:12</x:v>
      </x:c>
    </x:row>
    <x:row r="452" ht="45" customHeight="1">
      <x:c r="A452" s="30" t="str">
        <x:v>HK-A035</x:v>
      </x:c>
      <x:c r="B452" s="30" t="str">
        <x:v>pp 13-14</x:v>
      </x:c>
      <x:c r="C452" s="30" t="str">
        <x:v>The question of how and when an event becomes an incident of national significance was also raised in the White House report on the federal response to Hurricane Katrina. According to the White House report, the NRP did not make clear whether the secretary must formally declare an incident of national significance or, alternatively, whether such an incident is automatically triggered when one or more of the HSPD-5 criteria (discussed on page 7) are satisfied, including when the President declares a disaster or emergency under the Stafford Act. In addition, the White House report questioned whether an event becomes an incident of national significance simply by satisfying an HSPD-5 criterion, or whether additional considerations apply. The White House report observed that since the NRP was adopted in December 2004, many parts of the NRP had been used to various degrees and magnitudes for thirty declared Stafford Act events to coordinate Federal assistance. Yet, the Secretary of Homeland Security had never formally declared an Incident of National Significance until Tuesday, August 30, 2005, after Hurricane Katrina made final landfall.</x:v>
      </x:c>
      <x:c r="D452" s="30" t="str">
        <x:v>Hurricane Katrina</x:v>
      </x:c>
      <x:c r="E452" s="30" t="str">
        <x:v>gao-06-442t.pdf</x:v>
      </x:c>
      <x:c r="F452" s="40" t="str">
        <x:v>No</x:v>
      </x:c>
      <x:c r="G452" s="40" t="n">
        <x:v>0</x:v>
      </x:c>
      <x:c r="H452" s="40" t="str">
        <x:v>Unlabeled</x:v>
      </x:c>
      <x:c r="I452" s="40"/>
      <x:c r="J452" s="40"/>
      <x:c r="K452" s="30" t="str">
        <x:v>Default No — no retained human paragraph-level label in the curated GPT Test</x:v>
      </x:c>
      <x:c r="L452" s="30"/>
      <x:c r="M452" s="40" t="str">
        <x:v>paragraph</x:v>
      </x:c>
      <x:c r="N452" s="40" t="str">
        <x:v>No</x:v>
      </x:c>
      <x:c r="O452" s="30"/>
      <x:c r="P452" s="30" t="str">
        <x:v>13:5:14;13:5:15;13:5:16;13:5:17;13:5:18;13:5:19;14:2:0;14:2:1;14:2:2;14:2:3;14:2:4;14:2:5;14:2:6;14:2:7;14:2:8;14:2:9;14:2:10</x:v>
      </x:c>
    </x:row>
    <x:row r="453" ht="45" customHeight="1">
      <x:c r="A453" s="30" t="str">
        <x:v>HK-A036</x:v>
      </x:c>
      <x:c r="B453" s="30" t="str">
        <x:v>p 14</x:v>
      </x:c>
      <x:c r="C453" s="30" t="str">
        <x:v>We agree that the process and operational consequences of declaring an incident of national significance should be further defined and clarified. Without such clarification of the NRP, confusion will persist regarding DHS’s activation of the NRP. We therefore recommend that DHS clarify the NRP regarding whether the Secretary of Homeland Security must formally declare an incident of national significance to activate the NRP, and, if not, whether the secretary must take any specific actions when the President, in effect, activates the NRP by declaring a Stafford Act emergency or major disaster.</x:v>
      </x:c>
      <x:c r="D453" s="30" t="str">
        <x:v>Hurricane Katrina</x:v>
      </x:c>
      <x:c r="E453" s="30" t="str">
        <x:v>gao-06-442t.pdf</x:v>
      </x:c>
      <x:c r="F453" s="40" t="str">
        <x:v>No</x:v>
      </x:c>
      <x:c r="G453" s="40" t="n">
        <x:v>0</x:v>
      </x:c>
      <x:c r="H453" s="40" t="str">
        <x:v>Unlabeled</x:v>
      </x:c>
      <x:c r="I453" s="40"/>
      <x:c r="J453" s="40"/>
      <x:c r="K453" s="30" t="str">
        <x:v>Default No — no retained human paragraph-level label in the curated GPT Test</x:v>
      </x:c>
      <x:c r="L453" s="30"/>
      <x:c r="M453" s="40" t="str">
        <x:v>paragraph</x:v>
      </x:c>
      <x:c r="N453" s="40" t="str">
        <x:v>No</x:v>
      </x:c>
      <x:c r="O453" s="30"/>
      <x:c r="P453" s="30" t="str">
        <x:v>14:2:12;14:2:13;14:2:14;14:2:15;14:2:16;14:2:17;14:2:18;14:2:19;14:2:20</x:v>
      </x:c>
    </x:row>
    <x:row r="454" ht="45" customHeight="1">
      <x:c r="A454" s="30" t="str">
        <x:v>HK-A037</x:v>
      </x:c>
      <x:c r="B454" s="30" t="str">
        <x:v>p 14</x:v>
      </x:c>
      <x:c r="C454" s="30" t="str">
        <x:v>In addition, we believe that the NRP’s provisions regarding the proactive response of the federal government to emerging catastrophic incidents should be clarified. As I stated earlier, the NRP includes a Catastrophic Incident Annex that describes an accelerated, proactive national response to catastrophic incidents and establishes protocols to pre-identify and rapidly deploy essential resources that are expected to be urgently needed to save lives and contain incidents. At the time of Hurricane Katrina, a draft of a more detailed and operationally specific Catastrophic Incident Supplement to the annex had not been approved. Under the language of the draft supplement, the annex would only apply to no-notice or shortnotice catastrophic incidents, not incidents that may evolve or mature to catastrophic magnitude, which could be the case with strengthening hurricanes.</x:v>
      </x:c>
      <x:c r="D454" s="30" t="str">
        <x:v>Hurricane Katrina</x:v>
      </x:c>
      <x:c r="E454" s="30" t="str">
        <x:v>gao-06-442t.pdf</x:v>
      </x:c>
      <x:c r="F454" s="40" t="str">
        <x:v>No</x:v>
      </x:c>
      <x:c r="G454" s="40" t="n">
        <x:v>0</x:v>
      </x:c>
      <x:c r="H454" s="40" t="str">
        <x:v>Unlabeled</x:v>
      </x:c>
      <x:c r="I454" s="40"/>
      <x:c r="J454" s="40"/>
      <x:c r="K454" s="30" t="str">
        <x:v>Default No — no retained human paragraph-level label in the curated GPT Test</x:v>
      </x:c>
      <x:c r="L454" s="30"/>
      <x:c r="M454" s="40" t="str">
        <x:v>paragraph</x:v>
      </x:c>
      <x:c r="N454" s="40" t="str">
        <x:v>No</x:v>
      </x:c>
      <x:c r="O454" s="30"/>
      <x:c r="P454" s="30" t="str">
        <x:v>14:2:22;14:2:23;14:2:24;14:2:25;14:2:26;14:2:27;14:2:28;14:2:29;14:2:30;14:2:31;14:2:32;14:2:33;14:2:34</x:v>
      </x:c>
    </x:row>
    <x:row r="455" ht="45" customHeight="1">
      <x:c r="A455" s="30" t="str">
        <x:v>HK-A038</x:v>
      </x:c>
      <x:c r="B455" s="30" t="str">
        <x:v>pp 14-15</x:v>
      </x:c>
      <x:c r="C455" s="30"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x:v>
      </x:c>
      <x:c r="D455" s="30" t="str">
        <x:v>Hurricane Katrina</x:v>
      </x:c>
      <x:c r="E455" s="30" t="str">
        <x:v>gao-06-442t.pdf</x:v>
      </x:c>
      <x:c r="F455" s="40" t="str">
        <x:v>Yes</x:v>
      </x:c>
      <x:c r="G455" s="40" t="n">
        <x:v>1</x:v>
      </x:c>
      <x:c r="H455" s="40" t="str">
        <x:v>Direct human-labeled/adjudicated</x:v>
      </x:c>
      <x:c r="I455" s="40" t="str">
        <x:v>Anmol, Kyle</x:v>
      </x:c>
      <x:c r="J455" s="40" t="str">
        <x:v>HK-001</x:v>
      </x:c>
      <x:c r="K455" s="30" t="str">
        <x:v>Retained human/adjudicated label from the curated GPT Test after PyMuPDF source reconciliation.</x:v>
      </x:c>
      <x:c r="L455" s="30" t="str">
        <x:v>unlearning as it discards teh assumption of the traditional layered approach for evolving incidents.</x:v>
      </x:c>
      <x:c r="M455" s="40" t="str">
        <x:v>paragraph</x:v>
      </x:c>
      <x:c r="N455" s="40" t="str">
        <x:v>No</x:v>
      </x:c>
      <x:c r="O455" s="30"/>
      <x:c r="P455" s="30" t="str">
        <x:v>14:2:36;14:2:37;14:2:38;14:2:39;14:2:40;14:2:41;14:2:42;14:2:43;15:2:0;15:2:1</x:v>
      </x:c>
    </x:row>
    <x:row r="456" ht="45" customHeight="1">
      <x:c r="A456" s="30" t="str">
        <x:v>HK-A039</x:v>
      </x:c>
      <x:c r="B456" s="30" t="str">
        <x:v>p 15</x:v>
      </x:c>
      <x:c r="C456" s="30"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D456" s="30" t="str">
        <x:v>Hurricane Katrina</x:v>
      </x:c>
      <x:c r="E456" s="30" t="str">
        <x:v>gao-06-442t.pdf</x:v>
      </x:c>
      <x:c r="F456" s="40" t="str">
        <x:v>No</x:v>
      </x:c>
      <x:c r="G456" s="40" t="n">
        <x:v>0</x:v>
      </x:c>
      <x:c r="H456" s="40" t="str">
        <x:v>Direct human-labeled/adjudicated</x:v>
      </x:c>
      <x:c r="I456" s="40" t="str">
        <x:v>Anmol, Kyle</x:v>
      </x:c>
      <x:c r="J456" s="40" t="str">
        <x:v>HK-002</x:v>
      </x:c>
      <x:c r="K456" s="30" t="str">
        <x:v>Retained human/adjudicated label from the curated GPT Test after PyMuPDF source reconciliation.</x:v>
      </x:c>
      <x:c r="L456" s="30" t="str">
        <x:v>Not unlearning. It doesnt identify a specific issue and the change it suggest in atuhority doesnt sound like amajor departure from teh past norms.</x:v>
      </x:c>
      <x:c r="M456" s="40" t="str">
        <x:v>paragraph</x:v>
      </x:c>
      <x:c r="N456" s="40" t="str">
        <x:v>No</x:v>
      </x:c>
      <x:c r="O456" s="30"/>
      <x:c r="P456" s="30" t="str">
        <x:v>15:2:3;15:2:4;15:2:5;15:2:6;15:2:7;15:2:8;15:2:9;15:2:10;15:2:11;15:2:12;15:2:13;15:2:14</x:v>
      </x:c>
    </x:row>
    <x:row r="457" ht="45" customHeight="1">
      <x:c r="A457" s="30" t="str">
        <x:v>HK-A040</x:v>
      </x:c>
      <x:c r="B457" s="30" t="str">
        <x:v>p 15</x:v>
      </x:c>
      <x:c r="C457" s="30" t="str">
        <x:v>Madame Chairman, to increase the ability of the nation to prepare for, respond to, and recover from catastrophic disasters such as Hurricane Katrina, there should be strong advance planning, both within and among responder organizations, as well as robust training and exercise programs to test these plans in advance of a real disaster. By their very nature, catastrophic disasters involve extraordinary levels of mass casualties, damage, or disruption that likely will immediately overwhelm state and local responders, circumstances that make sound planning for catastrophic events all the more crucial. Our previous work on Hurricane Andrew highlighted the importance of such plans to focus specifically on catastrophic disasters.</x:v>
      </x:c>
      <x:c r="D457" s="30" t="str">
        <x:v>Hurricane Katrina</x:v>
      </x:c>
      <x:c r="E457" s="30" t="str">
        <x:v>gao-06-442t.pdf</x:v>
      </x:c>
      <x:c r="F457" s="40" t="str">
        <x:v>No</x:v>
      </x:c>
      <x:c r="G457" s="40" t="n">
        <x:v>0</x:v>
      </x:c>
      <x:c r="H457" s="40" t="str">
        <x:v>Unlabeled</x:v>
      </x:c>
      <x:c r="I457" s="40"/>
      <x:c r="J457" s="40"/>
      <x:c r="K457" s="30" t="str">
        <x:v>Default No — no retained human paragraph-level label in the curated GPT Test</x:v>
      </x:c>
      <x:c r="L457" s="30"/>
      <x:c r="M457" s="40" t="str">
        <x:v>paragraph</x:v>
      </x:c>
      <x:c r="N457" s="40" t="str">
        <x:v>No</x:v>
      </x:c>
      <x:c r="O457" s="30"/>
      <x:c r="P457" s="30" t="str">
        <x:v>15:2:17;15:2:18;15:2:19;15:2:20;15:2:21;15:2:22;15:2:23;15:2:24;15:2:25;15:2:26;15:2:27</x:v>
      </x:c>
    </x:row>
    <x:row r="458" ht="45" customHeight="1">
      <x:c r="A458" s="30" t="str">
        <x:v>HK-A041</x:v>
      </x:c>
      <x:c r="B458" s="30" t="str">
        <x:v>pp 15-16</x:v>
      </x:c>
      <x:c r="C458" s="30" t="str">
        <x:v>Our initial review of the NRP base plan and its supporting catastrophic annex as well as lessons based on Hurricane Katrina suggest that planning must be strengthened to implement their provisions. Therefore, we recommend that these documents should be supported and supplemented by more detailed and robust operational implementation plans. Such operational plans should, for example, further define and leverage any military capabilities as might be needed in a catastrophic disaster. Prior catastrophic disasters and the actual experience of Hurricane Katrina show that DOD is likely to contribute substantial support to state and local authorities, including search and rescue assets, evacuation assistance, provision of supplies, damage assessment assets, and possibly helping to ensure public safety. More detailed planning would provide greater visibility and understanding of the types of support DOD will be expected to provide following a catastrophic event, including the types of assistance and capabilities that might be provided, what might be done proactively and in response to specific requests, and how the efforts of the active duty and National Guard would be integrated. We will be making several recommendations to DOD to enhance its planning and response for future events, in the areas of identifying specific active duty and National Guard capabilities that would likely be available to respond to a catastrophe, and integrating the active duty and National Guard response including Guard units within and outside of the affected state. Planning also must explicitly consider the need for, and management of, the contractor community.</x:v>
      </x:c>
      <x:c r="D458" s="30" t="str">
        <x:v>Hurricane Katrina</x:v>
      </x:c>
      <x:c r="E458" s="30" t="str">
        <x:v>gao-06-442t.pdf</x:v>
      </x:c>
      <x:c r="F458" s="40" t="str">
        <x:v>No</x:v>
      </x:c>
      <x:c r="G458" s="40" t="n">
        <x:v>0</x:v>
      </x:c>
      <x:c r="H458" s="40" t="str">
        <x:v>Unlabeled</x:v>
      </x:c>
      <x:c r="I458" s="40"/>
      <x:c r="J458" s="40"/>
      <x:c r="K458" s="30" t="str">
        <x:v>Default No — no retained human paragraph-level label in the curated GPT Test</x:v>
      </x:c>
      <x:c r="L458" s="30"/>
      <x:c r="M458" s="40" t="str">
        <x:v>paragraph</x:v>
      </x:c>
      <x:c r="N458" s="40" t="str">
        <x:v>No</x:v>
      </x:c>
      <x:c r="O458" s="30"/>
      <x:c r="P458" s="30" t="str">
        <x:v>15:3:0;15:3:1;15:3:2;15:3:3;15:3:4;15:3:5;15:3:6;15:3:7;15:3:8;15:3:9;15:3:10;15:3:11;15:3:12;15:3:13;16:2:0;16:2:1;16:2:2;16:2:3;16:2:4;16:2:5;16:2:6;16:2:7;16:2:8</x:v>
      </x:c>
    </x:row>
    <x:row r="459" ht="45" customHeight="1">
      <x:c r="A459" s="30" t="str">
        <x:v>HK-A042</x:v>
      </x:c>
      <x:c r="B459" s="30" t="str">
        <x:v>p 16</x:v>
      </x:c>
      <x:c r="C459" s="30" t="str">
        <x:v>In addition, regular training and periodic exercises provide a valuable way to test emergency management plans. In our previous work on Hurricanes Andrew and Hugo, we identified the need for the federal government to upgrade training and exercises for state and local governments specifically geared towards catastrophic disaster response. Hurricane Katrina demonstrated the potential benefits of applying lessons learned from training exercises and experiences with actual hurricanes as well as the dangers of ignoring them. During our initial fieldwork, we found examples of how an incomplete understanding of NRP and NIMS roles and responsibilities could lead to misunderstandings, problems, and delays. For example, we were told in Louisiana that in one city there did not appear to be clarity in roles and responsibilities, with officials not knowing what federal agencies were responsible for. In one example in Mississippi, we were told that county and city officials were not implementing NIMS due to a lack of understanding of its provisions.</x:v>
      </x:c>
      <x:c r="D459" s="30" t="str">
        <x:v>Hurricane Katrina</x:v>
      </x:c>
      <x:c r="E459" s="30" t="str">
        <x:v>gao-06-442t.pdf</x:v>
      </x:c>
      <x:c r="F459" s="40" t="str">
        <x:v>No</x:v>
      </x:c>
      <x:c r="G459" s="40" t="n">
        <x:v>0</x:v>
      </x:c>
      <x:c r="H459" s="40" t="str">
        <x:v>Unlabeled</x:v>
      </x:c>
      <x:c r="I459" s="40"/>
      <x:c r="J459" s="40"/>
      <x:c r="K459" s="30" t="str">
        <x:v>Default No — no retained human paragraph-level label in the curated GPT Test</x:v>
      </x:c>
      <x:c r="L459" s="30"/>
      <x:c r="M459" s="40" t="str">
        <x:v>paragraph</x:v>
      </x:c>
      <x:c r="N459" s="40" t="str">
        <x:v>No</x:v>
      </x:c>
      <x:c r="O459" s="30"/>
      <x:c r="P459" s="30" t="str">
        <x:v>16:3:0;16:3:1;16:3:2;16:3:3;16:3:4;16:3:5;16:3:6;16:3:7;16:3:8;16:3:9;16:3:10;16:3:11;16:3:12;16:3:13;16:3:14</x:v>
      </x:c>
    </x:row>
    <x:row r="460" ht="45" customHeight="1">
      <x:c r="A460" s="30" t="str">
        <x:v>HK-A043</x:v>
      </x:c>
      <x:c r="B460" s="30" t="str">
        <x:v>p 16</x:v>
      </x:c>
      <x:c r="C460" s="30" t="str">
        <x:v>A November 2005 report by DHS’s Office of Inspector General (OIG) on the April 2005 “Top Officials 3 Exercise” noted that the exercise highlighted—at all levels of government—a fundamental lack of understanding regarding the principles and protocols set forth in the NRP and NIMS, including confusion over the different roles and responsibilities performed by the PFO and FCO. The report recommended that DHS continue to train and exercise NRP and NIMS at all levels of government and develop operating procedures that clearly define individual and organizational roles and responsibilities under the NRP. We would see this training and exercising effort as recognizing the role of joint decision making and not result in a centralized, top-down process.</x:v>
      </x:c>
      <x:c r="D460" s="30" t="str">
        <x:v>Hurricane Katrina</x:v>
      </x:c>
      <x:c r="E460" s="30" t="str">
        <x:v>gao-06-442t.pdf</x:v>
      </x:c>
      <x:c r="F460" s="40" t="str">
        <x:v>No</x:v>
      </x:c>
      <x:c r="G460" s="40" t="n">
        <x:v>0</x:v>
      </x:c>
      <x:c r="H460" s="40" t="str">
        <x:v>Unlabeled</x:v>
      </x:c>
      <x:c r="I460" s="40"/>
      <x:c r="J460" s="40"/>
      <x:c r="K460" s="30" t="str">
        <x:v>Default No — no retained human paragraph-level label in the curated GPT Test</x:v>
      </x:c>
      <x:c r="L460" s="30"/>
      <x:c r="M460" s="40" t="str">
        <x:v>paragraph</x:v>
      </x:c>
      <x:c r="N460" s="40" t="str">
        <x:v>No</x:v>
      </x:c>
      <x:c r="O460" s="30"/>
      <x:c r="P460" s="30" t="str">
        <x:v>16:4:0;16:4:1;16:4:2;16:4:3;16:4:4;16:4:5;16:4:6;16:4:7;16:4:8;16:4:9;16:4:10</x:v>
      </x:c>
    </x:row>
    <x:row r="461" ht="45" customHeight="1">
      <x:c r="A461" s="30" t="str">
        <x:v>HK-A044</x:v>
      </x:c>
      <x:c r="B461" s="30" t="str">
        <x:v>pp 16-17</x:v>
      </x:c>
      <x:c r="C461" s="30" t="str">
        <x:v>The 2004 “Hurricane Pam” planning exercise illustrates the benefits and consequences of applying and not applying lessons learned from training exercises and experiences with actual hurricanes for future catastrophic disasters. This catastrophic hurricane exercise, sponsored by FEMA, was to develop a response and recovery plan for a major hurricane that floods New Orleans and the surrounding parishes and to identify any issues that could not be resolved based on current capabilities. The weather scenario involved a slow moving category 3 hurricane sustaining 120 mph winds at landfall and generating a storm surge that inundated New Orleans under 15 to 20 feet of water. In addition to widespread flooding, the exercise posed impacts of extensive evacuations and the resulting need to shelter thousands of individuals left homeless after the storm, disposing of tons of debris, and recreating school systems. We were told in Louisiana that the exercise anticipated many of the events transpiring as the result of Hurricane Katrina. The Hurricane Pam exercise and other planning activities resulted in some action, but others were incomplete. For example, efforts to finalize agreements with hospital and university officials to create temporary medical operations staging areas around the state did occur. Louisiana revised its contraflow evacuation plan. However, plans for evacuating those with special needs and post-landfall care and evacuation had not been finalized by the time Hurricane Katrina made landfall. The House Select Committee also noted that the Hurricane Pam exercise reflected recognition by all levels of government of the dangers of a category 4 or 5 hurricane striking New Orleans.</x:v>
      </x:c>
      <x:c r="D461" s="30" t="str">
        <x:v>Hurricane Katrina</x:v>
      </x:c>
      <x:c r="E461" s="30" t="str">
        <x:v>gao-06-442t.pdf</x:v>
      </x:c>
      <x:c r="F461" s="40" t="str">
        <x:v>No</x:v>
      </x:c>
      <x:c r="G461" s="40" t="n">
        <x:v>0</x:v>
      </x:c>
      <x:c r="H461" s="40" t="str">
        <x:v>Unlabeled</x:v>
      </x:c>
      <x:c r="I461" s="40"/>
      <x:c r="J461" s="40"/>
      <x:c r="K461" s="30" t="str">
        <x:v>Default No — no retained human paragraph-level label in the curated GPT Test</x:v>
      </x:c>
      <x:c r="L461" s="30"/>
      <x:c r="M461" s="40" t="str">
        <x:v>paragraph</x:v>
      </x:c>
      <x:c r="N461" s="40" t="str">
        <x:v>No</x:v>
      </x:c>
      <x:c r="O461" s="30"/>
      <x:c r="P461" s="30" t="str">
        <x:v>16:5:0;16:5:1;16:5:2;16:5:3;16:5:4;17:2:0;17:2:1;17:2:2;17:2:3;17:2:4;17:2:5;17:2:6;17:2:7;17:2:8;17:2:9;17:2:10;17:2:11;17:2:12;17:2:13;17:2:14;17:2:15;17:2:16;17:2:17;17:2:18</x:v>
      </x:c>
    </x:row>
    <x:row r="462" ht="45" customHeight="1">
      <x:c r="A462" s="30" t="str">
        <x:v>HK-A045</x:v>
      </x:c>
      <x:c r="B462" s="30" t="str">
        <x:v>p 17</x:v>
      </x:c>
      <x:c r="C462" s="30" t="str">
        <x:v>The White House has made several recommendations regarding planning and exercises to improve the response to catastrophic disasters such as Hurricane Katrina. For example, the White House recommends that all federal departments and agencies should develop emergency plans and a response capability. Other White House recommendations are intended to strengthen training, exercises, and lessons learned. To illustrate, recommendations cover (1) strengthening Homeland Security Council coordination of federal emergency training, exercises, and lessons learned, (2) DHS conducting state and local officials’ training and exercises, and (3) DHS establishing a national exercise and evaluation program. The White House also recommended development of a comprehensive homeland security professional development and education program.</x:v>
      </x:c>
      <x:c r="D462" s="30" t="str">
        <x:v>Hurricane Katrina</x:v>
      </x:c>
      <x:c r="E462" s="30" t="str">
        <x:v>gao-06-442t.pdf</x:v>
      </x:c>
      <x:c r="F462" s="40" t="str">
        <x:v>No</x:v>
      </x:c>
      <x:c r="G462" s="40" t="n">
        <x:v>0</x:v>
      </x:c>
      <x:c r="H462" s="40" t="str">
        <x:v>Unlabeled</x:v>
      </x:c>
      <x:c r="I462" s="40"/>
      <x:c r="J462" s="40"/>
      <x:c r="K462" s="30" t="str">
        <x:v>Default No — no retained human paragraph-level label in the curated GPT Test</x:v>
      </x:c>
      <x:c r="L462" s="30"/>
      <x:c r="M462" s="40" t="str">
        <x:v>paragraph</x:v>
      </x:c>
      <x:c r="N462" s="40" t="str">
        <x:v>No</x:v>
      </x:c>
      <x:c r="O462" s="30"/>
      <x:c r="P462" s="30" t="str">
        <x:v>17:3:0;17:3:1;17:3:2;17:3:3;17:3:4;17:3:5;17:3:6;17:3:7;17:3:8;17:3:9;17:3:10;17:3:11</x:v>
      </x:c>
    </x:row>
    <x:row r="463" ht="45" customHeight="1">
      <x:c r="A463" s="30" t="str">
        <x:v>HK-A046</x:v>
      </x:c>
      <x:c r="B463" s="30" t="str">
        <x:v>p 17</x:v>
      </x:c>
      <x:c r="C463" s="30" t="str">
        <x:v>We recommend that DHS provide strong oversight of federal, state, and local planning, training, and exercises to ensure such activities fully support preparedness, response, and recovery responsibilities at a jurisdictional and regional basis. This should also include applying lessons learned from actual major and catastrophic disasters. We will soon be starting work examining DHS’s catastrophic planning initiatives, including Hurricane Pam, in order to help identify more specific recommendations.</x:v>
      </x:c>
      <x:c r="D463" s="30" t="str">
        <x:v>Hurricane Katrina</x:v>
      </x:c>
      <x:c r="E463" s="30" t="str">
        <x:v>gao-06-442t.pdf</x:v>
      </x:c>
      <x:c r="F463" s="40" t="str">
        <x:v>No</x:v>
      </x:c>
      <x:c r="G463" s="40" t="n">
        <x:v>0</x:v>
      </x:c>
      <x:c r="H463" s="40" t="str">
        <x:v>Unlabeled</x:v>
      </x:c>
      <x:c r="I463" s="40"/>
      <x:c r="J463" s="40"/>
      <x:c r="K463" s="30" t="str">
        <x:v>Default No — no retained human paragraph-level label in the curated GPT Test</x:v>
      </x:c>
      <x:c r="L463" s="30"/>
      <x:c r="M463" s="40" t="str">
        <x:v>paragraph</x:v>
      </x:c>
      <x:c r="N463" s="40" t="str">
        <x:v>No</x:v>
      </x:c>
      <x:c r="O463" s="30"/>
      <x:c r="P463" s="30" t="str">
        <x:v>17:4:0;17:4:1;17:4:2;17:4:3;17:4:4;17:4:5;17:4:6</x:v>
      </x:c>
    </x:row>
    <x:row r="464" ht="45" customHeight="1">
      <x:c r="A464" s="30" t="str">
        <x:v>HK-A047</x:v>
      </x:c>
      <x:c r="B464" s="30" t="str">
        <x:v>p 18</x:v>
      </x:c>
      <x:c r="C464" s="30" t="str">
        <x:v>The experience with Hurricanes Katrina and Rita highlights critical emergency management capabilities that must be ramped up from normal disaster management levels. Our preliminary work suggests that while many organizations provided significant support in these areas during the response and recovery efforts, several key capabilities were not available when needed or with the quantity or quality needed. When catastrophic disaster occurs, significantly more capabilities—in terms of quantity and quality—are needed. Our work is beginning to identify many examples of where the lack of additional response or recovery capabilities, or the delay in getting these capabilities to where they were needed, caused extended suffering.</x:v>
      </x:c>
      <x:c r="D464" s="30" t="str">
        <x:v>Hurricane Katrina</x:v>
      </x:c>
      <x:c r="E464" s="30" t="str">
        <x:v>gao-06-442t.pdf</x:v>
      </x:c>
      <x:c r="F464" s="40" t="str">
        <x:v>No</x:v>
      </x:c>
      <x:c r="G464" s="40" t="n">
        <x:v>0</x:v>
      </x:c>
      <x:c r="H464" s="40" t="str">
        <x:v>Unlabeled</x:v>
      </x:c>
      <x:c r="I464" s="40"/>
      <x:c r="J464" s="40"/>
      <x:c r="K464" s="30" t="str">
        <x:v>Default No — no retained human paragraph-level label in the curated GPT Test</x:v>
      </x:c>
      <x:c r="L464" s="30"/>
      <x:c r="M464" s="40" t="str">
        <x:v>paragraph</x:v>
      </x:c>
      <x:c r="N464" s="40" t="str">
        <x:v>No</x:v>
      </x:c>
      <x:c r="O464" s="30"/>
      <x:c r="P464" s="30" t="str">
        <x:v>18:2:0;18:2:1;18:2:2;18:2:3;18:2:4;18:2:5;18:2:6;18:2:7;18:2:8;18:2:9;18:2:10</x:v>
      </x:c>
    </x:row>
    <x:row r="465" ht="45" customHeight="1">
      <x:c r="A465" s="30" t="str">
        <x:v>HK-A048</x:v>
      </x:c>
      <x:c r="B465" s="30" t="str">
        <x:v>p 18</x:v>
      </x:c>
      <x:c r="C465" s="30"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D465" s="30" t="str">
        <x:v>Hurricane Katrina</x:v>
      </x:c>
      <x:c r="E465" s="30" t="str">
        <x:v>gao-06-442t.pdf</x:v>
      </x:c>
      <x:c r="F465" s="40" t="str">
        <x:v>Yes</x:v>
      </x:c>
      <x:c r="G465" s="40" t="n">
        <x:v>1</x:v>
      </x:c>
      <x:c r="H465" s="40" t="str">
        <x:v>Direct human-labeled/adjudicated</x:v>
      </x:c>
      <x:c r="I465" s="40" t="str">
        <x:v>Anmol, Kyle</x:v>
      </x:c>
      <x:c r="J465" s="40" t="str">
        <x:v>HK-003</x:v>
      </x:c>
      <x:c r="K465" s="30" t="str">
        <x:v>Retained human/adjudicated label from the curated GPT Test after PyMuPDF source reconciliation.</x:v>
      </x:c>
      <x:c r="L465" s="30" t="str">
        <x:v>Unlearning as it specifically talks about discarding rules and regulations and SOPs that come in the way of flexibility and vital supplies.</x:v>
      </x:c>
      <x:c r="M465" s="40" t="str">
        <x:v>paragraph</x:v>
      </x:c>
      <x:c r="N465" s="40" t="str">
        <x:v>No</x:v>
      </x:c>
      <x:c r="O465" s="30"/>
      <x:c r="P465" s="30" t="str">
        <x:v>18:3:0;18:3:1;18:3:2;18:3:3;18:3:4;18:3:5;18:3:6;18:3:7;18:3:8;18:3:9;18:3:10</x:v>
      </x:c>
    </x:row>
    <x:row r="466" ht="45" customHeight="1">
      <x:c r="A466" s="30" t="str">
        <x:v>HK-A049</x:v>
      </x:c>
      <x:c r="B466" s="30" t="str">
        <x:v>p 18</x:v>
      </x:c>
      <x:c r="C466" s="30" t="str">
        <x:v>Continuity of essential government operations: Hurricane Katrina exposed difficulties in continuing essential government operations, particularly at the local level. In the devastated areas, local government infrastructure was destroyed and essential government employees, including many first responders, were evacuated or victimized by the storms. Local officials in Mississippi and Louisiana told us of cases where there was limited continuity of operations for public safety and service agencies because both structures and equipment were destroyed or too damaged to use. For example, one Mississippi county lost all of its public buildings located south of Interstate 10. We were also told criminal justice facilities in New Orleans and St Bernard parishes were disabled as both jurisdictions had to evacuate jails damaged by flood waters.</x:v>
      </x:c>
      <x:c r="D466" s="30" t="str">
        <x:v>Hurricane Katrina</x:v>
      </x:c>
      <x:c r="E466" s="30" t="str">
        <x:v>gao-06-442t.pdf</x:v>
      </x:c>
      <x:c r="F466" s="40" t="str">
        <x:v>No</x:v>
      </x:c>
      <x:c r="G466" s="40" t="n">
        <x:v>0</x:v>
      </x:c>
      <x:c r="H466" s="40" t="str">
        <x:v>Unlabeled</x:v>
      </x:c>
      <x:c r="I466" s="40"/>
      <x:c r="J466" s="40"/>
      <x:c r="K466" s="30" t="str">
        <x:v>Default No — no retained human paragraph-level label in the curated GPT Test</x:v>
      </x:c>
      <x:c r="L466" s="30"/>
      <x:c r="M466" s="40" t="str">
        <x:v>paragraph</x:v>
      </x:c>
      <x:c r="N466" s="40" t="str">
        <x:v>No</x:v>
      </x:c>
      <x:c r="O466" s="30"/>
      <x:c r="P466" s="30" t="str">
        <x:v>18:4:0;18:4:1;18:4:2;18:4:3;18:4:4;18:4:5;18:4:6;18:4:7;18:4:8;18:4:9;18:4:10;18:4:11</x:v>
      </x:c>
    </x:row>
    <x:row r="467" ht="45" customHeight="1">
      <x:c r="A467" s="30" t="str">
        <x:v>HK-A050</x:v>
      </x:c>
      <x:c r="B467" s="30" t="str">
        <x:v>pp 18-19</x:v>
      </x:c>
      <x:c r="C467" s="30" t="str">
        <x:v>Emergency telecommunications: Agencies affected by a catastrophic disaster must first be operable, with sufficient communications to meet everyday internal and emergency communication requirements. Once operable, they then should have communications interoperability whereby public safety agencies (police, fire, EMS) and service agencies (public works, transportation, hospitals, etc.) can communicate within and across agencies and jurisdictions in real time. The storms significantly damaged or destroyed communications infrastructure affecting public safety and security in Louisiana, Mississippi, and Alabama. This is an area where military capabilities can be utilized.</x:v>
      </x:c>
      <x:c r="D467" s="30" t="str">
        <x:v>Hurricane Katrina</x:v>
      </x:c>
      <x:c r="E467" s="30" t="str">
        <x:v>gao-06-442t.pdf</x:v>
      </x:c>
      <x:c r="F467" s="40" t="str">
        <x:v>No</x:v>
      </x:c>
      <x:c r="G467" s="40" t="n">
        <x:v>0</x:v>
      </x:c>
      <x:c r="H467" s="40" t="str">
        <x:v>Unlabeled</x:v>
      </x:c>
      <x:c r="I467" s="40"/>
      <x:c r="J467" s="40"/>
      <x:c r="K467" s="30" t="str">
        <x:v>Default No — no retained human paragraph-level label in the curated GPT Test</x:v>
      </x:c>
      <x:c r="L467" s="30"/>
      <x:c r="M467" s="40" t="str">
        <x:v>paragraph</x:v>
      </x:c>
      <x:c r="N467" s="40" t="str">
        <x:v>No</x:v>
      </x:c>
      <x:c r="O467" s="30"/>
      <x:c r="P467" s="30" t="str">
        <x:v>18:5:0;18:5:1;18:5:2;18:5:3;18:5:4;18:5:5;19:2:0;19:2:1;19:2:2;19:2:3</x:v>
      </x:c>
    </x:row>
    <x:row r="468" ht="45" customHeight="1">
      <x:c r="A468" s="30" t="str">
        <x:v>HK-A051</x:v>
      </x:c>
      <x:c r="B468" s="30" t="str">
        <x:v>p 19</x:v>
      </x:c>
      <x:c r="C468" s="30"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D468" s="30" t="str">
        <x:v>Hurricane Katrina</x:v>
      </x:c>
      <x:c r="E468" s="30" t="str">
        <x:v>gao-06-442t.pdf</x:v>
      </x:c>
      <x:c r="F468" s="40" t="str">
        <x:v>Yes</x:v>
      </x:c>
      <x:c r="G468" s="40" t="n">
        <x:v>1</x:v>
      </x:c>
      <x:c r="H468" s="40" t="str">
        <x:v>Direct human-labeled/adjudicated</x:v>
      </x:c>
      <x:c r="I468" s="40" t="str">
        <x:v>Anmol, Kyle</x:v>
      </x:c>
      <x:c r="J468" s="40" t="str">
        <x:v>HK-004</x:v>
      </x:c>
      <x:c r="K468" s="30" t="str">
        <x:v>Retained human/adjudicated label from the curated GPT Test after PyMuPDF source reconciliation.</x:v>
      </x:c>
      <x:c r="L468" s="30" t="str">
        <x:v>Unlearning as it identifies interoperable communication as a clear policy problem and tmakes recommendations that seem to suggest departure from teh past approached.</x:v>
      </x:c>
      <x:c r="M468" s="40" t="str">
        <x:v>paragraph</x:v>
      </x:c>
      <x:c r="N468" s="40" t="str">
        <x:v>No</x:v>
      </x:c>
      <x:c r="O468" s="30"/>
      <x:c r="P468" s="30" t="str">
        <x:v>19:3:0;19:3:1;19:3:2;19:3:3;19:3:4;19:3:5;19:3:6;19:3:7;19:3:8;19:3:9;19:3:10;19:3:11;19:3:12;19:3:13;19:3:14;19:3:15;19:3:16;19:3:17;19:3:18</x:v>
      </x:c>
    </x:row>
    <x:row r="469" ht="45" customHeight="1">
      <x:c r="A469" s="30" t="str">
        <x:v>HK-A052</x:v>
      </x:c>
      <x:c r="B469" s="30" t="str">
        <x:v>p 19</x:v>
      </x:c>
      <x:c r="C469" s="30"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D469" s="30" t="str">
        <x:v>Hurricane Katrina</x:v>
      </x:c>
      <x:c r="E469" s="30" t="str">
        <x:v>gao-06-442t.pdf</x:v>
      </x:c>
      <x:c r="F469" s="40" t="str">
        <x:v>No</x:v>
      </x:c>
      <x:c r="G469" s="40" t="n">
        <x:v>0</x:v>
      </x:c>
      <x:c r="H469" s="40" t="str">
        <x:v>Direct human-labeled/adjudicated</x:v>
      </x:c>
      <x:c r="I469" s="40" t="str">
        <x:v>Anmol, Kyle</x:v>
      </x:c>
      <x:c r="J469" s="40" t="str">
        <x:v>HK-005</x:v>
      </x:c>
      <x:c r="K469" s="30" t="str">
        <x:v>Retained human/adjudicated label from the curated GPT Test after PyMuPDF source reconciliation.</x:v>
      </x:c>
      <x:c r="L469" s="30" t="str">
        <x:v>Not unleaarning. They identify a problem, but offer not clear reform that breaks from the past practices.</x:v>
      </x:c>
      <x:c r="M469" s="40" t="str">
        <x:v>paragraph</x:v>
      </x:c>
      <x:c r="N469" s="40" t="str">
        <x:v>No</x:v>
      </x:c>
      <x:c r="O469" s="30"/>
      <x:c r="P469" s="30" t="str">
        <x:v>19:4:0;19:4:1;19:4:2;19:4:3;19:4:4;19:4:5;19:4:6;19:4:7;19:4:8;19:4:9</x:v>
      </x:c>
    </x:row>
    <x:row r="470" ht="45" customHeight="1">
      <x:c r="A470" s="30" t="str">
        <x:v>HK-A053</x:v>
      </x:c>
      <x:c r="B470" s="30" t="str">
        <x:v>pp 19-20</x:v>
      </x:c>
      <x:c r="C470" s="30"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D470" s="30" t="str">
        <x:v>Hurricane Katrina</x:v>
      </x:c>
      <x:c r="E470" s="30" t="str">
        <x:v>gao-06-442t.pdf</x:v>
      </x:c>
      <x:c r="F470" s="40" t="str">
        <x:v>No</x:v>
      </x:c>
      <x:c r="G470" s="40" t="n">
        <x:v>0</x:v>
      </x:c>
      <x:c r="H470" s="40" t="str">
        <x:v>Direct human-labeled/adjudicated</x:v>
      </x:c>
      <x:c r="I470" s="40" t="str">
        <x:v>Anmol, Kyle</x:v>
      </x:c>
      <x:c r="J470" s="40" t="str">
        <x:v>HK-006</x:v>
      </x:c>
      <x:c r="K470" s="30" t="str">
        <x:v>Retained human/adjudicated label from the curated GPT Test after PyMuPDF source reconciliation.</x:v>
      </x:c>
      <x:c r="L470" s="30" t="str">
        <x:v>not unlearning as the reforms seem additive capacity building related, not fundamental changes.</x:v>
      </x:c>
      <x:c r="M470" s="40" t="str">
        <x:v>paragraph</x:v>
      </x:c>
      <x:c r="N470" s="40" t="str">
        <x:v>No</x:v>
      </x:c>
      <x:c r="O470" s="30"/>
      <x:c r="P470" s="30" t="str">
        <x:v>19:5:0;19:5:1;19:5:2;19:5:3;19:5:4;19:5:5;19:5:6;20:2:0;20:2:1;20:2:2;20:2:3;20:2:4</x:v>
      </x:c>
    </x:row>
    <x:row r="471" ht="45" customHeight="1">
      <x:c r="A471" s="30" t="str">
        <x:v>HK-A054</x:v>
      </x:c>
      <x:c r="B471" s="30" t="str">
        <x:v>p 20</x:v>
      </x:c>
      <x:c r="C471" s="30" t="str">
        <x:v>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D471" s="30" t="str">
        <x:v>Hurricane Katrina</x:v>
      </x:c>
      <x:c r="E471" s="30" t="str">
        <x:v>gao-06-442t.pdf</x:v>
      </x:c>
      <x:c r="F471" s="40" t="str">
        <x:v>No</x:v>
      </x:c>
      <x:c r="G471" s="40" t="n">
        <x:v>0</x:v>
      </x:c>
      <x:c r="H471" s="40" t="str">
        <x:v>Curated No — no explicit human label</x:v>
      </x:c>
      <x:c r="I471" s="40"/>
      <x:c r="J471" s="40" t="str">
        <x:v>HK-011</x:v>
      </x:c>
      <x:c r="K471" s="30" t="str">
        <x:v>No explicit human label was recorded; coded No under the GPT Test ALL rule.</x:v>
      </x:c>
      <x:c r="L471" s="30" t="str">
        <x:v>It aims to add nursing homes to the medical system but the underlying logic of the NDMS</x:v>
      </x:c>
      <x:c r="M471" s="40" t="str">
        <x:v>paragraph</x:v>
      </x:c>
      <x:c r="N471" s="40" t="str">
        <x:v>No</x:v>
      </x:c>
      <x:c r="O471" s="30"/>
      <x:c r="P471" s="30" t="str">
        <x:v>20:3:0;20:3:1;20:3:2;20:3:3;20:3:4;20:3:5;20:3:6;20:3:7;20:3:8;20:3:9</x:v>
      </x:c>
    </x:row>
    <x:row r="472" ht="45" customHeight="1">
      <x:c r="A472" s="30" t="str">
        <x:v>HK-A055</x:v>
      </x:c>
      <x:c r="B472" s="30" t="str">
        <x:v>p 20</x:v>
      </x:c>
      <x:c r="C472" s="30" t="str">
        <x:v>Search and rescue: Search and rescue is the capability to coordinate and conduct urban search and rescue response efforts for all hazards. Search and rescue also requires a seamless transition from rescue to safe shelter. The Coast Guard, state and local agencies, and military assets rescued thousands in the aftermath of Hurricane Katrina. However, particularly in New Orleans, those rescued may have been taken to high ground where, because of flooding or roadway blockage, they spent hours or days without shelter, food, or water.</x:v>
      </x:c>
      <x:c r="D472" s="30" t="str">
        <x:v>Hurricane Katrina</x:v>
      </x:c>
      <x:c r="E472" s="30" t="str">
        <x:v>gao-06-442t.pdf</x:v>
      </x:c>
      <x:c r="F472" s="40" t="str">
        <x:v>No</x:v>
      </x:c>
      <x:c r="G472" s="40" t="n">
        <x:v>0</x:v>
      </x:c>
      <x:c r="H472" s="40" t="str">
        <x:v>Unlabeled</x:v>
      </x:c>
      <x:c r="I472" s="40"/>
      <x:c r="J472" s="40"/>
      <x:c r="K472" s="30" t="str">
        <x:v>Default No — no retained human paragraph-level label in the curated GPT Test</x:v>
      </x:c>
      <x:c r="L472" s="30"/>
      <x:c r="M472" s="40" t="str">
        <x:v>paragraph</x:v>
      </x:c>
      <x:c r="N472" s="40" t="str">
        <x:v>No</x:v>
      </x:c>
      <x:c r="O472" s="30"/>
      <x:c r="P472" s="30" t="str">
        <x:v>20:4:0;20:4:1;20:4:2;20:4:3;20:4:4;20:4:5;20:4:6;20:4:7</x:v>
      </x:c>
    </x:row>
    <x:row r="473" ht="45" customHeight="1">
      <x:c r="A473" s="30" t="str">
        <x:v>HK-A056</x:v>
      </x:c>
      <x:c r="B473" s="30" t="str">
        <x:v>pp 20-21</x:v>
      </x:c>
      <x:c r="C473" s="30" t="str">
        <x:v>Mass care (housing and human services): This is the capability to provide immediate shelter, feeding centers, basic first aid, bulk distribution of needed items, and related services to persons affected by a large-scale incident, including special needs populations such as those with physical or mental disabilities that need additional attention. Charities and other organizations such as government agencies that provide human services, supported by various federal programs, helped meet the mass care needs of the hundreds of thousands of evacuees. However, because the American Red Cross does not establish shelters in
areas that might become flooded or in structures that could be compromised by strong winds, some Gulf Coast areas did not have sufficient shelter facilities.</x:v>
      </x:c>
      <x:c r="D473" s="30" t="str">
        <x:v>Hurricane Katrina</x:v>
      </x:c>
      <x:c r="E473" s="30" t="str">
        <x:v>gao-06-442t.pdf</x:v>
      </x:c>
      <x:c r="F473" s="40" t="str">
        <x:v>No</x:v>
      </x:c>
      <x:c r="G473" s="40" t="n">
        <x:v>0</x:v>
      </x:c>
      <x:c r="H473" s="40" t="str">
        <x:v>Unlabeled</x:v>
      </x:c>
      <x:c r="I473" s="40"/>
      <x:c r="J473" s="40"/>
      <x:c r="K473" s="30" t="str">
        <x:v>Default No — no retained human paragraph-level label in the curated GPT Test</x:v>
      </x:c>
      <x:c r="L473" s="30"/>
      <x:c r="M473" s="40" t="str">
        <x:v>paragraph</x:v>
      </x:c>
      <x:c r="N473" s="40" t="str">
        <x:v>No</x:v>
      </x:c>
      <x:c r="O473" s="30"/>
      <x:c r="P473" s="30" t="str">
        <x:v>20:5:0;20:5:1;20:5:2;20:5:3;20:5:4;20:5:5;20:5:6;20:5:7;20:5:8;21:2:0;21:2:1;21:2:2</x:v>
      </x:c>
    </x:row>
    <x:row r="474" ht="45" customHeight="1">
      <x:c r="A474" s="30" t="str">
        <x:v>HK-A057</x:v>
      </x:c>
      <x:c r="B474" s="30" t="str">
        <x:v>p 21</x:v>
      </x:c>
      <x:c r="C474" s="30" t="str">
        <x:v>Volunteer management and donations: Volunteer management and donations is the capability to effectively manage and deploy volunteers and unsolicited donations. Federal and charity organization officials we spoke to indicated that because of the catastrophic nature of the storms, volunteers and donations, in some cases, were not well integrated into response and recovery activities. In addition, federal agencies involved in managing the international assistance were not prepared to coordinate, receive, distribute, or account for the assistance. Agency officials involved in the cash and in-kind assistance told us the agencies were not prepared to accept international assistance for use in the United States and, therefore, developed ad hoc processes to address this scenario. We will be making several recommendations to the Departments of Homeland Security, Defense, and State to improve preparedness in these areas.</x:v>
      </x:c>
      <x:c r="D474" s="30" t="str">
        <x:v>Hurricane Katrina</x:v>
      </x:c>
      <x:c r="E474" s="30" t="str">
        <x:v>gao-06-442t.pdf</x:v>
      </x:c>
      <x:c r="F474" s="40" t="str">
        <x:v>No</x:v>
      </x:c>
      <x:c r="G474" s="40" t="n">
        <x:v>0</x:v>
      </x:c>
      <x:c r="H474" s="40" t="str">
        <x:v>Unlabeled</x:v>
      </x:c>
      <x:c r="I474" s="40"/>
      <x:c r="J474" s="40"/>
      <x:c r="K474" s="30" t="str">
        <x:v>Default No — no retained human paragraph-level label in the curated GPT Test</x:v>
      </x:c>
      <x:c r="L474" s="30"/>
      <x:c r="M474" s="40" t="str">
        <x:v>paragraph</x:v>
      </x:c>
      <x:c r="N474" s="40" t="str">
        <x:v>No</x:v>
      </x:c>
      <x:c r="O474" s="30"/>
      <x:c r="P474" s="30" t="str">
        <x:v>21:3:0;21:3:1;21:3:2;21:3:3;21:3:4;21:3:5;21:3:6;21:3:7;21:3:8;21:3:9;21:3:10;21:3:11;21:3:12</x:v>
      </x:c>
    </x:row>
    <x:row r="475" ht="45" customHeight="1">
      <x:c r="A475" s="30" t="str">
        <x:v>HK-A058</x:v>
      </x:c>
      <x:c r="B475" s="30" t="str">
        <x:v>p 21</x:v>
      </x:c>
      <x:c r="C475" s="30" t="str">
        <x:v>Restoration of lifelines: Restoration of lifelines is the capability to manage clearing and restoration activities such as demolition, repair, reconstruction, and restoration of essential gas, electric, oil, communications, water, wastewater and sewer, transportation and transportation infrastructure, and other utilities. Because of the mass devastation, restoration is proceeding slowly.</x:v>
      </x:c>
      <x:c r="D475" s="30" t="str">
        <x:v>Hurricane Katrina</x:v>
      </x:c>
      <x:c r="E475" s="30" t="str">
        <x:v>gao-06-442t.pdf</x:v>
      </x:c>
      <x:c r="F475" s="40" t="str">
        <x:v>No</x:v>
      </x:c>
      <x:c r="G475" s="40" t="n">
        <x:v>0</x:v>
      </x:c>
      <x:c r="H475" s="40" t="str">
        <x:v>Unlabeled</x:v>
      </x:c>
      <x:c r="I475" s="40"/>
      <x:c r="J475" s="40"/>
      <x:c r="K475" s="30" t="str">
        <x:v>Default No — no retained human paragraph-level label in the curated GPT Test</x:v>
      </x:c>
      <x:c r="L475" s="30"/>
      <x:c r="M475" s="40" t="str">
        <x:v>paragraph</x:v>
      </x:c>
      <x:c r="N475" s="40" t="str">
        <x:v>No</x:v>
      </x:c>
      <x:c r="O475" s="30"/>
      <x:c r="P475" s="30" t="str">
        <x:v>21:3:14;21:3:15;21:3:16;21:3:17;21:3:18;21:3:19</x:v>
      </x:c>
    </x:row>
    <x:row r="476" ht="45" customHeight="1">
      <x:c r="A476" s="30" t="str">
        <x:v>HK-A059</x:v>
      </x:c>
      <x:c r="B476" s="30" t="str">
        <x:v>p 21</x:v>
      </x:c>
      <x:c r="C476" s="30" t="str">
        <x:v>Economic assistance and services: Economic assistance and services is the capability to meet the demands for cash assistance, human services programs, educational services, and family and child welfare services. Our preliminary work indicated that a number of federal and state programs provided assistance and services to eligible individuals and families before the catastrophic disaster. Significant ongoing assistance after the catastrophic disaster has also been required.</x:v>
      </x:c>
      <x:c r="D476" s="30" t="str">
        <x:v>Hurricane Katrina</x:v>
      </x:c>
      <x:c r="E476" s="30" t="str">
        <x:v>gao-06-442t.pdf</x:v>
      </x:c>
      <x:c r="F476" s="40" t="str">
        <x:v>No</x:v>
      </x:c>
      <x:c r="G476" s="40" t="n">
        <x:v>0</x:v>
      </x:c>
      <x:c r="H476" s="40" t="str">
        <x:v>Unlabeled</x:v>
      </x:c>
      <x:c r="I476" s="40"/>
      <x:c r="J476" s="40"/>
      <x:c r="K476" s="30" t="str">
        <x:v>Default No — no retained human paragraph-level label in the curated GPT Test</x:v>
      </x:c>
      <x:c r="L476" s="30"/>
      <x:c r="M476" s="40" t="str">
        <x:v>paragraph</x:v>
      </x:c>
      <x:c r="N476" s="40" t="str">
        <x:v>No</x:v>
      </x:c>
      <x:c r="O476" s="30"/>
      <x:c r="P476" s="30" t="str">
        <x:v>21:4:0;21:4:1;21:4:2;21:4:3;21:4:4;21:4:5;21:4:6</x:v>
      </x:c>
    </x:row>
    <x:row r="477" ht="45" customHeight="1">
      <x:c r="A477" s="30" t="str">
        <x:v>HK-A060</x:v>
      </x:c>
      <x:c r="B477" s="30" t="str">
        <x:v>pp 21-22</x:v>
      </x:c>
      <x:c r="C477" s="30"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x:v>
      </x:c>
      <x:c r="D477" s="30" t="str">
        <x:v>Hurricane Katrina</x:v>
      </x:c>
      <x:c r="E477" s="30" t="str">
        <x:v>gao-06-442t.pdf</x:v>
      </x:c>
      <x:c r="F477" s="40" t="str">
        <x:v>No</x:v>
      </x:c>
      <x:c r="G477" s="40" t="n">
        <x:v>0</x:v>
      </x:c>
      <x:c r="H477" s="40" t="str">
        <x:v>Curated No — no explicit human label</x:v>
      </x:c>
      <x:c r="I477" s="40"/>
      <x:c r="J477" s="40" t="str">
        <x:v>HK-010</x:v>
      </x:c>
      <x:c r="K477" s="30" t="str">
        <x:v>No explicit human label was recorded; coded No under the GPT Test ALL rule.</x:v>
      </x:c>
      <x:c r="L477" s="30" t="str">
        <x:v>example of learning through better logistics and debris removal capabilities.</x:v>
      </x:c>
      <x:c r="M477" s="40" t="str">
        <x:v>paragraph</x:v>
      </x:c>
      <x:c r="N477" s="40" t="str">
        <x:v>Yes</x:v>
      </x:c>
      <x:c r="O477" s="30" t="str">
        <x:v>The source paragraph crosses pages 21-22; verify the reconstructed boundary if needed.</x:v>
      </x:c>
      <x:c r="P477" s="30" t="str">
        <x:v>21:5:0;21:5:1;21:5:2;21:5:3;21:5:4;22:2:0;22:2:1;22:2:2;22:2:3;22:2:4;22:2:5</x:v>
      </x:c>
    </x:row>
    <x:row r="478" ht="45" customHeight="1">
      <x:c r="A478" s="30" t="str">
        <x:v>HK-A061</x:v>
      </x:c>
      <x:c r="B478" s="30" t="str">
        <x:v>p 22</x:v>
      </x:c>
      <x:c r="C478" s="30" t="str">
        <x:v>The House Select Committee had findings in several of these areas, such as medical care and evacuations, communications, emergency shelter and temporary housing, and logistics and contracting systems. The White House devoted a large number of its recommendations to capabilities. For example, White House recommendations cover (1) developing a National Emergency Communications Strategy and a modern, flexible, and transparent logistics system, (2) reviewing and revising the NRP to ensure effective integration of all federal search and rescue assets during disaster response, (3) strengthening public health and medical command for federal disaster response, and (4) assigning responsibility for coordinating the provision of human services during disasters to the Department of Health and Human Services.</x:v>
      </x:c>
      <x:c r="D478" s="30" t="str">
        <x:v>Hurricane Katrina</x:v>
      </x:c>
      <x:c r="E478" s="30" t="str">
        <x:v>gao-06-442t.pdf</x:v>
      </x:c>
      <x:c r="F478" s="40" t="str">
        <x:v>No</x:v>
      </x:c>
      <x:c r="G478" s="40" t="n">
        <x:v>0</x:v>
      </x:c>
      <x:c r="H478" s="40" t="str">
        <x:v>Unlabeled</x:v>
      </x:c>
      <x:c r="I478" s="40"/>
      <x:c r="J478" s="40"/>
      <x:c r="K478" s="30" t="str">
        <x:v>Default No — no retained human paragraph-level label in the curated GPT Test</x:v>
      </x:c>
      <x:c r="L478" s="30"/>
      <x:c r="M478" s="40" t="str">
        <x:v>paragraph</x:v>
      </x:c>
      <x:c r="N478" s="40" t="str">
        <x:v>No</x:v>
      </x:c>
      <x:c r="O478" s="30"/>
      <x:c r="P478" s="30" t="str">
        <x:v>22:3:0;22:3:1;22:3:2;22:3:3;22:3:4;22:3:5;22:3:6;22:3:7;22:3:8;22:3:9;22:3:10;22:3:11</x:v>
      </x:c>
    </x:row>
    <x:row r="479" ht="45" customHeight="1">
      <x:c r="A479" s="30" t="str">
        <x:v>HK-A062</x:v>
      </x:c>
      <x:c r="B479" s="30" t="str">
        <x:v>p 22</x:v>
      </x:c>
      <x:c r="C479" s="30" t="str">
        <x:v>Addressing these four themes—leadership; the clarity of the NRP; advance planning, training, and exercises; and strengthening capabilities for catastrophic events—will require developing priorities and making tradeoffs, given finite resources. A risk management framework could aid agency and congressional decision making on these issues.</x:v>
      </x:c>
      <x:c r="D479" s="30" t="str">
        <x:v>Hurricane Katrina</x:v>
      </x:c>
      <x:c r="E479" s="30" t="str">
        <x:v>gao-06-442t.pdf</x:v>
      </x:c>
      <x:c r="F479" s="40" t="str">
        <x:v>No</x:v>
      </x:c>
      <x:c r="G479" s="40" t="n">
        <x:v>0</x:v>
      </x:c>
      <x:c r="H479" s="40" t="str">
        <x:v>Unlabeled</x:v>
      </x:c>
      <x:c r="I479" s="40"/>
      <x:c r="J479" s="40"/>
      <x:c r="K479" s="30" t="str">
        <x:v>Default No — no retained human paragraph-level label in the curated GPT Test</x:v>
      </x:c>
      <x:c r="L479" s="30"/>
      <x:c r="M479" s="40" t="str">
        <x:v>paragraph</x:v>
      </x:c>
      <x:c r="N479" s="40" t="str">
        <x:v>No</x:v>
      </x:c>
      <x:c r="O479" s="30"/>
      <x:c r="P479" s="30" t="str">
        <x:v>22:4:0;22:4:1;22:4:2;22:4:3;22:4:4</x:v>
      </x:c>
    </x:row>
    <x:row r="480" ht="45" customHeight="1">
      <x:c r="A480" s="30" t="str">
        <x:v>HK-A063</x:v>
      </x:c>
      <x:c r="B480" s="30" t="str">
        <x:v>p 22</x:v>
      </x:c>
      <x:c r="C480" s="30" t="str">
        <x:v>It is vital to have in place a risk management decision making approach to develop federal capabilities and the expertise to use them to respond to a catastrophic disaster. Given the likely costs, Congress should consider using such an approach in deciding whether and how to invest in specific capabilities for a catastrophic disaster.</x:v>
      </x:c>
      <x:c r="D480" s="30" t="str">
        <x:v>Hurricane Katrina</x:v>
      </x:c>
      <x:c r="E480" s="30" t="str">
        <x:v>gao-06-442t.pdf</x:v>
      </x:c>
      <x:c r="F480" s="40" t="str">
        <x:v>No</x:v>
      </x:c>
      <x:c r="G480" s="40" t="n">
        <x:v>0</x:v>
      </x:c>
      <x:c r="H480" s="40" t="str">
        <x:v>Unlabeled</x:v>
      </x:c>
      <x:c r="I480" s="40"/>
      <x:c r="J480" s="40"/>
      <x:c r="K480" s="30" t="str">
        <x:v>Default No — no retained human paragraph-level label in the curated GPT Test</x:v>
      </x:c>
      <x:c r="L480" s="30"/>
      <x:c r="M480" s="40" t="str">
        <x:v>paragraph</x:v>
      </x:c>
      <x:c r="N480" s="40" t="str">
        <x:v>No</x:v>
      </x:c>
      <x:c r="O480" s="30"/>
      <x:c r="P480" s="30" t="str">
        <x:v>22:5:1;22:5:2;22:5:3;22:5:4;22:5:5</x:v>
      </x:c>
    </x:row>
    <x:row r="481" ht="45" customHeight="1">
      <x:c r="A481" s="30" t="str">
        <x:v>HK-A064</x:v>
      </x:c>
      <x:c r="B481" s="30" t="str">
        <x:v>p 23</x:v>
      </x:c>
      <x:c r="C481" s="30" t="str">
        <x:v>We have advocated a comprehensive risk management approach as a 11 Risk involves three elements: (1) threat, framework for decision making. the probability that a specific type of event will occur; (2) the vulnerability of people and specific assets to that particular event; and (3) the adverse consequences that would result from the particular event should it occur. Another closely related element is criticality, that is, the relative importance of the assets involved, such as equipment, facilities, and operations.</x:v>
      </x:c>
      <x:c r="D481" s="30" t="str">
        <x:v>Hurricane Katrina</x:v>
      </x:c>
      <x:c r="E481" s="30" t="str">
        <x:v>gao-06-442t.pdf</x:v>
      </x:c>
      <x:c r="F481" s="40" t="str">
        <x:v>No</x:v>
      </x:c>
      <x:c r="G481" s="40" t="n">
        <x:v>0</x:v>
      </x:c>
      <x:c r="H481" s="40" t="str">
        <x:v>Unlabeled</x:v>
      </x:c>
      <x:c r="I481" s="40"/>
      <x:c r="J481" s="40"/>
      <x:c r="K481" s="30" t="str">
        <x:v>Default No — no retained human paragraph-level label in the curated GPT Test</x:v>
      </x:c>
      <x:c r="L481" s="30"/>
      <x:c r="M481" s="40" t="str">
        <x:v>paragraph</x:v>
      </x:c>
      <x:c r="N481" s="40" t="str">
        <x:v>No</x:v>
      </x:c>
      <x:c r="O481" s="30"/>
      <x:c r="P481" s="30" t="str">
        <x:v>23:2:0;23:2:2;23:2:1;23:2:3;23:2:4;23:2:5;23:2:6;23:2:7;23:2:8</x:v>
      </x:c>
    </x:row>
    <x:row r="482" ht="45" customHeight="1">
      <x:c r="A482" s="30" t="str">
        <x:v>HK-A065</x:v>
      </x:c>
      <x:c r="B482" s="30" t="str">
        <x:v>p 23</x:v>
      </x:c>
      <x:c r="C482" s="30" t="str">
        <x:v>We define risk management as a continuous process of assessing risks, taking actions to reduce, where possible, the potential that an adverse event will occur; reducing vulnerabilities as appropriate; and putting steps in place to reduce the consequences of any event that does occur. Risk management addresses risks before mitigating actions have been applied, as well as risk that remains after countermeasures have been taken. A risk management framework links strategic goals to plans and budgets, assesses the value and risks of various courses of actions as a tool for setting priorities and allocating resources, and provides for the use of performance measures to assess outcomes and adjust future actions as needed. The goal of risk management is to integrate systematic concern for risk into the normal cycle of agency decision making and implementation.</x:v>
      </x:c>
      <x:c r="D482" s="30" t="str">
        <x:v>Hurricane Katrina</x:v>
      </x:c>
      <x:c r="E482" s="30" t="str">
        <x:v>gao-06-442t.pdf</x:v>
      </x:c>
      <x:c r="F482" s="40" t="str">
        <x:v>No</x:v>
      </x:c>
      <x:c r="G482" s="40" t="n">
        <x:v>0</x:v>
      </x:c>
      <x:c r="H482" s="40" t="str">
        <x:v>Unlabeled</x:v>
      </x:c>
      <x:c r="I482" s="40"/>
      <x:c r="J482" s="40"/>
      <x:c r="K482" s="30" t="str">
        <x:v>Default No — no retained human paragraph-level label in the curated GPT Test</x:v>
      </x:c>
      <x:c r="L482" s="30"/>
      <x:c r="M482" s="40" t="str">
        <x:v>paragraph</x:v>
      </x:c>
      <x:c r="N482" s="40" t="str">
        <x:v>No</x:v>
      </x:c>
      <x:c r="O482" s="30"/>
      <x:c r="P482" s="30" t="str">
        <x:v>23:3:0;23:3:1;23:3:2;23:3:3;23:3:4;23:3:5;23:3:6;23:3:7;23:3:8;23:3:9;23:3:10;23:3:11;23:3:12</x:v>
      </x:c>
    </x:row>
    <x:row r="483" ht="45" customHeight="1">
      <x:c r="A483" s="30" t="str">
        <x:v>HK-A066</x:v>
      </x:c>
      <x:c r="B483" s="30" t="str">
        <x:v>p 23</x:v>
      </x:c>
      <x:c r="C483" s="30" t="str">
        <x:v>Risk management can be central to assessing the risk for catastrophic disasters. Our risk management framework calls for the management of risk based on careful analysis of all available risk information, identification of alternatives for reducing risks through preparation and response, selection among those alternatives, implementing choices, monitoring their implementation, and continually using new information to adjust and revise the assessments and actions as needed, all within available resources. As I mentioned earlier, we have identified several key capabilities that may be needed in the event of a catastrophic disaster such as emergency telecommunications, damage and needs assessment, and logistics. Given that resources are finite, the administration and Congress should consider using a risk management approach in deciding whether and how to invest in specific capabilities for a catastrophic disaster.</x:v>
      </x:c>
      <x:c r="D483" s="30" t="str">
        <x:v>Hurricane Katrina</x:v>
      </x:c>
      <x:c r="E483" s="30" t="str">
        <x:v>gao-06-442t.pdf</x:v>
      </x:c>
      <x:c r="F483" s="40" t="str">
        <x:v>No</x:v>
      </x:c>
      <x:c r="G483" s="40" t="n">
        <x:v>0</x:v>
      </x:c>
      <x:c r="H483" s="40" t="str">
        <x:v>Unlabeled</x:v>
      </x:c>
      <x:c r="I483" s="40"/>
      <x:c r="J483" s="40"/>
      <x:c r="K483" s="30" t="str">
        <x:v>Default No — no retained human paragraph-level label in the curated GPT Test</x:v>
      </x:c>
      <x:c r="L483" s="30"/>
      <x:c r="M483" s="40" t="str">
        <x:v>paragraph</x:v>
      </x:c>
      <x:c r="N483" s="40" t="str">
        <x:v>No</x:v>
      </x:c>
      <x:c r="O483" s="30"/>
      <x:c r="P483" s="30" t="str">
        <x:v>23:4:1;23:4:2;23:4:3;23:4:4;23:4:5;23:4:6;23:4:7;23:4:8;23:4:9;23:4:10;23:4:11;23:4:12;23:4:13</x:v>
      </x:c>
    </x:row>
    <x:row r="484" ht="45" customHeight="1">
      <x:c r="A484" s="30" t="str">
        <x:v>HK-A067</x:v>
      </x:c>
      <x:c r="B484" s="30" t="str">
        <x:v>p 24</x:v>
      </x:c>
      <x:c r="C484" s="30" t="str">
        <x:v>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D484" s="30" t="str">
        <x:v>Hurricane Katrina</x:v>
      </x:c>
      <x:c r="E484" s="30" t="str">
        <x:v>gao-06-442t.pdf</x:v>
      </x:c>
      <x:c r="F484" s="40" t="str">
        <x:v>No</x:v>
      </x:c>
      <x:c r="G484" s="40" t="n">
        <x:v>0</x:v>
      </x:c>
      <x:c r="H484" s="40" t="str">
        <x:v>Direct human-labeled/adjudicated</x:v>
      </x:c>
      <x:c r="I484" s="40" t="str">
        <x:v>Anmol, Kyle</x:v>
      </x:c>
      <x:c r="J484" s="40" t="str">
        <x:v>HK-007</x:v>
      </x:c>
      <x:c r="K484" s="30" t="str">
        <x:v>Retained human/adjudicated label from the curated GPT Test after PyMuPDF source reconciliation. The original excerpt’s label was carried to the source-complete paragraph.</x:v>
      </x:c>
      <x:c r="L484" s="30" t="str">
        <x:v>Not unlearning as these seem additional capacity related.</x:v>
      </x:c>
      <x:c r="M484" s="40" t="str">
        <x:v>paragraph</x:v>
      </x:c>
      <x:c r="N484" s="40" t="str">
        <x:v>No</x:v>
      </x:c>
      <x:c r="O484" s="30"/>
      <x:c r="P484" s="30" t="str">
        <x:v>24:2:0;24:2:1;24:2:2;24:2:3;24:2:4;24:2:5;24:2:6;24:2:7;24:2:8;24:2:9</x:v>
      </x:c>
    </x:row>
    <x:row r="485" ht="45" customHeight="1">
      <x:c r="A485" s="30" t="str">
        <x:v>HK-A068</x:v>
      </x:c>
      <x:c r="B485" s="30" t="str">
        <x:v>p 24</x:v>
      </x:c>
      <x:c r="C485" s="30" t="str">
        <x:v>A catastrophic disaster may be anticipated based on past history and the expectation that there will be another catastrophic disaster. Expectations, based on a risk management approach, would call for building basic capabilities and contingency planning to leverage other resources in anticipation of a likely event. For example, a major earthquake in a major metropolitan area in California has occurred in the past, is expected to occur at some point in the future, and is likely to cause significant loss of life and extensive damage to critical infrastructure. Flooding along the Mississippi River also has occurred and would similarly cause widespread destruction and disrupt the transport of goods along this major waterway. Man-made catastrophic disasters that involve, for example, a nuclear power plant or liquefied natural gas installations could cause catastrophic damage and deaths across a wide area.</x:v>
      </x:c>
      <x:c r="D485" s="30" t="str">
        <x:v>Hurricane Katrina</x:v>
      </x:c>
      <x:c r="E485" s="30" t="str">
        <x:v>gao-06-442t.pdf</x:v>
      </x:c>
      <x:c r="F485" s="40" t="str">
        <x:v>No</x:v>
      </x:c>
      <x:c r="G485" s="40" t="n">
        <x:v>0</x:v>
      </x:c>
      <x:c r="H485" s="40" t="str">
        <x:v>Unlabeled</x:v>
      </x:c>
      <x:c r="I485" s="40"/>
      <x:c r="J485" s="40"/>
      <x:c r="K485" s="30" t="str">
        <x:v>Default No — no retained human paragraph-level label in the curated GPT Test</x:v>
      </x:c>
      <x:c r="L485" s="30"/>
      <x:c r="M485" s="40" t="str">
        <x:v>paragraph</x:v>
      </x:c>
      <x:c r="N485" s="40" t="str">
        <x:v>No</x:v>
      </x:c>
      <x:c r="O485" s="30"/>
      <x:c r="P485" s="30" t="str">
        <x:v>24:3:0;24:3:1;24:3:2;24:3:3;24:3:4;24:3:5;24:3:6;24:3:7;24:3:8;24:3:9;24:3:10;24:3:11;24:3:12</x:v>
      </x:c>
    </x:row>
    <x:row r="486" ht="45" customHeight="1">
      <x:c r="A486" s="30" t="str">
        <x:v>HK-A069</x:v>
      </x:c>
      <x:c r="B486" s="30" t="str">
        <x:v>p 24</x:v>
      </x:c>
      <x:c r="C486" s="30" t="str">
        <x:v>Developing preparedness for large-scale disasters is part of an overall national preparedness effort that should integrate and define what we need to do, where and based on what standards, how we should do it, and how well we should do it. DHS developed three documents to address these needs. The National Response Plan was designed to identify what needs to be done, the National Incident Management System describes how to manage what needs to be done in response to an emergency incident, and the National Preparedness Goal is designed to define how well we should do what needs to be done. Hurricane Katrina was the first major test of the NRP.</x:v>
      </x:c>
      <x:c r="D486" s="30" t="str">
        <x:v>Hurricane Katrina</x:v>
      </x:c>
      <x:c r="E486" s="30" t="str">
        <x:v>gao-06-442t.pdf</x:v>
      </x:c>
      <x:c r="F486" s="40" t="str">
        <x:v>No</x:v>
      </x:c>
      <x:c r="G486" s="40" t="n">
        <x:v>0</x:v>
      </x:c>
      <x:c r="H486" s="40" t="str">
        <x:v>Unlabeled</x:v>
      </x:c>
      <x:c r="I486" s="40"/>
      <x:c r="J486" s="40"/>
      <x:c r="K486" s="30" t="str">
        <x:v>Default No — no retained human paragraph-level label in the curated GPT Test</x:v>
      </x:c>
      <x:c r="L486" s="30"/>
      <x:c r="M486" s="40" t="str">
        <x:v>paragraph</x:v>
      </x:c>
      <x:c r="N486" s="40" t="str">
        <x:v>No</x:v>
      </x:c>
      <x:c r="O486" s="30"/>
      <x:c r="P486" s="30" t="str">
        <x:v>24:4:1;24:4:2;24:4:3;24:4:4;24:4:5;24:4:6;24:4:7;24:4:8;24:4:9;24:4:10</x:v>
      </x:c>
    </x:row>
    <x:row r="487" ht="45" customHeight="1">
      <x:c r="A487" s="30" t="str">
        <x:v>HK-A070</x:v>
      </x:c>
      <x:c r="B487" s="30" t="str">
        <x:v>pp 24-25</x:v>
      </x:c>
      <x:c r="C487" s="30" t="str">
        <x:v>These three documents, considered as a group, can be one basis for risk analyses to assess the most productive and urgent investments in emergency preparedness and response capabilities. The National Preparedness Goal, whose development was required by Homeland Security Presidential Directive 8 (HSPD-8), is particularly important. DHS issued an interim version of the goal in March 2005 and an expanded draft in December 2005. The December 2005 draft National Preparedness Goal defines both the 37 major capabilities that first responders should possess to prevent, respond, and recover from a wide range of major emergency incidents and the most critical tasks associated with these capabilities. These critical tasks are appropriately considered in risk analysis. An inability to effectively perform these tasks would, by definition, have a detrimental impact on effective prevention, response, and recovery capabilities.</x:v>
      </x:c>
      <x:c r="D487" s="30" t="str">
        <x:v>Hurricane Katrina</x:v>
      </x:c>
      <x:c r="E487" s="30" t="str">
        <x:v>gao-06-442t.pdf</x:v>
      </x:c>
      <x:c r="F487" s="40" t="str">
        <x:v>No</x:v>
      </x:c>
      <x:c r="G487" s="40" t="n">
        <x:v>0</x:v>
      </x:c>
      <x:c r="H487" s="40" t="str">
        <x:v>Unlabeled</x:v>
      </x:c>
      <x:c r="I487" s="40"/>
      <x:c r="J487" s="40"/>
      <x:c r="K487" s="30" t="str">
        <x:v>Default No — no retained human paragraph-level label in the curated GPT Test</x:v>
      </x:c>
      <x:c r="L487" s="30"/>
      <x:c r="M487" s="40" t="str">
        <x:v>paragraph</x:v>
      </x:c>
      <x:c r="N487" s="40" t="str">
        <x:v>No</x:v>
      </x:c>
      <x:c r="O487" s="30"/>
      <x:c r="P487" s="30" t="str">
        <x:v>24:5:0;24:5:1;24:5:2;24:5:3;24:5:4;24:5:5;25:2:0;25:2:1;25:2:2;25:2:3;25:2:4;25:2:5;25:2:6;25:2:7</x:v>
      </x:c>
    </x:row>
    <x:row r="488" ht="45" customHeight="1">
      <x:c r="A488" s="30" t="str">
        <x:v>HK-A071</x:v>
      </x:c>
      <x:c r="B488" s="30" t="str">
        <x:v>p 25</x:v>
      </x:c>
      <x:c r="C488" s="30" t="str">
        <x:v>To identify the needed capabilities, DHS used 15 National Planning Scenarios developed by the President’s Homeland Security Council that included 12 terrorist attacks and 3 natural disasters—an earthquake, a hurricane, and a pandemic influenza outbreak. According to DHS, the planning scenarios are intended to illustrate the scope and magnitude of large-scale, catastrophic emergency events for which the nation needs to be prepared. Because no single jurisdiction or agency would be expected to perform every preparedness task or have every capability to the same degree, possession of critical capabilities could involve enhancing and maintaining local resources, ensuring access to regional and federal resources, or some combination of the two. Risk factors include population and population density, the presence of critical infrastructure and key resources, and location in high terrorist threat or high risk natural disaster areas. The National Preparedness Goal includes seven national priorities, including implementing the NIMS and NRP and expanding regional collaboration. Those seven priorities are incorporated into DHS’s fiscal year 2006 homeland security grant guidance. The guidance also adds an eighth priority that emphasizes emergency operations and catastrophic planning.</x:v>
      </x:c>
      <x:c r="D488" s="30" t="str">
        <x:v>Hurricane Katrina</x:v>
      </x:c>
      <x:c r="E488" s="30" t="str">
        <x:v>gao-06-442t.pdf</x:v>
      </x:c>
      <x:c r="F488" s="40" t="str">
        <x:v>No</x:v>
      </x:c>
      <x:c r="G488" s="40" t="n">
        <x:v>0</x:v>
      </x:c>
      <x:c r="H488" s="40" t="str">
        <x:v>Unlabeled</x:v>
      </x:c>
      <x:c r="I488" s="40"/>
      <x:c r="J488" s="40"/>
      <x:c r="K488" s="30" t="str">
        <x:v>Default No — no retained human paragraph-level label in the curated GPT Test</x:v>
      </x:c>
      <x:c r="L488" s="30"/>
      <x:c r="M488" s="40" t="str">
        <x:v>paragraph</x:v>
      </x:c>
      <x:c r="N488" s="40" t="str">
        <x:v>No</x:v>
      </x:c>
      <x:c r="O488" s="30"/>
      <x:c r="P488" s="30" t="str">
        <x:v>25:3:0;25:3:1;25:3:2;25:3:3;25:3:4;25:3:5;25:3:6;25:3:7;25:3:8;25:3:9;25:3:10;25:3:11;25:3:12;25:3:13;25:3:14;25:3:15;25:3:16;25:3:17;25:3:18</x:v>
      </x:c>
    </x:row>
    <x:row r="489" ht="45" customHeight="1">
      <x:c r="A489" s="30" t="str">
        <x:v>HK-A072</x:v>
      </x:c>
      <x:c r="B489" s="30" t="str">
        <x:v>p 25</x:v>
      </x:c>
      <x:c r="C489" s="30" t="str">
        <x:v>In earlier work on the National Preparedness Goal, we observed that if properly planned and executed, the goal and its related products, such as program implementation plans and requirements, may help guide the development of realistic budget and resource plans for an all-hazards 12 However, questions remain regarding national preparedness program. what should be expected in terms of basic capabilities for most disasters compared to the expanded capabilities and mutual aid needed from other jurisdictions to meet the demands of a catastrophic disaster.</x:v>
      </x:c>
      <x:c r="D489" s="30" t="str">
        <x:v>Hurricane Katrina</x:v>
      </x:c>
      <x:c r="E489" s="30" t="str">
        <x:v>gao-06-442t.pdf</x:v>
      </x:c>
      <x:c r="F489" s="40" t="str">
        <x:v>No</x:v>
      </x:c>
      <x:c r="G489" s="40" t="n">
        <x:v>0</x:v>
      </x:c>
      <x:c r="H489" s="40" t="str">
        <x:v>Unlabeled</x:v>
      </x:c>
      <x:c r="I489" s="40"/>
      <x:c r="J489" s="40"/>
      <x:c r="K489" s="30" t="str">
        <x:v>Default No — no retained human paragraph-level label in the curated GPT Test</x:v>
      </x:c>
      <x:c r="L489" s="30"/>
      <x:c r="M489" s="40" t="str">
        <x:v>paragraph</x:v>
      </x:c>
      <x:c r="N489" s="40" t="str">
        <x:v>No</x:v>
      </x:c>
      <x:c r="O489" s="30"/>
      <x:c r="P489" s="30" t="str">
        <x:v>25:4:0;25:4:1;25:4:2;25:4:3;25:4:5;25:4:4;25:4:6;25:4:7;25:4:8</x:v>
      </x:c>
    </x:row>
    <x:row r="490" ht="45" customHeight="1">
      <x:c r="A490" s="30" t="str">
        <x:v>HK-A073</x:v>
      </x:c>
      <x:c r="B490" s="30" t="str">
        <x:v>p 26</x:v>
      </x:c>
      <x:c r="C490" s="30" t="str">
        <x:v>HSPD-8 called for strengthening preparedness capabilities of federal, state, and local entities. However, guidance on implementing the National Preparedness Goal appears to have been targeted at state and urban area jurisdictions. It does not appear that similar attention has been paid to guidance for federal agencies and their progress in supporting the National Preparedness Goal’s expectations. Consequently, we recommend that DHS should take the lead in strengthening guidance for federal agencies and monitoring their efforts to meet the National Preparedness Goal’s provisions for federal agencies.</x:v>
      </x:c>
      <x:c r="D490" s="30" t="str">
        <x:v>Hurricane Katrina</x:v>
      </x:c>
      <x:c r="E490" s="30" t="str">
        <x:v>gao-06-442t.pdf</x:v>
      </x:c>
      <x:c r="F490" s="40" t="str">
        <x:v>No</x:v>
      </x:c>
      <x:c r="G490" s="40" t="n">
        <x:v>0</x:v>
      </x:c>
      <x:c r="H490" s="40" t="str">
        <x:v>Unlabeled</x:v>
      </x:c>
      <x:c r="I490" s="40"/>
      <x:c r="J490" s="40"/>
      <x:c r="K490" s="30" t="str">
        <x:v>Default No — no retained human paragraph-level label in the curated GPT Test</x:v>
      </x:c>
      <x:c r="L490" s="30"/>
      <x:c r="M490" s="40" t="str">
        <x:v>paragraph</x:v>
      </x:c>
      <x:c r="N490" s="40" t="str">
        <x:v>No</x:v>
      </x:c>
      <x:c r="O490" s="30"/>
      <x:c r="P490" s="30" t="str">
        <x:v>26:2:0;26:2:1;26:2:2;26:2:3;26:2:4;26:2:5;26:2:6;26:2:7;26:2:8</x:v>
      </x:c>
    </x:row>
    <x:row r="491" ht="45" customHeight="1">
      <x:c r="A491" s="30" t="str">
        <x:v>HK-A074</x:v>
      </x:c>
      <x:c r="B491" s="30" t="str">
        <x:v>p 26</x:v>
      </x:c>
      <x:c r="C491" s="30" t="str">
        <x:v>Our recommendation is consistent with those of the White House. The White House has recommended that future preparedness of the federal, state, and local authorities should be based on the risk, capabilities, and needs structure of the National Preparedness Goal. More specifically, the White House recommends that the National Preparedness Goal and its target capabilities list should be used, for example, in (1) defining required capabilities and what levels of those capabilities are needed, including those within the purview of the federal government, (2) developing mutual aid agreements and compacts informed by the National Preparedness Goal’s requirements, and (3) developing strategies to meet required levels of capabilities that prioritize investments on the basis of risk. We have work underway to assess if the provisions of the National Preparedness Goal will aid catastrophic disaster preparedness and NRP implementation.</x:v>
      </x:c>
      <x:c r="D491" s="30" t="str">
        <x:v>Hurricane Katrina</x:v>
      </x:c>
      <x:c r="E491" s="30" t="str">
        <x:v>gao-06-442t.pdf</x:v>
      </x:c>
      <x:c r="F491" s="40" t="str">
        <x:v>No</x:v>
      </x:c>
      <x:c r="G491" s="40" t="n">
        <x:v>0</x:v>
      </x:c>
      <x:c r="H491" s="40" t="str">
        <x:v>Unlabeled</x:v>
      </x:c>
      <x:c r="I491" s="40"/>
      <x:c r="J491" s="40"/>
      <x:c r="K491" s="30" t="str">
        <x:v>Default No — no retained human paragraph-level label in the curated GPT Test</x:v>
      </x:c>
      <x:c r="L491" s="30"/>
      <x:c r="M491" s="40" t="str">
        <x:v>paragraph</x:v>
      </x:c>
      <x:c r="N491" s="40" t="str">
        <x:v>No</x:v>
      </x:c>
      <x:c r="O491" s="30"/>
      <x:c r="P491" s="30" t="str">
        <x:v>26:3:0;26:3:1;26:3:2;26:3:3;26:3:4;26:3:5;26:3:6;26:3:7;26:3:8;26:3:9;26:3:10;26:3:11;26:3:12</x:v>
      </x:c>
    </x:row>
    <x:row r="492" ht="45" customHeight="1">
      <x:c r="A492" s="30" t="str">
        <x:v>HK-A075</x:v>
      </x:c>
      <x:c r="B492" s="30" t="str">
        <x:v>p 26</x:v>
      </x:c>
      <x:c r="C492" s="30" t="str">
        <x:v>In our work on the National Preparedness Goal, we also observed that DHS’s assessment and reporting implementation plan, intended to accurately identify the status of capabilities at the state, regional, and local levels, is vital for establishing a baseline and providing an ongoing feedback loop upon which decisions at multiple levels of government about preparedness needs will rest. Assessment of catastrophic disaster planning and capability needs will be a critical piece.</x:v>
      </x:c>
      <x:c r="D492" s="30" t="str">
        <x:v>Hurricane Katrina</x:v>
      </x:c>
      <x:c r="E492" s="30" t="str">
        <x:v>gao-06-442t.pdf</x:v>
      </x:c>
      <x:c r="F492" s="40" t="str">
        <x:v>No</x:v>
      </x:c>
      <x:c r="G492" s="40" t="n">
        <x:v>0</x:v>
      </x:c>
      <x:c r="H492" s="40" t="str">
        <x:v>Unlabeled</x:v>
      </x:c>
      <x:c r="I492" s="40"/>
      <x:c r="J492" s="40"/>
      <x:c r="K492" s="30" t="str">
        <x:v>Default No — no retained human paragraph-level label in the curated GPT Test</x:v>
      </x:c>
      <x:c r="L492" s="30"/>
      <x:c r="M492" s="40" t="str">
        <x:v>paragraph</x:v>
      </x:c>
      <x:c r="N492" s="40" t="str">
        <x:v>No</x:v>
      </x:c>
      <x:c r="O492" s="30"/>
      <x:c r="P492" s="30" t="str">
        <x:v>26:4:1;26:4:2;26:4:3;26:4:4;26:4:5;26:4:6;26:4:7</x:v>
      </x:c>
    </x:row>
    <x:row r="493" ht="45" customHeight="1">
      <x:c r="A493" s="30" t="str">
        <x:v>HK-A076</x:v>
      </x:c>
      <x:c r="B493" s="30" t="str">
        <x:v>pp 26-27</x:v>
      </x:c>
      <x:c r="C493" s="30" t="str">
        <x:v>In the conference report to the Department of Homeland Security Fiscal Year 2006 Appropriations Act, the conferees directed DHS to report on the status of catastrophic planning, including mass evacuation planning in all 50 states and the 75 largest urban areas. In addition, the Safe, Accountable, Flexible, Efficient Transportation Equity Act: A Legacy for Users required the Secretary of Transportation and the Secretary of Homeland Security to jointly review and assess federal and state evacuation plans for catastrophic hurricanes impacting the Gulf Coast Region.</x:v>
      </x:c>
      <x:c r="D493" s="30" t="str">
        <x:v>Hurricane Katrina</x:v>
      </x:c>
      <x:c r="E493" s="30" t="str">
        <x:v>gao-06-442t.pdf</x:v>
      </x:c>
      <x:c r="F493" s="40" t="str">
        <x:v>No</x:v>
      </x:c>
      <x:c r="G493" s="40" t="n">
        <x:v>0</x:v>
      </x:c>
      <x:c r="H493" s="40" t="str">
        <x:v>Unlabeled</x:v>
      </x:c>
      <x:c r="I493" s="40"/>
      <x:c r="J493" s="40"/>
      <x:c r="K493" s="30" t="str">
        <x:v>Default No — no retained human paragraph-level label in the curated GPT Test</x:v>
      </x:c>
      <x:c r="L493" s="30"/>
      <x:c r="M493" s="40" t="str">
        <x:v>paragraph</x:v>
      </x:c>
      <x:c r="N493" s="40" t="str">
        <x:v>Yes</x:v>
      </x:c>
      <x:c r="O493" s="30" t="str">
        <x:v>Superscript footnote marker was interleaved with body text by PyMuPDF; paragraph was reconstructed across pages 26-27.</x:v>
      </x:c>
      <x:c r="P493" s="30" t="str">
        <x:v>26:5:0;26:5:1;26:5:2;26:5:4;26:5:3;26:5:5;26:5:6;27:2:0;27:2:1;27:2:2</x:v>
      </x:c>
    </x:row>
    <x:row r="494" ht="45" customHeight="1">
      <x:c r="A494" s="30" t="str">
        <x:v>HK-A077</x:v>
      </x:c>
      <x:c r="B494" s="30" t="str">
        <x:v>p 27</x:v>
      </x:c>
      <x:c r="C494" s="30" t="str">
        <x:v>In response, DHS launched a nationwide review of state, territorial, and urban area emergency and evacuation plans. In the first phase of the review, each state and territory and urban area was to certify the status of its emergency operations plans and identify when plans were last updated and exercised. According to the DHS report on the first phase’s results, 56 states and territories and 72 urban areas responded. Fewer than half of those reporting might have adequate planning for a catastrophic disaster. Of those jurisdictions reporting that their base plan was consistent with federal guidance and voluntary standards, 42 percent of the states and territories and 36 percent of urban areas were confident that their plan 15 In a second phase of the review, was adequate to manage a catastrophe. peer review teams are to validate the self-assessments, determine requirements for planning assistance, collect best practices, and recommend corrective actions. DHS plans to complete these peer reviews by the end of April 2006 and report to the President and Congress before June 1, 2006. The White House has recommended DHS establish a program to measure and assess the effectiveness of preparedness capabilities on an annual basis and recommend appropriate adjustments to the National Preparedness Goal, capabilities, and yearly priorities for homeland security grants. We are currently examining evacuation planning and assistance, including the federal role in the emergency evacuation of transportation-disadvantaged populations—including the elderly, disabled, and low income individuals—and preparedness for the evacuation of hospitals and nursing homes.</x:v>
      </x:c>
      <x:c r="D494" s="30" t="str">
        <x:v>Hurricane Katrina</x:v>
      </x:c>
      <x:c r="E494" s="30" t="str">
        <x:v>gao-06-442t.pdf</x:v>
      </x:c>
      <x:c r="F494" s="40" t="str">
        <x:v>No</x:v>
      </x:c>
      <x:c r="G494" s="40" t="n">
        <x:v>0</x:v>
      </x:c>
      <x:c r="H494" s="40" t="str">
        <x:v>Unlabeled</x:v>
      </x:c>
      <x:c r="I494" s="40"/>
      <x:c r="J494" s="40"/>
      <x:c r="K494" s="30" t="str">
        <x:v>Default No — no retained human paragraph-level label in the curated GPT Test</x:v>
      </x:c>
      <x:c r="L494" s="30"/>
      <x:c r="M494" s="40" t="str">
        <x:v>paragraph</x:v>
      </x:c>
      <x:c r="N494" s="40" t="str">
        <x:v>No</x:v>
      </x:c>
      <x:c r="O494" s="30"/>
      <x:c r="P494" s="30" t="str">
        <x:v>27:3:0;27:3:1;27:3:2;27:3:3;27:3:4;27:3:5;27:3:6;27:3:7;27:3:8;27:3:9;27:3:11;27:3:10;27:3:12;27:3:13;27:3:14;27:3:15;27:3:16;27:3:17;27:3:18;27:3:19;27:3:20;27:3:21;27:3:22;27:3:23;27:3:24</x:v>
      </x:c>
    </x:row>
    <x:row r="495" ht="45" customHeight="1">
      <x:c r="A495" s="30" t="str">
        <x:v>HK-A078</x:v>
      </x:c>
      <x:c r="B495" s="30" t="str">
        <x:v>pp 27-28</x:v>
      </x:c>
      <x:c r="C495" s="30" t="str">
        <x:v>Similar to DHS’s overall national preparedness planning, no single state or area should be expected to have the same capability to prepare for a catastrophic disaster. The stand-up and sustaining of capabilities should be based on a risk assessment that would call for examining what vulnerabilities from a potential catastrophic disaster require attention and how they should be addressed within available resources and with contingency planning. Periodic assessments should determine if plans
remain viable, actual capabilities match planned capabilities, and if contingency planning still is appropriate.</x:v>
      </x:c>
      <x:c r="D495" s="30" t="str">
        <x:v>Hurricane Katrina</x:v>
      </x:c>
      <x:c r="E495" s="30" t="str">
        <x:v>gao-06-442t.pdf</x:v>
      </x:c>
      <x:c r="F495" s="40" t="str">
        <x:v>No</x:v>
      </x:c>
      <x:c r="G495" s="40" t="n">
        <x:v>0</x:v>
      </x:c>
      <x:c r="H495" s="40" t="str">
        <x:v>Unlabeled</x:v>
      </x:c>
      <x:c r="I495" s="40"/>
      <x:c r="J495" s="40"/>
      <x:c r="K495" s="30" t="str">
        <x:v>Default No — no retained human paragraph-level label in the curated GPT Test</x:v>
      </x:c>
      <x:c r="L495" s="30"/>
      <x:c r="M495" s="40" t="str">
        <x:v>paragraph</x:v>
      </x:c>
      <x:c r="N495" s="40" t="str">
        <x:v>No</x:v>
      </x:c>
      <x:c r="O495" s="30"/>
      <x:c r="P495" s="30" t="str">
        <x:v>27:4:0;27:4:1;27:4:2;27:4:3;27:4:4;27:4:5;27:4:6;28:2:0;28:2:1</x:v>
      </x:c>
    </x:row>
    <x:row r="496" ht="45" customHeight="1">
      <x:c r="A496" s="30" t="str">
        <x:v>HK-A079</x:v>
      </x:c>
      <x:c r="B496" s="30" t="str">
        <x:v>p 28</x:v>
      </x:c>
      <x:c r="C496" s="30" t="str">
        <x:v>I would suggest that before the Congress and the Administration embark on implementing the more expensive aspects of preparing for a catastrophic disaster, policymakers should discuss in a timely fashion and reach consensus on the following issues:</x:v>
      </x:c>
      <x:c r="D496" s="30" t="str">
        <x:v>Hurricane Katrina</x:v>
      </x:c>
      <x:c r="E496" s="30" t="str">
        <x:v>gao-06-442t.pdf</x:v>
      </x:c>
      <x:c r="F496" s="40" t="str">
        <x:v>No</x:v>
      </x:c>
      <x:c r="G496" s="40" t="n">
        <x:v>0</x:v>
      </x:c>
      <x:c r="H496" s="40" t="str">
        <x:v>Unlabeled</x:v>
      </x:c>
      <x:c r="I496" s="40"/>
      <x:c r="J496" s="40"/>
      <x:c r="K496" s="30" t="str">
        <x:v>Default No — no retained human paragraph-level label in the curated GPT Test</x:v>
      </x:c>
      <x:c r="L496" s="30"/>
      <x:c r="M496" s="40" t="str">
        <x:v>paragraph</x:v>
      </x:c>
      <x:c r="N496" s="40" t="str">
        <x:v>No</x:v>
      </x:c>
      <x:c r="O496" s="30"/>
      <x:c r="P496" s="30" t="str">
        <x:v>28:3:0;28:3:1;28:3:2;28:3:3</x:v>
      </x:c>
    </x:row>
    <x:row r="497" ht="45" customHeight="1">
      <x:c r="A497" s="30" t="str">
        <x:v>HK-A080</x:v>
      </x:c>
      <x:c r="B497" s="30" t="str">
        <x:v>p 28</x:v>
      </x:c>
      <x:c r="C497" s="30" t="str">
        <x:v>What is known about the likelihood of a catastrophic disaster occurrence in specific areas of the nation? For example, what are the odds that more category 4 and 5 hurricanes will strike specific areas of the Gulf and East Coasts? How likely is it that California or other earthquake-prone areas will experience “the big one?” What are the chances that a nuclear plant will suffer an incident that results in massive radiation exposure?</x:v>
      </x:c>
      <x:c r="D497" s="30" t="str">
        <x:v>Hurricane Katrina</x:v>
      </x:c>
      <x:c r="E497" s="30" t="str">
        <x:v>gao-06-442t.pdf</x:v>
      </x:c>
      <x:c r="F497" s="40" t="str">
        <x:v>No</x:v>
      </x:c>
      <x:c r="G497" s="40" t="n">
        <x:v>0</x:v>
      </x:c>
      <x:c r="H497" s="40" t="str">
        <x:v>Unlabeled</x:v>
      </x:c>
      <x:c r="I497" s="40"/>
      <x:c r="J497" s="40"/>
      <x:c r="K497" s="30" t="str">
        <x:v>Default No — no retained human paragraph-level label in the curated GPT Test</x:v>
      </x:c>
      <x:c r="L497" s="30"/>
      <x:c r="M497" s="40" t="str">
        <x:v>paragraph</x:v>
      </x:c>
      <x:c r="N497" s="40" t="str">
        <x:v>No</x:v>
      </x:c>
      <x:c r="O497" s="30"/>
      <x:c r="P497" s="30" t="str">
        <x:v>28:4:1;28:4:2;28:4:3;28:4:4;28:4:5;28:4:6</x:v>
      </x:c>
    </x:row>
    <x:row r="498" ht="45" customHeight="1">
      <x:c r="A498" s="30" t="str">
        <x:v>HK-A081</x:v>
      </x:c>
      <x:c r="B498" s="30" t="str">
        <x:v>p 28</x:v>
      </x:c>
      <x:c r="C498" s="30" t="str">
        <x:v>How vulnerable are the areas that would be affected by these catastrophic disasters and what would be the consequences, in terms of human life, economic impact, and other generally accepted measures?</x:v>
      </x:c>
      <x:c r="D498" s="30" t="str">
        <x:v>Hurricane Katrina</x:v>
      </x:c>
      <x:c r="E498" s="30" t="str">
        <x:v>gao-06-442t.pdf</x:v>
      </x:c>
      <x:c r="F498" s="40" t="str">
        <x:v>No</x:v>
      </x:c>
      <x:c r="G498" s="40" t="n">
        <x:v>0</x:v>
      </x:c>
      <x:c r="H498" s="40" t="str">
        <x:v>Unlabeled</x:v>
      </x:c>
      <x:c r="I498" s="40"/>
      <x:c r="J498" s="40"/>
      <x:c r="K498" s="30" t="str">
        <x:v>Default No — no retained human paragraph-level label in the curated GPT Test</x:v>
      </x:c>
      <x:c r="L498" s="30"/>
      <x:c r="M498" s="40" t="str">
        <x:v>paragraph</x:v>
      </x:c>
      <x:c r="N498" s="40" t="str">
        <x:v>No</x:v>
      </x:c>
      <x:c r="O498" s="30"/>
      <x:c r="P498" s="30" t="str">
        <x:v>28:4:9;28:4:10;28:4:11</x:v>
      </x:c>
    </x:row>
    <x:row r="499" ht="45" customHeight="1">
      <x:c r="A499" s="30" t="str">
        <x:v>HK-A082</x:v>
      </x:c>
      <x:c r="B499" s="30" t="str">
        <x:v>p 28</x:v>
      </x:c>
      <x:c r="C499" s="30" t="str">
        <x:v>What are the costs and potential benefits of actions governments can take to mitigate the occurrence and consequences of these disasters? For example, in the case of catastrophic hurricanes, what are the costs and benefits of greater and more precise early warnings, better resourced and exercised evacuation plans, more pre-positioned equipment such as generators and water, more designated shelters and medical care resources, enhanced health care operations, and better mutual aid planning and specific agreements?</x:v>
      </x:c>
      <x:c r="D499" s="30" t="str">
        <x:v>Hurricane Katrina</x:v>
      </x:c>
      <x:c r="E499" s="30" t="str">
        <x:v>gao-06-442t.pdf</x:v>
      </x:c>
      <x:c r="F499" s="40" t="str">
        <x:v>No</x:v>
      </x:c>
      <x:c r="G499" s="40" t="n">
        <x:v>0</x:v>
      </x:c>
      <x:c r="H499" s="40" t="str">
        <x:v>Unlabeled</x:v>
      </x:c>
      <x:c r="I499" s="40"/>
      <x:c r="J499" s="40"/>
      <x:c r="K499" s="30" t="str">
        <x:v>Default No — no retained human paragraph-level label in the curated GPT Test</x:v>
      </x:c>
      <x:c r="L499" s="30"/>
      <x:c r="M499" s="40" t="str">
        <x:v>paragraph</x:v>
      </x:c>
      <x:c r="N499" s="40" t="str">
        <x:v>No</x:v>
      </x:c>
      <x:c r="O499" s="30"/>
      <x:c r="P499" s="30" t="str">
        <x:v>28:4:14;28:4:15;28:4:16;28:4:17;28:4:18;28:4:19;28:4:20;28:4:21</x:v>
      </x:c>
    </x:row>
    <x:row r="500" ht="45" customHeight="1">
      <x:c r="A500" s="30" t="str">
        <x:v>HK-A083</x:v>
      </x:c>
      <x:c r="B500" s="30" t="str">
        <x:v>p 28</x:v>
      </x:c>
      <x:c r="C500" s="30" t="str">
        <x:v>Finally, based on all of the above, what are the most prudent courses of action for various levels of government and their partners, such as private industry and nongovernmental organizations, in preparing for and responding to catastrophic disasters?</x:v>
      </x:c>
      <x:c r="D500" s="30" t="str">
        <x:v>Hurricane Katrina</x:v>
      </x:c>
      <x:c r="E500" s="30" t="str">
        <x:v>gao-06-442t.pdf</x:v>
      </x:c>
      <x:c r="F500" s="40" t="str">
        <x:v>No</x:v>
      </x:c>
      <x:c r="G500" s="40" t="n">
        <x:v>0</x:v>
      </x:c>
      <x:c r="H500" s="40" t="str">
        <x:v>Unlabeled</x:v>
      </x:c>
      <x:c r="I500" s="40"/>
      <x:c r="J500" s="40"/>
      <x:c r="K500" s="30" t="str">
        <x:v>Default No — no retained human paragraph-level label in the curated GPT Test</x:v>
      </x:c>
      <x:c r="L500" s="30"/>
      <x:c r="M500" s="40" t="str">
        <x:v>paragraph</x:v>
      </x:c>
      <x:c r="N500" s="40" t="str">
        <x:v>No</x:v>
      </x:c>
      <x:c r="O500" s="30"/>
      <x:c r="P500" s="30" t="str">
        <x:v>28:4:24;28:4:25;28:4:26;28:4:27</x:v>
      </x:c>
    </x:row>
    <x:row r="501" ht="45" customHeight="1">
      <x:c r="A501" s="30" t="str">
        <x:v>HK-A084</x:v>
      </x:c>
      <x:c r="B501" s="30" t="str">
        <x:v>p 28</x:v>
      </x:c>
      <x:c r="C501" s="30" t="str">
        <x:v>These are not easily answered questions. However, given the enormous potential costs and the increasing demands on federal discretionary funding, these are some of the questions that policymakers should explicitly discuss, reach consensus, and periodically reassess as events and considerations change. If federal funds will be used to increase first responders’ capabilities for catastrophic disasters, we suggest that the Congress require the use of risk management principles to assess state and urban area investments in capabilities to respond to a catastrophic disaster.</x:v>
      </x:c>
      <x:c r="D501" s="30" t="str">
        <x:v>Hurricane Katrina</x:v>
      </x:c>
      <x:c r="E501" s="30" t="str">
        <x:v>gao-06-442t.pdf</x:v>
      </x:c>
      <x:c r="F501" s="40" t="str">
        <x:v>No</x:v>
      </x:c>
      <x:c r="G501" s="40" t="n">
        <x:v>0</x:v>
      </x:c>
      <x:c r="H501" s="40" t="str">
        <x:v>Unlabeled</x:v>
      </x:c>
      <x:c r="I501" s="40"/>
      <x:c r="J501" s="40"/>
      <x:c r="K501" s="30" t="str">
        <x:v>Default No — no retained human paragraph-level label in the curated GPT Test</x:v>
      </x:c>
      <x:c r="L501" s="30"/>
      <x:c r="M501" s="40" t="str">
        <x:v>paragraph</x:v>
      </x:c>
      <x:c r="N501" s="40" t="str">
        <x:v>No</x:v>
      </x:c>
      <x:c r="O501" s="30"/>
      <x:c r="P501" s="30" t="str">
        <x:v>28:4:29;28:4:30;28:4:31;28:4:32;28:4:33;28:4:34;28:4:35;28:4:36;28:4:37</x:v>
      </x:c>
    </x:row>
    <x:row r="502" ht="45" customHeight="1">
      <x:c r="A502" s="30" t="str">
        <x:v>HK-A085</x:v>
      </x:c>
      <x:c r="B502" s="30" t="str">
        <x:v>p 29</x:v>
      </x:c>
      <x:c r="C502" s="30" t="str">
        <x:v>Because of FEMA’s mission performance during Hurricane Katrina, concerns have been raised regarding the agency’s organizational placement, including whether it should be disbanded and functions moved to other agencies, remain within the Department of Homeland Security, or again become an independent agency. Importantly, other factors, such as the experience of and training provided to FEMA leadership and adequacy of resources may be more important to FEMA’s future success than its organizational placement.</x:v>
      </x:c>
      <x:c r="D502" s="30" t="str">
        <x:v>Hurricane Katrina</x:v>
      </x:c>
      <x:c r="E502" s="30" t="str">
        <x:v>gao-06-442t.pdf</x:v>
      </x:c>
      <x:c r="F502" s="40" t="str">
        <x:v>No</x:v>
      </x:c>
      <x:c r="G502" s="40" t="n">
        <x:v>0</x:v>
      </x:c>
      <x:c r="H502" s="40" t="str">
        <x:v>Unlabeled</x:v>
      </x:c>
      <x:c r="I502" s="40"/>
      <x:c r="J502" s="40"/>
      <x:c r="K502" s="30" t="str">
        <x:v>Default No — no retained human paragraph-level label in the curated GPT Test</x:v>
      </x:c>
      <x:c r="L502" s="30"/>
      <x:c r="M502" s="40" t="str">
        <x:v>paragraph</x:v>
      </x:c>
      <x:c r="N502" s="40" t="str">
        <x:v>No</x:v>
      </x:c>
      <x:c r="O502" s="30"/>
      <x:c r="P502" s="30" t="str">
        <x:v>29:2:0;29:2:1;29:2:2;29:2:3;29:2:4;29:2:5;29:2:6;29:2:7</x:v>
      </x:c>
    </x:row>
    <x:row r="503" ht="45" customHeight="1">
      <x:c r="A503" s="30" t="str">
        <x:v>HK-A086</x:v>
      </x:c>
      <x:c r="B503" s="30" t="str">
        <x:v>p 29</x:v>
      </x:c>
      <x:c r="C503" s="30" t="str">
        <x:v>Organizational changes, such as separating FEMA from DHS, are often viewed as a quick fix to address performance issues. Based on our institutional knowledge regarding organizational performance factors, organizational changes alone may not adequately address underlying systemic conditions that result in an organization’s performance problem. Conditions underlying FEMA’s performance during Hurricane Katrina could involve the experience and training of DHS or FEMA leadership; the clarity of FEMA’s mission and related responsibilities and authorities to achieve mission performance expectations; the adequacy of its human, financial, and technological resources; and the effectiveness of planning, exercises, and related partnerships.</x:v>
      </x:c>
      <x:c r="D503" s="30" t="str">
        <x:v>Hurricane Katrina</x:v>
      </x:c>
      <x:c r="E503" s="30" t="str">
        <x:v>gao-06-442t.pdf</x:v>
      </x:c>
      <x:c r="F503" s="40" t="str">
        <x:v>No</x:v>
      </x:c>
      <x:c r="G503" s="40" t="n">
        <x:v>0</x:v>
      </x:c>
      <x:c r="H503" s="40" t="str">
        <x:v>Unlabeled</x:v>
      </x:c>
      <x:c r="I503" s="40"/>
      <x:c r="J503" s="40"/>
      <x:c r="K503" s="30" t="str">
        <x:v>Default No — no retained human paragraph-level label in the curated GPT Test</x:v>
      </x:c>
      <x:c r="L503" s="30"/>
      <x:c r="M503" s="40" t="str">
        <x:v>paragraph</x:v>
      </x:c>
      <x:c r="N503" s="40" t="str">
        <x:v>No</x:v>
      </x:c>
      <x:c r="O503" s="30"/>
      <x:c r="P503" s="30" t="str">
        <x:v>29:3:1;29:3:2;29:3:3;29:3:4;29:3:5;29:3:6;29:3:7;29:3:8;29:3:9;29:3:10;29:3:11</x:v>
      </x:c>
    </x:row>
    <x:row r="504" ht="45" customHeight="1">
      <x:c r="A504" s="30" t="str">
        <x:v>HK-A087</x:v>
      </x:c>
      <x:c r="B504" s="30" t="str">
        <x:v>p 29</x:v>
      </x:c>
      <x:c r="C504" s="30" t="str">
        <x:v>These factors have been highlighted, for example, by the House Select Committee which noted (1) senior officials were ill prepared due to their lack of experience and knowledge of the required roles and responsibilities prescribed by the NRP, (2) DHS and FEMA lacked adequately trained and experienced staff for the Katrina response, observing that FEMA had lost, since 2002, a number of its top disaster specialists, senior leaders, and experienced personnel, described as “FEMA brain drain,” and that even before Hurricane Katrina, FEMA suffered from a lack of sufficiently trained procurement professionals, and (3) FEMA’s logistics systems were unable to support large-scale logistical challenges. In addition, White House recommendations covered areas such as DHS expertise and experience, development of a national crisis communications system, and development of DHS regions that are fully staffed, trained, and equipped to manage and coordinate all preparedness activities and any emergency that may require a substantial federal response.</x:v>
      </x:c>
      <x:c r="D504" s="30" t="str">
        <x:v>Hurricane Katrina</x:v>
      </x:c>
      <x:c r="E504" s="30" t="str">
        <x:v>gao-06-442t.pdf</x:v>
      </x:c>
      <x:c r="F504" s="40" t="str">
        <x:v>No</x:v>
      </x:c>
      <x:c r="G504" s="40" t="n">
        <x:v>0</x:v>
      </x:c>
      <x:c r="H504" s="40" t="str">
        <x:v>Unlabeled</x:v>
      </x:c>
      <x:c r="I504" s="40"/>
      <x:c r="J504" s="40"/>
      <x:c r="K504" s="30" t="str">
        <x:v>Default No — no retained human paragraph-level label in the curated GPT Test</x:v>
      </x:c>
      <x:c r="L504" s="30"/>
      <x:c r="M504" s="40" t="str">
        <x:v>paragraph</x:v>
      </x:c>
      <x:c r="N504" s="40" t="str">
        <x:v>No</x:v>
      </x:c>
      <x:c r="O504" s="30"/>
      <x:c r="P504" s="30" t="str">
        <x:v>29:4:0;29:4:1;29:4:2;29:4:3;29:4:4;29:4:5;29:4:6;29:4:7;29:4:8;29:4:9;29:4:10;29:4:11;29:4:12;29:4:13;29:4:14;29:4:15</x:v>
      </x:c>
    </x:row>
    <x:row r="505" ht="45" customHeight="1">
      <x:c r="A505" s="30" t="str">
        <x:v>HK-A088</x:v>
      </x:c>
      <x:c r="B505" s="30" t="str">
        <x:v>pp 29-30</x:v>
      </x:c>
      <x:c r="C505" s="30" t="str">
        <x:v>Factors such as the experience and training of leadership and the adequacy of resources can lead to performance difficulties pointed out in the House Select Committee, the White House report, and in testimony before this committee. These difficulties would not, we believe, be fixed by simply moving FEMA to an independent status. Indeed, we know that many of lessons learned from Hurricane Katrina were acted on for Hurricane Rita, with a much better response effort, indicating that organizational change is not the primary key to success. Such factors, we believe, should be more carefully assessed and action taken where appropriate to strengthen any weaknesses in FEMA’s leadership and resources.</x:v>
      </x:c>
      <x:c r="D505" s="30" t="str">
        <x:v>Hurricane Katrina</x:v>
      </x:c>
      <x:c r="E505" s="30" t="str">
        <x:v>gao-06-442t.pdf</x:v>
      </x:c>
      <x:c r="F505" s="40" t="str">
        <x:v>No</x:v>
      </x:c>
      <x:c r="G505" s="40" t="n">
        <x:v>0</x:v>
      </x:c>
      <x:c r="H505" s="40" t="str">
        <x:v>Unlabeled</x:v>
      </x:c>
      <x:c r="I505" s="40"/>
      <x:c r="J505" s="40"/>
      <x:c r="K505" s="30" t="str">
        <x:v>Default No — no retained human paragraph-level label in the curated GPT Test</x:v>
      </x:c>
      <x:c r="L505" s="30"/>
      <x:c r="M505" s="40" t="str">
        <x:v>paragraph</x:v>
      </x:c>
      <x:c r="N505" s="40" t="str">
        <x:v>No</x:v>
      </x:c>
      <x:c r="O505" s="30"/>
      <x:c r="P505" s="30" t="str">
        <x:v>29:5:0;29:5:1;29:5:2;29:5:3;30:2:0;30:2:1;30:2:2;30:2:3;30:2:4;30:2:5;30:2:6</x:v>
      </x:c>
    </x:row>
    <x:row r="506" ht="45" customHeight="1">
      <x:c r="A506" s="30" t="str">
        <x:v>HK-A089</x:v>
      </x:c>
      <x:c r="B506" s="30" t="str">
        <x:v>p 30</x:v>
      </x:c>
      <x:c r="C506" s="30" t="str">
        <x:v>However, if an organizational change remains under consideration, our past work could be helpful. Before the formation of DHS, I testified before the House Select Committee on Homeland Security that reorganizations of government agencies frequently encounter start-up problems and unanticipated consequences and are unlikely to fully overcome obstacles and challenges, and may require additional modifications in the future. also presented specific criteria to evaluate whether individual agencies or programs should be included or excluded from the proposed department. Those criteria included, for example, mission relevancy, similar goals and objectives, leveraging the effectiveness of other agencies and programs or the new department as a whole, and gains in efficiency and effectiveness through eliminating duplications and overlaps. I also stated that Congress should consider not only the mission and roles that agencies fulfill today, but the mission and role that they should fulfill in the coming years.</x:v>
      </x:c>
      <x:c r="D506" s="30" t="str">
        <x:v>Hurricane Katrina</x:v>
      </x:c>
      <x:c r="E506" s="30" t="str">
        <x:v>gao-06-442t.pdf</x:v>
      </x:c>
      <x:c r="F506" s="40" t="str">
        <x:v>No</x:v>
      </x:c>
      <x:c r="G506" s="40" t="n">
        <x:v>0</x:v>
      </x:c>
      <x:c r="H506" s="40" t="str">
        <x:v>Unlabeled</x:v>
      </x:c>
      <x:c r="I506" s="40"/>
      <x:c r="J506" s="40"/>
      <x:c r="K506" s="30" t="str">
        <x:v>Default No — no retained human paragraph-level label in the curated GPT Test</x:v>
      </x:c>
      <x:c r="L506" s="30"/>
      <x:c r="M506" s="40" t="str">
        <x:v>paragraph</x:v>
      </x:c>
      <x:c r="N506" s="40" t="str">
        <x:v>No</x:v>
      </x:c>
      <x:c r="O506" s="30"/>
      <x:c r="P506" s="30" t="str">
        <x:v>30:3:1;30:3:2;30:3:3;30:3:4;30:3:5;30:3:6;30:3:8;30:3:9;30:3:10;30:3:11;30:3:12;30:3:13;30:3:14;30:3:15</x:v>
      </x:c>
    </x:row>
    <x:row r="507" ht="45" customHeight="1">
      <x:c r="A507" s="30" t="str">
        <x:v>HK-A090</x:v>
      </x:c>
      <x:c r="B507" s="30" t="str">
        <x:v>p 30</x:v>
      </x:c>
      <x:c r="C507" s="30" t="str">
        <x:v>Some of these criteria are appropriate today for discussing FEMA’s future, and I would suggest that they might be useful if a change in FEMA’s organizational placement is under consideration. For example, Congress might consider whether or how moving FEMA out of DHS would impact DHS’s mission, as stated in the Homeland Security Act of 2002, of acting as a focal point for natural and manmade crises and emergency planning. DHS’s Emergency Preparedness and Response Directorate—primarily FEMA—was to help ensure the effectiveness of emergency response providers to terrorist attacks, major disasters, and other emergencies. Removing FEMA from DHS might impact the ability of the department and its remaining components and FEMA itself in fully addressing the close links between preparedness, prevention, response, and recovery for all hazards.</x:v>
      </x:c>
      <x:c r="D507" s="30" t="str">
        <x:v>Hurricane Katrina</x:v>
      </x:c>
      <x:c r="E507" s="30" t="str">
        <x:v>gao-06-442t.pdf</x:v>
      </x:c>
      <x:c r="F507" s="40" t="str">
        <x:v>No</x:v>
      </x:c>
      <x:c r="G507" s="40" t="n">
        <x:v>0</x:v>
      </x:c>
      <x:c r="H507" s="40" t="str">
        <x:v>Unlabeled</x:v>
      </x:c>
      <x:c r="I507" s="40"/>
      <x:c r="J507" s="40"/>
      <x:c r="K507" s="30" t="str">
        <x:v>Default No — no retained human paragraph-level label in the curated GPT Test</x:v>
      </x:c>
      <x:c r="L507" s="30"/>
      <x:c r="M507" s="40" t="str">
        <x:v>paragraph</x:v>
      </x:c>
      <x:c r="N507" s="40" t="str">
        <x:v>No</x:v>
      </x:c>
      <x:c r="O507" s="30"/>
      <x:c r="P507" s="30" t="str">
        <x:v>30:4:0;30:4:1;30:4:2;30:4:3;30:4:4;30:4:5;30:4:6;30:4:7;30:4:8;30:4:9;30:4:10;30:4:11;30:4:12</x:v>
      </x:c>
    </x:row>
    <x:row r="508" ht="45" customHeight="1">
      <x:c r="A508" s="30" t="str">
        <x:v>HK-A091</x:v>
      </x:c>
      <x:c r="B508" s="30" t="str">
        <x:v>p 31</x:v>
      </x:c>
      <x:c r="C508" s="30" t="str">
        <x:v>The dispersion of responsibility for all hazards preparedness and response across more than one federal agency was a problem we identified during 17 FEMA was established in 1979 to consolidate the formation of DHS. federal emergency preparedness mitigation, and response in a single federal agency. Its responsibilities were to include, among other things, the coordination of civil defense and civil emergency planning and the coordination of federal disaster relief. FEMA responded to a wide range of disasters, including floods, hurricanes, earthquakes, hazardous material accidents, nuclear accidents, and biological, chemical, and nuclear 18 However, when Congress created DHS, it separated FEMA’s attacks. responsibilities for preparedness and response activities into two directorates. Responsibility for preparedness for terrorism disasters was placed in the department’s Border and Transportation Security Directorate, which included FEMA’s Office of National Preparedness. Other types of FEMA disaster preparedness and response efforts were transferred to the department’s Emergency Preparedness and Response Directorate. In January 2003, we observed that this organizational arrangement would challenge FEMA in ensuring the effective coordination of preparedness and response efforts and enhancing the provision and management of disaster assistance for efficient and effective response.</x:v>
      </x:c>
      <x:c r="D508" s="30" t="str">
        <x:v>Hurricane Katrina</x:v>
      </x:c>
      <x:c r="E508" s="30" t="str">
        <x:v>gao-06-442t.pdf</x:v>
      </x:c>
      <x:c r="F508" s="40" t="str">
        <x:v>No</x:v>
      </x:c>
      <x:c r="G508" s="40" t="n">
        <x:v>0</x:v>
      </x:c>
      <x:c r="H508" s="40" t="str">
        <x:v>Unlabeled</x:v>
      </x:c>
      <x:c r="I508" s="40"/>
      <x:c r="J508" s="40"/>
      <x:c r="K508" s="30" t="str">
        <x:v>Default No — no retained human paragraph-level label in the curated GPT Test</x:v>
      </x:c>
      <x:c r="L508" s="30"/>
      <x:c r="M508" s="40" t="str">
        <x:v>paragraph</x:v>
      </x:c>
      <x:c r="N508" s="40" t="str">
        <x:v>No</x:v>
      </x:c>
      <x:c r="O508" s="30"/>
      <x:c r="P508" s="30" t="str">
        <x:v>31:2:0;31:2:1;31:2:3;31:2:2;31:2:4;31:2:5;31:2:6;31:2:7;31:2:8;31:2:9;31:2:11;31:2:10;31:2:12;31:2:13;31:2:14;31:2:15;31:2:16;31:2:17;31:2:18;31:2:19;31:2:20;31:2:21</x:v>
      </x:c>
    </x:row>
    <x:row r="509" ht="45" customHeight="1">
      <x:c r="A509" s="30" t="str">
        <x:v>HK-A092</x:v>
      </x:c>
      <x:c r="B509" s="30" t="str">
        <x:v>p 31</x:v>
      </x:c>
      <x:c r="C509" s="30" t="str">
        <x:v>A division of responsibility remains under the recent DHS reorganization resulting from Secretary Chertoff’s Second Stage Review (2SR), with preparedness efforts—including planning, training, exercising, and funding—consolidated into a Preparedness Directorate. FEMA reports directly to the Secretary of Homeland Security for response and recovery missions. Secretary Chertoff has explained the reorganization would focus FEMA on its historic mission of response and recovery.</x:v>
      </x:c>
      <x:c r="D509" s="30" t="str">
        <x:v>Hurricane Katrina</x:v>
      </x:c>
      <x:c r="E509" s="30" t="str">
        <x:v>gao-06-442t.pdf</x:v>
      </x:c>
      <x:c r="F509" s="40" t="str">
        <x:v>No</x:v>
      </x:c>
      <x:c r="G509" s="40" t="n">
        <x:v>0</x:v>
      </x:c>
      <x:c r="H509" s="40" t="str">
        <x:v>Unlabeled</x:v>
      </x:c>
      <x:c r="I509" s="40"/>
      <x:c r="J509" s="40"/>
      <x:c r="K509" s="30" t="str">
        <x:v>Default No — no retained human paragraph-level label in the curated GPT Test</x:v>
      </x:c>
      <x:c r="L509" s="30"/>
      <x:c r="M509" s="40" t="str">
        <x:v>paragraph</x:v>
      </x:c>
      <x:c r="N509" s="40" t="str">
        <x:v>No</x:v>
      </x:c>
      <x:c r="O509" s="30"/>
      <x:c r="P509" s="30" t="str">
        <x:v>31:3:0;31:3:1;31:3:2;31:3:3;31:3:4;31:3:5;31:3:6</x:v>
      </x:c>
    </x:row>
    <x:row r="510" ht="45" customHeight="1">
      <x:c r="A510" s="30" t="str">
        <x:v>HK-A093</x:v>
      </x:c>
      <x:c r="B510" s="30" t="str">
        <x:v>pp 31-32</x:v>
      </x:c>
      <x:c r="C510" s="30" t="str">
        <x:v>If FEMA were to become independent of DHS, then a comprehensive approach to preparedness, response, and recovery may become even more difficult to maintain. The lack of a single department or agency with responsibility for preparedness, response, and recovery also could jeopardize clear federal leadership and assistance for state and local governments. These entities would have two primary points of contact,
two points of guidance and regulation, two points of funding opportunities, and two points of assistance and oversight. Nongovernmental and private sector partners in all hazards preparedness would be similarly affected.</x:v>
      </x:c>
      <x:c r="D510" s="30" t="str">
        <x:v>Hurricane Katrina</x:v>
      </x:c>
      <x:c r="E510" s="30" t="str">
        <x:v>gao-06-442t.pdf</x:v>
      </x:c>
      <x:c r="F510" s="40" t="str">
        <x:v>No</x:v>
      </x:c>
      <x:c r="G510" s="40" t="n">
        <x:v>0</x:v>
      </x:c>
      <x:c r="H510" s="40" t="str">
        <x:v>Unlabeled</x:v>
      </x:c>
      <x:c r="I510" s="40"/>
      <x:c r="J510" s="40"/>
      <x:c r="K510" s="30" t="str">
        <x:v>Default No — no retained human paragraph-level label in the curated GPT Test</x:v>
      </x:c>
      <x:c r="L510" s="30"/>
      <x:c r="M510" s="40" t="str">
        <x:v>paragraph</x:v>
      </x:c>
      <x:c r="N510" s="40" t="str">
        <x:v>No</x:v>
      </x:c>
      <x:c r="O510" s="30"/>
      <x:c r="P510" s="30" t="str">
        <x:v>31:4:0;31:4:1;31:4:2;31:4:3;31:4:4;31:4:5;32:2:0;32:2:1;32:2:2;32:2:3</x:v>
      </x:c>
    </x:row>
    <x:row r="511" ht="45" customHeight="1">
      <x:c r="A511" s="30" t="str">
        <x:v>HK-A094</x:v>
      </x:c>
      <x:c r="B511" s="30" t="str">
        <x:v>p 32</x:v>
      </x:c>
      <x:c r="C511" s="30" t="str">
        <x:v>Other organizational changes are also being considered. The White House report on lessons learned from Hurricane Katrina recommended keeping FEMA within DHS, but allows for other organizational changes, such as creating new positions and offices within DHS and transferring the National Disaster Medical System from DHS to the Department of Health and Human Services.</x:v>
      </x:c>
      <x:c r="D511" s="30" t="str">
        <x:v>Hurricane Katrina</x:v>
      </x:c>
      <x:c r="E511" s="30" t="str">
        <x:v>gao-06-442t.pdf</x:v>
      </x:c>
      <x:c r="F511" s="40" t="str">
        <x:v>No</x:v>
      </x:c>
      <x:c r="G511" s="40" t="n">
        <x:v>0</x:v>
      </x:c>
      <x:c r="H511" s="40" t="str">
        <x:v>Unlabeled</x:v>
      </x:c>
      <x:c r="I511" s="40"/>
      <x:c r="J511" s="40"/>
      <x:c r="K511" s="30" t="str">
        <x:v>Default No — no retained human paragraph-level label in the curated GPT Test</x:v>
      </x:c>
      <x:c r="L511" s="30"/>
      <x:c r="M511" s="40" t="str">
        <x:v>paragraph</x:v>
      </x:c>
      <x:c r="N511" s="40" t="str">
        <x:v>No</x:v>
      </x:c>
      <x:c r="O511" s="30"/>
      <x:c r="P511" s="30" t="str">
        <x:v>32:3:0;32:3:1;32:3:2;32:3:3;32:3:4;32:3:5</x:v>
      </x:c>
    </x:row>
    <x:row r="512" ht="45" customHeight="1">
      <x:c r="A512" s="30" t="str">
        <x:v>HK-A095</x:v>
      </x:c>
      <x:c r="B512" s="30" t="str">
        <x:v>p 32</x:v>
      </x:c>
      <x:c r="C512" s="30" t="str">
        <x:v>Lastly, I believe we should bear in mind that the Department of Homeland Security is only three years old this month. In my testimony on the formation of DHS in 2002, I stated that often it has taken many years for the consolidated functions in new departments to effectively build on their combined strengths.</x:v>
      </x:c>
      <x:c r="D512" s="30" t="str">
        <x:v>Hurricane Katrina</x:v>
      </x:c>
      <x:c r="E512" s="30" t="str">
        <x:v>gao-06-442t.pdf</x:v>
      </x:c>
      <x:c r="F512" s="40" t="str">
        <x:v>No</x:v>
      </x:c>
      <x:c r="G512" s="40" t="n">
        <x:v>0</x:v>
      </x:c>
      <x:c r="H512" s="40" t="str">
        <x:v>Unlabeled</x:v>
      </x:c>
      <x:c r="I512" s="40"/>
      <x:c r="J512" s="40"/>
      <x:c r="K512" s="30" t="str">
        <x:v>Default No — no retained human paragraph-level label in the curated GPT Test</x:v>
      </x:c>
      <x:c r="L512" s="30"/>
      <x:c r="M512" s="40" t="str">
        <x:v>paragraph</x:v>
      </x:c>
      <x:c r="N512" s="40" t="str">
        <x:v>No</x:v>
      </x:c>
      <x:c r="O512" s="30"/>
      <x:c r="P512" s="30" t="str">
        <x:v>32:4:0;32:4:1;32:4:2;32:4:3;32:4:4</x:v>
      </x:c>
    </x:row>
    <x:row r="513" ht="45" customHeight="1">
      <x:c r="A513" s="30" t="str">
        <x:v>HK-A096</x:v>
      </x:c>
      <x:c r="B513" s="30" t="str">
        <x:v>p 32</x:v>
      </x:c>
      <x:c r="C513" s="30" t="str">
        <x:v>Madame Chairman, the federal government will be a major partner in the longer-term rebuilding of the Gulf Coast because of the widespread damage and economic impact. In support of state and local efforts, the federal role in rebuilding will be particularly important for transportation and health infrastructures and federal facilities. In addition, federal programs will face financial difficulties and there is uncertainty concerning the impact of catastrophic disasters on the availability and affordability of insurance. Long term rebuilding raises issues concerning the need for consensus on what rebuilding should be done, where and based on what standards, who will pay for what, and what oversight is needed to ensure federal funds are spent for their intended purposes.</x:v>
      </x:c>
      <x:c r="D513" s="30" t="str">
        <x:v>Hurricane Katrina</x:v>
      </x:c>
      <x:c r="E513" s="30" t="str">
        <x:v>gao-06-442t.pdf</x:v>
      </x:c>
      <x:c r="F513" s="40" t="str">
        <x:v>No</x:v>
      </x:c>
      <x:c r="G513" s="40" t="n">
        <x:v>0</x:v>
      </x:c>
      <x:c r="H513" s="40" t="str">
        <x:v>Unlabeled</x:v>
      </x:c>
      <x:c r="I513" s="40"/>
      <x:c r="J513" s="40"/>
      <x:c r="K513" s="30" t="str">
        <x:v>Default No — no retained human paragraph-level label in the curated GPT Test</x:v>
      </x:c>
      <x:c r="L513" s="30"/>
      <x:c r="M513" s="40" t="str">
        <x:v>paragraph</x:v>
      </x:c>
      <x:c r="N513" s="40" t="str">
        <x:v>No</x:v>
      </x:c>
      <x:c r="O513" s="30"/>
      <x:c r="P513" s="30" t="str">
        <x:v>32:5:1;32:5:2;32:5:3;32:5:4;32:5:5;32:5:6;32:5:7;32:5:8;32:5:9;32:5:10;32:5:11</x:v>
      </x:c>
    </x:row>
    <x:row r="514" ht="45" customHeight="1">
      <x:c r="A514" s="30" t="str">
        <x:v>HK-A097</x:v>
      </x:c>
      <x:c r="B514" s="30" t="str">
        <x:v>p 32</x:v>
      </x:c>
      <x:c r="C514" s="30" t="str">
        <x:v>Hurricane Katrina destroyed considerable numbers of residential structures; consumer durable goods, such as motor vehicles, household furnishings, and appliances; and business structures and equipment, particularly in the energy and petrochemical industries. Hurricane Rita appears to have had a smaller impact on residential structures and consumer durable goods, and its damage to the energy industry may be as great as or greater than Hurricane Katrina’s.</x:v>
      </x:c>
      <x:c r="D514" s="30" t="str">
        <x:v>Hurricane Katrina</x:v>
      </x:c>
      <x:c r="E514" s="30" t="str">
        <x:v>gao-06-442t.pdf</x:v>
      </x:c>
      <x:c r="F514" s="40" t="str">
        <x:v>No</x:v>
      </x:c>
      <x:c r="G514" s="40" t="n">
        <x:v>0</x:v>
      </x:c>
      <x:c r="H514" s="40" t="str">
        <x:v>Unlabeled</x:v>
      </x:c>
      <x:c r="I514" s="40"/>
      <x:c r="J514" s="40"/>
      <x:c r="K514" s="30" t="str">
        <x:v>Default No — no retained human paragraph-level label in the curated GPT Test</x:v>
      </x:c>
      <x:c r="L514" s="30"/>
      <x:c r="M514" s="40" t="str">
        <x:v>paragraph</x:v>
      </x:c>
      <x:c r="N514" s="40" t="str">
        <x:v>No</x:v>
      </x:c>
      <x:c r="O514" s="30"/>
      <x:c r="P514" s="30" t="str">
        <x:v>32:6:1;32:6:2;32:6:3;32:6:4;32:6:5;32:6:6;32:6:7</x:v>
      </x:c>
    </x:row>
    <x:row r="515" ht="45" customHeight="1">
      <x:c r="A515" s="30" t="str">
        <x:v>HK-A098</x:v>
      </x:c>
      <x:c r="B515" s="30" t="str">
        <x:v>pp 32-33</x:v>
      </x:c>
      <x:c r="C515" s="30" t="str">
        <x:v>Some federal agencies have developed programs to initially identify and assess the recovery needs of the region. For example, the U.S. Environmental Protection Agency (EPA) and the Centers for Disease Control and Prevention (CDC), created the Environmental Health Needs Assessment and Habitability Taskforce. This taskforce was charged with identifying the overarching environmental healthissues faced by New Orleans to re-inhabit the city. According to the taskforce, the most striking feature of the Hurricane Katrina catastrophic disaster in New Orleans is the array of key environmental health and infrastructure factors affected all at once. All key environmental health and related services are being reestablished, and this work needs to be done in a very coordinated and well-planned way. Full restoration of drinking water systems and wastewater treatment systems will be delayed by the many disruptions in the distribution and collection systems and by the need for upgrade and repairs in older systems. The task force also noted timeline for debris treatment, disposal, containment, and transport, as well as for the testing of potentially contaminated soil, will also slow or accelerate the rate at which New Orleans can be re-inhabited.</x:v>
      </x:c>
      <x:c r="D515" s="30" t="str">
        <x:v>Hurricane Katrina</x:v>
      </x:c>
      <x:c r="E515" s="30" t="str">
        <x:v>gao-06-442t.pdf</x:v>
      </x:c>
      <x:c r="F515" s="40" t="str">
        <x:v>No</x:v>
      </x:c>
      <x:c r="G515" s="40" t="n">
        <x:v>0</x:v>
      </x:c>
      <x:c r="H515" s="40" t="str">
        <x:v>Unlabeled</x:v>
      </x:c>
      <x:c r="I515" s="40"/>
      <x:c r="J515" s="40"/>
      <x:c r="K515" s="30" t="str">
        <x:v>Default No — no retained human paragraph-level label in the curated GPT Test</x:v>
      </x:c>
      <x:c r="L515" s="30"/>
      <x:c r="M515" s="40" t="str">
        <x:v>paragraph</x:v>
      </x:c>
      <x:c r="N515" s="40" t="str">
        <x:v>No</x:v>
      </x:c>
      <x:c r="O515" s="30"/>
      <x:c r="P515" s="30" t="str">
        <x:v>32:7:0;32:7:1;32:7:2;33:2:0;33:2:1;33:2:2;33:2:3;33:2:4;33:2:5;33:2:6;33:2:7;33:2:8;33:2:9;33:2:10;33:2:11;33:2:12;33:2:13;33:2:14</x:v>
      </x:c>
    </x:row>
    <x:row r="516" ht="45" customHeight="1">
      <x:c r="A516" s="30" t="str">
        <x:v>HK-A099</x:v>
      </x:c>
      <x:c r="B516" s="30" t="str">
        <x:v>p 33</x:v>
      </x:c>
      <x:c r="C516" s="30" t="str">
        <x:v>The task force found that restoration of the city’s housing infrastructure is its most complex issue. Housing is likely the most critical issue in re-inhabiting the city because of factors such as the large percentage of city housing that was flooded and may not be viable, as well as the large proportion of the city population that is displaced with some residents a significant distance away from New Orleans or not intending to return, according to the task force. EPA and other federal partners are continuing to assess and address environmental and healthissues that will impact the recovery and rebuilding of the Gulf Coast.</x:v>
      </x:c>
      <x:c r="D516" s="30" t="str">
        <x:v>Hurricane Katrina</x:v>
      </x:c>
      <x:c r="E516" s="30" t="str">
        <x:v>gao-06-442t.pdf</x:v>
      </x:c>
      <x:c r="F516" s="40" t="str">
        <x:v>No</x:v>
      </x:c>
      <x:c r="G516" s="40" t="n">
        <x:v>0</x:v>
      </x:c>
      <x:c r="H516" s="40" t="str">
        <x:v>Unlabeled</x:v>
      </x:c>
      <x:c r="I516" s="40"/>
      <x:c r="J516" s="40"/>
      <x:c r="K516" s="30" t="str">
        <x:v>Default No — no retained human paragraph-level label in the curated GPT Test</x:v>
      </x:c>
      <x:c r="L516" s="30"/>
      <x:c r="M516" s="40" t="str">
        <x:v>paragraph</x:v>
      </x:c>
      <x:c r="N516" s="40" t="str">
        <x:v>No</x:v>
      </x:c>
      <x:c r="O516" s="30"/>
      <x:c r="P516" s="30" t="str">
        <x:v>33:3:0;33:3:1;33:3:2;33:3:3;33:3:4;33:3:5;33:3:6;33:3:7;33:3:8</x:v>
      </x:c>
    </x:row>
    <x:row r="517" ht="45" customHeight="1">
      <x:c r="A517" s="30" t="str">
        <x:v>HK-A100</x:v>
      </x:c>
      <x:c r="B517" s="30" t="str">
        <x:v>pp 33-34</x:v>
      </x:c>
      <x:c r="C517" s="30" t="str">
        <x:v>The ongoing progress of recovery and rebuilding is being studied by several organizations. For example, the Brookings Institute created an index of economic and social indicators measuring the impact of rebuilding efforts in Orleans Parish, the New Orleans metropolitan area, Louisiana, and Mississippi. Brookings’ February 1, 2006 report noted that over five months since Hurricane Katrina made landfall, New Orleans lacks enough essential services to support all of its returning residents and the area continues to lose workers. More specifically, the report observed that only 32 percent of the city’s hospitals are open. Only 15 percent of the city’s schools have reopened and some of those are reporting difficulty accommodating demand. Nearly 750,000 households remain displaced. Mortgage delinquency rates rose between the second and third quarters of 2005. In the state of Louisiana, nearly 1 in 4 mortgages is 30 days or more past due. Currently, the New Orleans metro area lost 42,000 people in its labor force between November and December, while the state of Louisiana lost over 100,000 people. Although the state of Louisiana created over 11,000 jobs between November and December, it lost over 100,000 people in its labor force. Mississippi lost 2,000 jobs and about 2,000 of its labor force. According to the Brookings’ analysis, the slow pace of recovery strongly suggests that the city and state will be unable to restore essential services on their own, and require direct federal assistance to do so.</x:v>
      </x:c>
      <x:c r="D517" s="30" t="str">
        <x:v>Hurricane Katrina</x:v>
      </x:c>
      <x:c r="E517" s="30" t="str">
        <x:v>gao-06-442t.pdf</x:v>
      </x:c>
      <x:c r="F517" s="40" t="str">
        <x:v>No</x:v>
      </x:c>
      <x:c r="G517" s="40" t="n">
        <x:v>0</x:v>
      </x:c>
      <x:c r="H517" s="40" t="str">
        <x:v>Unlabeled</x:v>
      </x:c>
      <x:c r="I517" s="40"/>
      <x:c r="J517" s="40"/>
      <x:c r="K517" s="30" t="str">
        <x:v>Default No — no retained human paragraph-level label in the curated GPT Test</x:v>
      </x:c>
      <x:c r="L517" s="30"/>
      <x:c r="M517" s="40" t="str">
        <x:v>paragraph</x:v>
      </x:c>
      <x:c r="N517" s="40" t="str">
        <x:v>No</x:v>
      </x:c>
      <x:c r="O517" s="30"/>
      <x:c r="P517" s="30" t="str">
        <x:v>33:4:0;33:4:1;33:4:2;33:4:3;33:4:4;33:4:5;33:4:6;33:4:7;33:4:8;33:4:9;33:4:10;33:4:11;33:4:12;33:4:13;33:4:14;33:4:15;33:4:16;34:2:0;34:2:1;34:2:2;34:2:3</x:v>
      </x:c>
    </x:row>
    <x:row r="518" ht="45" customHeight="1">
      <x:c r="A518" s="30" t="str">
        <x:v>HK-A101</x:v>
      </x:c>
      <x:c r="B518" s="30" t="str">
        <x:v>p 34</x:v>
      </x:c>
      <x:c r="C518" s="30" t="str">
        <x:v>In Louisiana and Mississippi, several efforts are underway to develop long-term rebuilding strategies in these states. In Louisiana, the governor and the mayor of New Orleans have charged different groups with guiding various aspects of the rebuilding efforts. Under the mayor, the Bring New Orleans Back Commission is intended to help New Orleans develop a “Master Plan” to include recommendations for rebuilding the city. The commission has issued several final reports, including those on urban planning, education, health and social services, and infrastructure. At the state level, the Louisiana Recovery Authority is the planning and coordinating body created by the Governor to assist in implementing the state’s vision for the recovery of Louisiana. Working in collaboration with local, state and federal agencies, the authority serves to address short-term recovery needs and guide the long-term planning process.</x:v>
      </x:c>
      <x:c r="D518" s="30" t="str">
        <x:v>Hurricane Katrina</x:v>
      </x:c>
      <x:c r="E518" s="30" t="str">
        <x:v>gao-06-442t.pdf</x:v>
      </x:c>
      <x:c r="F518" s="40" t="str">
        <x:v>No</x:v>
      </x:c>
      <x:c r="G518" s="40" t="n">
        <x:v>0</x:v>
      </x:c>
      <x:c r="H518" s="40" t="str">
        <x:v>Unlabeled</x:v>
      </x:c>
      <x:c r="I518" s="40"/>
      <x:c r="J518" s="40"/>
      <x:c r="K518" s="30" t="str">
        <x:v>Default No — no retained human paragraph-level label in the curated GPT Test</x:v>
      </x:c>
      <x:c r="L518" s="30"/>
      <x:c r="M518" s="40" t="str">
        <x:v>paragraph</x:v>
      </x:c>
      <x:c r="N518" s="40" t="str">
        <x:v>No</x:v>
      </x:c>
      <x:c r="O518" s="30"/>
      <x:c r="P518" s="30" t="str">
        <x:v>34:3:1;34:3:2;34:3:3;34:3:4;34:3:5;34:3:6;34:3:7;34:3:8;34:3:9;34:3:10;34:3:11;34:3:12;34:3:13</x:v>
      </x:c>
    </x:row>
    <x:row r="519" ht="45" customHeight="1">
      <x:c r="A519" s="30" t="str">
        <x:v>HK-A102</x:v>
      </x:c>
      <x:c r="B519" s="30" t="str">
        <x:v>p 34</x:v>
      </x:c>
      <x:c r="C519" s="30" t="str">
        <x:v>In Mississippi, the Governor’s Commission on Recovery, Rebuilding and Renewal was formed to develop a strategy for rebuilding the affected areas of Mississippi. Developed as an advisory body, the commission is intended to solicit the input of local leaders and facilitate decision making in their regions. In early January the commission released a report with numerous recommendations intended to guide Mississippi’s post-Katrina rebuilding. The report recommends, for example, that local governments immediately adopt revised flood maps and begin assessing and revising their flood zone management ordinances and building requirements. In addition, the report suggests ways communities can tap into federal, state, and private funding sources to accomplish some of the report’s goals.</x:v>
      </x:c>
      <x:c r="D519" s="30" t="str">
        <x:v>Hurricane Katrina</x:v>
      </x:c>
      <x:c r="E519" s="30" t="str">
        <x:v>gao-06-442t.pdf</x:v>
      </x:c>
      <x:c r="F519" s="40" t="str">
        <x:v>No</x:v>
      </x:c>
      <x:c r="G519" s="40" t="n">
        <x:v>0</x:v>
      </x:c>
      <x:c r="H519" s="40" t="str">
        <x:v>Unlabeled</x:v>
      </x:c>
      <x:c r="I519" s="40"/>
      <x:c r="J519" s="40"/>
      <x:c r="K519" s="30" t="str">
        <x:v>Default No — no retained human paragraph-level label in the curated GPT Test</x:v>
      </x:c>
      <x:c r="L519" s="30"/>
      <x:c r="M519" s="40" t="str">
        <x:v>paragraph</x:v>
      </x:c>
      <x:c r="N519" s="40" t="str">
        <x:v>No</x:v>
      </x:c>
      <x:c r="O519" s="30"/>
      <x:c r="P519" s="30" t="str">
        <x:v>34:4:0;34:4:1;34:4:2;34:4:3;34:4:4;34:4:5;34:4:6;34:4:7;34:4:8;34:4:9;34:4:10</x:v>
      </x:c>
    </x:row>
    <x:row r="520" ht="45" customHeight="1">
      <x:c r="A520" s="30" t="str">
        <x:v>HK-A103</x:v>
      </x:c>
      <x:c r="B520" s="30" t="str">
        <x:v>pp 34-35</x:v>
      </x:c>
      <x:c r="C520" s="30" t="str">
        <x:v>On November 1, 2005, the President issued Executive Order 13390, which directed the creation of a central figure in the administration’s efforts to support the Gulf Coast recovery and rebuilding phases. Specifically, the President directed the Secretary of Homeland Security to establish within the department the position of Coordinator of Federal Support for the Recovery and Rebuilding of the Gulf Coast region. The federal coordinator, Donald Powell, is responsible for developing principles and goals and leading the development and monitoring of the implementation of specific federal support. The coordinator also serves as the focal point for managing information flow, requests for actions, and discussions with the Congress, state and local governments, the private sector, and community leaders.</x:v>
      </x:c>
      <x:c r="D520" s="30" t="str">
        <x:v>Hurricane Katrina</x:v>
      </x:c>
      <x:c r="E520" s="30" t="str">
        <x:v>gao-06-442t.pdf</x:v>
      </x:c>
      <x:c r="F520" s="40" t="str">
        <x:v>No</x:v>
      </x:c>
      <x:c r="G520" s="40" t="n">
        <x:v>0</x:v>
      </x:c>
      <x:c r="H520" s="40" t="str">
        <x:v>Unlabeled</x:v>
      </x:c>
      <x:c r="I520" s="40"/>
      <x:c r="J520" s="40"/>
      <x:c r="K520" s="30" t="str">
        <x:v>Default No — no retained human paragraph-level label in the curated GPT Test</x:v>
      </x:c>
      <x:c r="L520" s="30"/>
      <x:c r="M520" s="40" t="str">
        <x:v>paragraph</x:v>
      </x:c>
      <x:c r="N520" s="40" t="str">
        <x:v>Yes</x:v>
      </x:c>
      <x:c r="O520" s="30" t="str">
        <x:v>Superscript footnote marker was interleaved with body text by PyMuPDF; paragraph was reconstructed across pages 34-35.</x:v>
      </x:c>
      <x:c r="P520" s="30" t="str">
        <x:v>34:5:0;34:5:1;34:5:3;34:5:2;34:5:4;34:5:5;35:2:0;35:2:1;35:2:2;35:2:3;35:2:4;35:2:5;35:2:6</x:v>
      </x:c>
    </x:row>
    <x:row r="521" ht="45" customHeight="1">
      <x:c r="A521" s="30" t="str">
        <x:v>HK-A104</x:v>
      </x:c>
      <x:c r="B521" s="30" t="str">
        <x:v>p 35</x:v>
      </x:c>
      <x:c r="C521" s="30" t="str">
        <x:v>Madame Chairman, we need to make sure that rebuilding in the Gulf Coast should not replace that which was built in the past to 20th century standards, but be built for the future and to 21st century standards. State and local officials will have the lead on determining the future needs of the Gulf Coast. However, the federal government should be a willing partner in the rebuilding strategies so we build better than before and in anticipation of future catastrophic events.</x:v>
      </x:c>
      <x:c r="D521" s="30" t="str">
        <x:v>Hurricane Katrina</x:v>
      </x:c>
      <x:c r="E521" s="30" t="str">
        <x:v>gao-06-442t.pdf</x:v>
      </x:c>
      <x:c r="F521" s="40" t="str">
        <x:v>No</x:v>
      </x:c>
      <x:c r="G521" s="40" t="n">
        <x:v>0</x:v>
      </x:c>
      <x:c r="H521" s="40" t="str">
        <x:v>Unlabeled</x:v>
      </x:c>
      <x:c r="I521" s="40"/>
      <x:c r="J521" s="40"/>
      <x:c r="K521" s="30" t="str">
        <x:v>Default No — no retained human paragraph-level label in the curated GPT Test</x:v>
      </x:c>
      <x:c r="L521" s="30"/>
      <x:c r="M521" s="40" t="str">
        <x:v>paragraph</x:v>
      </x:c>
      <x:c r="N521" s="40" t="str">
        <x:v>Yes</x:v>
      </x:c>
      <x:c r="O521" s="30" t="str">
        <x:v>Ordinal superscripts in '20th/21st' were misplaced by extraction and were reconstructed from page 35.</x:v>
      </x:c>
      <x:c r="P521" s="30" t="str">
        <x:v>35:3:0;35:3:2;35:3:1;35:3:4;35:3:3;35:3:5;35:3:6;35:3:7;35:3:8</x:v>
      </x:c>
    </x:row>
    <x:row r="522" ht="45" customHeight="1">
      <x:c r="A522" s="30" t="str">
        <x:v>HK-A105</x:v>
      </x:c>
      <x:c r="B522" s="30" t="str">
        <x:v>p 35</x:v>
      </x:c>
      <x:c r="C522" s="30" t="str">
        <x:v>Now, I would like to turn to more specifically discuss rebuilding transportation and health infrastructures and federal facilities.</x:v>
      </x:c>
      <x:c r="D522" s="30" t="str">
        <x:v>Hurricane Katrina</x:v>
      </x:c>
      <x:c r="E522" s="30" t="str">
        <x:v>gao-06-442t.pdf</x:v>
      </x:c>
      <x:c r="F522" s="40" t="str">
        <x:v>No</x:v>
      </x:c>
      <x:c r="G522" s="40" t="n">
        <x:v>0</x:v>
      </x:c>
      <x:c r="H522" s="40" t="str">
        <x:v>Unlabeled</x:v>
      </x:c>
      <x:c r="I522" s="40"/>
      <x:c r="J522" s="40"/>
      <x:c r="K522" s="30" t="str">
        <x:v>Default No — no retained human paragraph-level label in the curated GPT Test</x:v>
      </x:c>
      <x:c r="L522" s="30"/>
      <x:c r="M522" s="40" t="str">
        <x:v>paragraph</x:v>
      </x:c>
      <x:c r="N522" s="40" t="str">
        <x:v>No</x:v>
      </x:c>
      <x:c r="O522" s="30"/>
      <x:c r="P522" s="30" t="str">
        <x:v>35:4:0;35:4:1</x:v>
      </x:c>
    </x:row>
    <x:row r="523" ht="45" customHeight="1">
      <x:c r="A523" s="30" t="str">
        <x:v>HK-A106</x:v>
      </x:c>
      <x:c r="B523" s="30" t="str">
        <x:v>p 35</x:v>
      </x:c>
      <x:c r="C523" s="30" t="str">
        <x:v>Transportation infrastructure destruction will have a considerable impact on federal programs. The hurricanes destroyed significant amounts of the region’s transportation infrastructure. The largest transportation capital costs will be associated with reconstruction of highways and bridges— Hurricanes Katrina, Rita, and Wilma resulted in about $2.7 billion in needed repairs to roads on the federal-aid highway system. Hurricane Katrina resulted in the bulk of this cost, with about $2.1 billion in highway damage. Louisiana, Mississippi, and Florida suffered the vast majority of the highway damage. Federal Highway Administration (FHWA) officials said that because many roads have been submerged, determination of the full extent of highway damage will depend on the results of testing.</x:v>
      </x:c>
      <x:c r="D523" s="30" t="str">
        <x:v>Hurricane Katrina</x:v>
      </x:c>
      <x:c r="E523" s="30" t="str">
        <x:v>gao-06-442t.pdf</x:v>
      </x:c>
      <x:c r="F523" s="40" t="str">
        <x:v>No</x:v>
      </x:c>
      <x:c r="G523" s="40" t="n">
        <x:v>0</x:v>
      </x:c>
      <x:c r="H523" s="40" t="str">
        <x:v>Unlabeled</x:v>
      </x:c>
      <x:c r="I523" s="40"/>
      <x:c r="J523" s="40"/>
      <x:c r="K523" s="30" t="str">
        <x:v>Default No — no retained human paragraph-level label in the curated GPT Test</x:v>
      </x:c>
      <x:c r="L523" s="30"/>
      <x:c r="M523" s="40" t="str">
        <x:v>paragraph</x:v>
      </x:c>
      <x:c r="N523" s="40" t="str">
        <x:v>No</x:v>
      </x:c>
      <x:c r="O523" s="30"/>
      <x:c r="P523" s="30" t="str">
        <x:v>35:4:3;35:4:4;35:4:5;35:4:6;35:4:7;35:4:8;35:4:9;35:4:10;35:4:11;35:4:12;35:4:13</x:v>
      </x:c>
    </x:row>
    <x:row r="524" ht="45" customHeight="1">
      <x:c r="A524" s="30" t="str">
        <x:v>HK-A107</x:v>
      </x:c>
      <x:c r="B524" s="30" t="str">
        <x:v>pp 35-36</x:v>
      </x:c>
      <x:c r="C524" s="30" t="str">
        <x:v>FHWA works with the states to develop these estimates, and funding for repair and reconstruction comes through FHWA’s Emergency Relief Program. Under this program, states are reimbursed the cost of repairs and reconstruction of the existing highway facilities, and improvements are generally not allowed. However, bringing a facility up to current highway design standards is allowed. Only roads on the federal-aid highway system are eligible for funding. A large backlog of funding requests to this program existed prior to the hurricanes, about $650 million pre-Katrina, resulting in a total state demand for emergency funds of about $2.85 billion. In its fiscal year 2006 Defense Appropriations Act, Congress appropriated $2.75 billion to the FHWA Emergency Relief Program. These funds are available for both the 2005 hurricanes and other emergency projects. We plan to review the FHWA Emergency Relief Program and related surface transportation financing issues that have arisen as a result of the hurricanes.</x:v>
      </x:c>
      <x:c r="D524" s="30" t="str">
        <x:v>Hurricane Katrina</x:v>
      </x:c>
      <x:c r="E524" s="30" t="str">
        <x:v>gao-06-442t.pdf</x:v>
      </x:c>
      <x:c r="F524" s="40" t="str">
        <x:v>No</x:v>
      </x:c>
      <x:c r="G524" s="40" t="n">
        <x:v>0</x:v>
      </x:c>
      <x:c r="H524" s="40" t="str">
        <x:v>Unlabeled</x:v>
      </x:c>
      <x:c r="I524" s="40"/>
      <x:c r="J524" s="40"/>
      <x:c r="K524" s="30" t="str">
        <x:v>Default No — no retained human paragraph-level label in the curated GPT Test</x:v>
      </x:c>
      <x:c r="L524" s="30"/>
      <x:c r="M524" s="40" t="str">
        <x:v>paragraph</x:v>
      </x:c>
      <x:c r="N524" s="40" t="str">
        <x:v>No</x:v>
      </x:c>
      <x:c r="O524" s="30"/>
      <x:c r="P524" s="30" t="str">
        <x:v>35:5:0;35:5:1;35:5:2;35:5:3;35:5:4;35:5:5;35:5:6;35:5:7;35:5:8;35:5:9;35:5:10;35:5:11;36:2:0;36:2:1;36:2:2</x:v>
      </x:c>
    </x:row>
    <x:row r="525" ht="45" customHeight="1">
      <x:c r="A525" s="30" t="str">
        <x:v>HK-A108</x:v>
      </x:c>
      <x:c r="B525" s="30" t="str">
        <x:v>p 36</x:v>
      </x:c>
      <x:c r="C525" s="30" t="str">
        <x:v>Transit systems in the region sustained considerable damage, especially in New Orleans, where most of the transit fleet was lost. This included three bus garages, an operations and maintenance facility, much of the trolley system, and a majority of the city’s bus fleet. In addition, the population of Baton Rouge roughly doubled in a matter of days, which presented an unprecedented transit problem for that city. While no transit program comparable to the FHWA Emergency Relief Program exists, FEMA provided $47 million under a mission assignment to help provide basic transit services within and between Baton Rouge and New Orleans.</x:v>
      </x:c>
      <x:c r="D525" s="30" t="str">
        <x:v>Hurricane Katrina</x:v>
      </x:c>
      <x:c r="E525" s="30" t="str">
        <x:v>gao-06-442t.pdf</x:v>
      </x:c>
      <x:c r="F525" s="40" t="str">
        <x:v>No</x:v>
      </x:c>
      <x:c r="G525" s="40" t="n">
        <x:v>0</x:v>
      </x:c>
      <x:c r="H525" s="40" t="str">
        <x:v>Unlabeled</x:v>
      </x:c>
      <x:c r="I525" s="40"/>
      <x:c r="J525" s="40"/>
      <x:c r="K525" s="30" t="str">
        <x:v>Default No — no retained human paragraph-level label in the curated GPT Test</x:v>
      </x:c>
      <x:c r="L525" s="30"/>
      <x:c r="M525" s="40" t="str">
        <x:v>paragraph</x:v>
      </x:c>
      <x:c r="N525" s="40" t="str">
        <x:v>No</x:v>
      </x:c>
      <x:c r="O525" s="30"/>
      <x:c r="P525" s="30" t="str">
        <x:v>36:3:0;36:3:1;36:3:2;36:3:3;36:3:4;36:3:5;36:3:6;36:3:7;36:3:8</x:v>
      </x:c>
    </x:row>
    <x:row r="526" ht="45" customHeight="1">
      <x:c r="A526" s="30" t="str">
        <x:v>HK-A109</x:v>
      </x:c>
      <x:c r="B526" s="30" t="str">
        <x:v>p 36</x:v>
      </x:c>
      <x:c r="C526" s="30" t="str">
        <x:v>Ports in the region also suffered significant damage. The Port of New Orleans estimated reconstruction and relocation needs of $435 million to cover damages sustained from Hurricane Katrina, assuming $75 million would be funded by insurance claims or FEMA reimbursements. The remaining $360 million is unfunded. The Port of Gulfport was also hard hit, and while it is still developing estimates, according to the port director, reconstruction will likely total between $300 million and $400 million. Part of these costs will be covered by insurance and revenues from resumed port operations. According to officials from other ports in the region, they also sustained damage, though not of this magnitude. For example, the Port of Mobile sustained $28 million in damages, while other Louisiana ports, such as Port Fourchon and the Port of South Louisiana, estimate damages of $7 million and $2 million respectively. We have initiated a review of how ports mitigate their vulnerability to natural disasters, what lessons have been learned, and what the potential federal role may be in mitigating port vulnerability.</x:v>
      </x:c>
      <x:c r="D526" s="30" t="str">
        <x:v>Hurricane Katrina</x:v>
      </x:c>
      <x:c r="E526" s="30" t="str">
        <x:v>gao-06-442t.pdf</x:v>
      </x:c>
      <x:c r="F526" s="40" t="str">
        <x:v>No</x:v>
      </x:c>
      <x:c r="G526" s="40" t="n">
        <x:v>0</x:v>
      </x:c>
      <x:c r="H526" s="40" t="str">
        <x:v>Unlabeled</x:v>
      </x:c>
      <x:c r="I526" s="40"/>
      <x:c r="J526" s="40"/>
      <x:c r="K526" s="30" t="str">
        <x:v>Default No — no retained human paragraph-level label in the curated GPT Test</x:v>
      </x:c>
      <x:c r="L526" s="30"/>
      <x:c r="M526" s="40" t="str">
        <x:v>paragraph</x:v>
      </x:c>
      <x:c r="N526" s="40" t="str">
        <x:v>No</x:v>
      </x:c>
      <x:c r="O526" s="30"/>
      <x:c r="P526" s="30" t="str">
        <x:v>36:4:0;36:4:1;36:4:2;36:4:3;36:4:4;36:4:5;36:4:6;36:4:7;36:4:8;36:4:9;36:4:10;36:4:11;36:4:12;36:4:13;36:4:14;36:4:15</x:v>
      </x:c>
    </x:row>
    <x:row r="527" ht="45" customHeight="1">
      <x:c r="A527" s="30" t="str">
        <x:v>HK-A110</x:v>
      </x:c>
      <x:c r="B527" s="30" t="str">
        <x:v>p 36</x:v>
      </x:c>
      <x:c r="C527" s="30" t="str">
        <x:v>A number of railroads suffered damage from Hurricane Katrina. The large railroads have nearly completed repairs to their systems, while a number of smaller short lines are in the process of repairing lines. These costs are currently borne by the railroads themselves, and the Department of Transportation does not have estimates of the damages. However, a financial statement from the CSX railroad estimated damages from Hurricane Katrina to that railroad’s assets at over $40 million.</x:v>
      </x:c>
      <x:c r="D527" s="30" t="str">
        <x:v>Hurricane Katrina</x:v>
      </x:c>
      <x:c r="E527" s="30" t="str">
        <x:v>gao-06-442t.pdf</x:v>
      </x:c>
      <x:c r="F527" s="40" t="str">
        <x:v>No</x:v>
      </x:c>
      <x:c r="G527" s="40" t="n">
        <x:v>0</x:v>
      </x:c>
      <x:c r="H527" s="40" t="str">
        <x:v>Unlabeled</x:v>
      </x:c>
      <x:c r="I527" s="40"/>
      <x:c r="J527" s="40"/>
      <x:c r="K527" s="30" t="str">
        <x:v>Default No — no retained human paragraph-level label in the curated GPT Test</x:v>
      </x:c>
      <x:c r="L527" s="30"/>
      <x:c r="M527" s="40" t="str">
        <x:v>paragraph</x:v>
      </x:c>
      <x:c r="N527" s="40" t="str">
        <x:v>No</x:v>
      </x:c>
      <x:c r="O527" s="30"/>
      <x:c r="P527" s="30" t="str">
        <x:v>36:5:0;36:5:1;36:5:2;36:5:3;36:5:4;36:5:5;36:5:6</x:v>
      </x:c>
    </x:row>
    <x:row r="528" ht="45" customHeight="1">
      <x:c r="A528" s="30" t="str">
        <x:v>HK-A111</x:v>
      </x:c>
      <x:c r="B528" s="30" t="str">
        <x:v>p 36</x:v>
      </x:c>
      <x:c r="C528" s="30" t="str">
        <x:v>Numerous airports in the region were affected by the hurricanes. The Federal Aviation Administration (FAA) estimates that about $100 million will be needed from the Airport Improvement Program to pay for damage.</x:v>
      </x:c>
      <x:c r="D528" s="30" t="str">
        <x:v>Hurricane Katrina</x:v>
      </x:c>
      <x:c r="E528" s="30" t="str">
        <x:v>gao-06-442t.pdf</x:v>
      </x:c>
      <x:c r="F528" s="40" t="str">
        <x:v>No</x:v>
      </x:c>
      <x:c r="G528" s="40" t="n">
        <x:v>0</x:v>
      </x:c>
      <x:c r="H528" s="40" t="str">
        <x:v>Unlabeled</x:v>
      </x:c>
      <x:c r="I528" s="40"/>
      <x:c r="J528" s="40"/>
      <x:c r="K528" s="30" t="str">
        <x:v>Default No — no retained human paragraph-level label in the curated GPT Test</x:v>
      </x:c>
      <x:c r="L528" s="30"/>
      <x:c r="M528" s="40" t="str">
        <x:v>paragraph</x:v>
      </x:c>
      <x:c r="N528" s="40" t="str">
        <x:v>No</x:v>
      </x:c>
      <x:c r="O528" s="30"/>
      <x:c r="P528" s="30" t="str">
        <x:v>36:6:0;36:6:1;36:6:2</x:v>
      </x:c>
    </x:row>
    <x:row r="529" ht="45" customHeight="1">
      <x:c r="A529" s="30" t="str">
        <x:v>HK-A112</x:v>
      </x:c>
      <x:c r="B529" s="30" t="str">
        <x:v>p 37</x:v>
      </x:c>
      <x:c r="C529" s="30" t="str">
        <x:v>In addition, FAA estimated that its facilities sustained about $41 million in damage, for a total of $141 million.</x:v>
      </x:c>
      <x:c r="D529" s="30" t="str">
        <x:v>Hurricane Katrina</x:v>
      </x:c>
      <x:c r="E529" s="30" t="str">
        <x:v>gao-06-442t.pdf</x:v>
      </x:c>
      <x:c r="F529" s="40" t="str">
        <x:v>No</x:v>
      </x:c>
      <x:c r="G529" s="40" t="n">
        <x:v>0</x:v>
      </x:c>
      <x:c r="H529" s="40" t="str">
        <x:v>Unlabeled</x:v>
      </x:c>
      <x:c r="I529" s="40"/>
      <x:c r="J529" s="40"/>
      <x:c r="K529" s="30" t="str">
        <x:v>Default No — no retained human paragraph-level label in the curated GPT Test</x:v>
      </x:c>
      <x:c r="L529" s="30"/>
      <x:c r="M529" s="40" t="str">
        <x:v>paragraph</x:v>
      </x:c>
      <x:c r="N529" s="40" t="str">
        <x:v>No</x:v>
      </x:c>
      <x:c r="O529" s="30"/>
      <x:c r="P529" s="30" t="str">
        <x:v>37:2:0;37:2:1</x:v>
      </x:c>
    </x:row>
    <x:row r="530" ht="45" customHeight="1">
      <x:c r="A530" s="30" t="str">
        <x:v>HK-A113</x:v>
      </x:c>
      <x:c r="B530" s="30" t="str">
        <x:v>p 37</x:v>
      </x:c>
      <x:c r="C530" s="30"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D530" s="30" t="str">
        <x:v>Hurricane Katrina</x:v>
      </x:c>
      <x:c r="E530" s="30" t="str">
        <x:v>gao-06-442t.pdf</x:v>
      </x:c>
      <x:c r="F530" s="40" t="str">
        <x:v>Yes</x:v>
      </x:c>
      <x:c r="G530" s="40" t="n">
        <x:v>1</x:v>
      </x:c>
      <x:c r="H530" s="40" t="str">
        <x:v>Direct human-labeled/adjudicated</x:v>
      </x:c>
      <x:c r="I530" s="40" t="str">
        <x:v>Anmol, Kyle</x:v>
      </x:c>
      <x:c r="J530" s="40" t="str">
        <x:v>HK-008</x:v>
      </x:c>
      <x:c r="K530" s="30" t="str">
        <x:v>Retained human/adjudicated label from the curated GPT Test after PyMuPDF source reconciliation.</x:v>
      </x:c>
      <x:c r="L530" s="30" t="str">
        <x:v>This is unlearning as it identifies a problem in resettlement adn healthcare, and makes a cse for shifting away from hospital-centric system</x:v>
      </x:c>
      <x:c r="M530" s="40" t="str">
        <x:v>paragraph</x:v>
      </x:c>
      <x:c r="N530" s="40" t="str">
        <x:v>No</x:v>
      </x:c>
      <x:c r="O530" s="30"/>
      <x:c r="P530" s="30" t="str">
        <x:v>37:3:0;37:3:1;37:3:2;37:3:3;37:3:4;37:3:5;37:3:6;37:3:7;37:3:8</x:v>
      </x:c>
    </x:row>
    <x:row r="531" ht="45" customHeight="1">
      <x:c r="A531" s="30" t="str">
        <x:v>HK-A114</x:v>
      </x:c>
      <x:c r="B531" s="30" t="str">
        <x:v>p 37</x:v>
      </x:c>
      <x:c r="C531" s="30" t="str">
        <x:v>The damage inflicted by Hurricane Katrina on the New Orleans health system was severe. In particular, the Medical Center of Louisiana at New Orleans (MCLNO), which included Charity and University Hospitals, was forced to close its doors. MCLNO operated the only Level I trauma unit along the Gulf Coast. With its closure, the closest Level I trauma units are in Shreveport, Louisiana, Houston, Texas, and Birmingham, Alabama. addition, MCLNO provided more than 25,000 inpatient admissions, over 300,000 clinic visits and 135,000 emergency visits in fiscal year 2004. It was the primary safety net hospital for many local residents, and about half of its patients were uninsured and about one-third were covered by Medicaid. Under the Stafford Act, Charity Hospital is eligible for federal funds to repair Hurricane Katrina related damage. These funds, administered under FEMA’s Public Assistance Program, would be available to defray a portion of the cost to rebuild or repair Charity Hospital. FEMA and Louisiana State University, which owns Charity Hospital, have prepared estimates of the cost to repair the hospital that differ considerably in their assumptions and conclusions, and no decision has been made as to whether to rebuild or repair the facility.</x:v>
      </x:c>
      <x:c r="D531" s="30" t="str">
        <x:v>Hurricane Katrina</x:v>
      </x:c>
      <x:c r="E531" s="30" t="str">
        <x:v>gao-06-442t.pdf</x:v>
      </x:c>
      <x:c r="F531" s="40" t="str">
        <x:v>No</x:v>
      </x:c>
      <x:c r="G531" s="40" t="n">
        <x:v>0</x:v>
      </x:c>
      <x:c r="H531" s="40" t="str">
        <x:v>Unlabeled</x:v>
      </x:c>
      <x:c r="I531" s="40"/>
      <x:c r="J531" s="40"/>
      <x:c r="K531" s="30" t="str">
        <x:v>Default No — no retained human paragraph-level label in the curated GPT Test</x:v>
      </x:c>
      <x:c r="L531" s="30"/>
      <x:c r="M531" s="40" t="str">
        <x:v>paragraph</x:v>
      </x:c>
      <x:c r="N531" s="40" t="str">
        <x:v>No</x:v>
      </x:c>
      <x:c r="O531" s="30"/>
      <x:c r="P531" s="30" t="str">
        <x:v>37:3:10;37:3:11;37:3:12;37:3:13;37:3:14;37:3:15;37:3:17;37:3:18;37:3:19;37:3:20;37:3:21;37:3:22;37:3:23;37:3:24;37:3:25;37:3:26;37:3:27;37:3:28</x:v>
      </x:c>
    </x:row>
    <x:row r="532" ht="45" customHeight="1">
      <x:c r="A532" s="30" t="str">
        <x:v>HK-A115</x:v>
      </x:c>
      <x:c r="B532" s="30" t="str">
        <x:v>p 37</x:v>
      </x:c>
      <x:c r="C532" s="30" t="str">
        <x:v>Other health services in New Orleans were also severely damaged, including hospitals, emergency services, and safety net clinics.</x:v>
      </x:c>
      <x:c r="D532" s="30" t="str">
        <x:v>Hurricane Katrina</x:v>
      </x:c>
      <x:c r="E532" s="30" t="str">
        <x:v>gao-06-442t.pdf</x:v>
      </x:c>
      <x:c r="F532" s="40" t="str">
        <x:v>No</x:v>
      </x:c>
      <x:c r="G532" s="40" t="n">
        <x:v>0</x:v>
      </x:c>
      <x:c r="H532" s="40" t="str">
        <x:v>Unlabeled</x:v>
      </x:c>
      <x:c r="I532" s="40"/>
      <x:c r="J532" s="40"/>
      <x:c r="K532" s="30" t="str">
        <x:v>Default No — no retained human paragraph-level label in the curated GPT Test</x:v>
      </x:c>
      <x:c r="L532" s="30"/>
      <x:c r="M532" s="40" t="str">
        <x:v>paragraph</x:v>
      </x:c>
      <x:c r="N532" s="40" t="str">
        <x:v>No</x:v>
      </x:c>
      <x:c r="O532" s="30"/>
      <x:c r="P532" s="30" t="str">
        <x:v>37:3:30;37:3:31</x:v>
      </x:c>
    </x:row>
    <x:row r="533" ht="45" customHeight="1">
      <x:c r="A533" s="30" t="str">
        <x:v>HK-A116</x:v>
      </x:c>
      <x:c r="B533" s="30" t="str">
        <x:v>pp 37-38</x:v>
      </x:c>
      <x:c r="C533" s="30" t="str">
        <x:v>Hospitals: The number of staffed hospital beds in the City of New Orleans was about 80 percent less in February 2006 than before Hurricane Katrina, according to figures submitted daily by hospitals to an internet database about their bed capacity. Of the nine acute care hospitals in the city prior to Katrina, only 3 had re-opened at a capacity of approximately 456 staffed beds as of February 22, 2006.</x:v>
      </x:c>
      <x:c r="D533" s="30" t="str">
        <x:v>Hurricane Katrina</x:v>
      </x:c>
      <x:c r="E533" s="30" t="str">
        <x:v>gao-06-442t.pdf</x:v>
      </x:c>
      <x:c r="F533" s="40" t="str">
        <x:v>No</x:v>
      </x:c>
      <x:c r="G533" s="40" t="n">
        <x:v>0</x:v>
      </x:c>
      <x:c r="H533" s="40" t="str">
        <x:v>Unlabeled</x:v>
      </x:c>
      <x:c r="I533" s="40"/>
      <x:c r="J533" s="40"/>
      <x:c r="K533" s="30" t="str">
        <x:v>Default No — no retained human paragraph-level label in the curated GPT Test</x:v>
      </x:c>
      <x:c r="L533" s="30"/>
      <x:c r="M533" s="40" t="str">
        <x:v>paragraph</x:v>
      </x:c>
      <x:c r="N533" s="40" t="str">
        <x:v>Yes</x:v>
      </x:c>
      <x:c r="O533" s="30" t="str">
        <x:v>Footnote marker and a page break disrupted sentence order; paragraph was reconstructed across pages 37-38.</x:v>
      </x:c>
      <x:c r="P533" s="30" t="str">
        <x:v>37:3:34;37:3:35;37:3:36;38:2:1;38:2:0;38:2:2;38:2:3;38:2:4</x:v>
      </x:c>
    </x:row>
    <x:row r="534" ht="45" customHeight="1">
      <x:c r="A534" s="30" t="str">
        <x:v>HK-A117</x:v>
      </x:c>
      <x:c r="B534" s="30" t="str">
        <x:v>p 38</x:v>
      </x:c>
      <x:c r="C534" s="30" t="str">
        <x:v>Emergency Care: Increasing demand has been reported at the open emergency departments and has led to slow unloading of patients from ambulances and to patients being housed in the emergency department because beds were not available. For example, according to data reported by hospitals on February 22, 2006, wait times for emergency medical services (EMS) vehicles to offload stable patients into emergency departments varied from no wait to as long as 2 hours at two facilities, and 38 patients had been admitted and were housed in the emergency department.</x:v>
      </x:c>
      <x:c r="D534" s="30" t="str">
        <x:v>Hurricane Katrina</x:v>
      </x:c>
      <x:c r="E534" s="30" t="str">
        <x:v>gao-06-442t.pdf</x:v>
      </x:c>
      <x:c r="F534" s="40" t="str">
        <x:v>No</x:v>
      </x:c>
      <x:c r="G534" s="40" t="n">
        <x:v>0</x:v>
      </x:c>
      <x:c r="H534" s="40" t="str">
        <x:v>Unlabeled</x:v>
      </x:c>
      <x:c r="I534" s="40"/>
      <x:c r="J534" s="40"/>
      <x:c r="K534" s="30" t="str">
        <x:v>Default No — no retained human paragraph-level label in the curated GPT Test</x:v>
      </x:c>
      <x:c r="L534" s="30"/>
      <x:c r="M534" s="40" t="str">
        <x:v>paragraph</x:v>
      </x:c>
      <x:c r="N534" s="40" t="str">
        <x:v>No</x:v>
      </x:c>
      <x:c r="O534" s="30"/>
      <x:c r="P534" s="30" t="str">
        <x:v>38:2:7;38:2:8;38:2:9;38:2:10;38:2:11;38:2:12;38:2:13;38:2:14;38:2:15</x:v>
      </x:c>
    </x:row>
    <x:row r="535" ht="45" customHeight="1">
      <x:c r="A535" s="30" t="str">
        <x:v>HK-A118</x:v>
      </x:c>
      <x:c r="B535" s="30" t="str">
        <x:v>p 38</x:v>
      </x:c>
      <x:c r="C535" s="30" t="str">
        <x:v>Safety Net Clinics: More than three-fourths of the safety net clinics in the New Orleans area were closed, and many of those that were open had limited capacity, according to data gathered by officials at the Louisiana Department of Health and Hospitals (DHH). For example, prior to Katrina, 90 clinics were in operation, including 70 various clinics run by MCLNO, with the remainder federally qualified health centers, mental health or addictive disorder clinics, or other specialty clinics. Post-hurricane, 19 clinics were operating according to DHH figures, generally operating at less than 50 percent of pre-Katrina capacity.</x:v>
      </x:c>
      <x:c r="D535" s="30" t="str">
        <x:v>Hurricane Katrina</x:v>
      </x:c>
      <x:c r="E535" s="30" t="str">
        <x:v>gao-06-442t.pdf</x:v>
      </x:c>
      <x:c r="F535" s="40" t="str">
        <x:v>No</x:v>
      </x:c>
      <x:c r="G535" s="40" t="n">
        <x:v>0</x:v>
      </x:c>
      <x:c r="H535" s="40" t="str">
        <x:v>Unlabeled</x:v>
      </x:c>
      <x:c r="I535" s="40"/>
      <x:c r="J535" s="40"/>
      <x:c r="K535" s="30" t="str">
        <x:v>Default No — no retained human paragraph-level label in the curated GPT Test</x:v>
      </x:c>
      <x:c r="L535" s="30"/>
      <x:c r="M535" s="40" t="str">
        <x:v>paragraph</x:v>
      </x:c>
      <x:c r="N535" s="40" t="str">
        <x:v>No</x:v>
      </x:c>
      <x:c r="O535" s="30"/>
      <x:c r="P535" s="30" t="str">
        <x:v>38:2:18;38:2:19;38:2:20;38:2:21;38:2:22;38:2:23;38:2:24;38:2:25;38:2:26;38:2:27</x:v>
      </x:c>
    </x:row>
    <x:row r="536" ht="45" customHeight="1">
      <x:c r="A536" s="30" t="str">
        <x:v>HK-A119</x:v>
      </x:c>
      <x:c r="B536" s="30" t="str">
        <x:v>p 38</x:v>
      </x:c>
      <x:c r="C536" s="30" t="str">
        <x:v>In addition to the severe damage sustained by health facilities, maintaining and attracting the workforce is also a serious issue for local officials. An estimated 3,200 physicians lived in the metropolitan area before Hurricane Katrina, with 2,664 of those physicians residing in New Orleans itself, according to DHH figures. We were unable to obtain an estimate of how many physicians are currently in New Orleans. Hospital officials said they faced a shortage of support staff, such as food service or janitorial workers, who were unable to return due to a lack of housing or were being offered higher wages at hotels and restaurants.</x:v>
      </x:c>
      <x:c r="D536" s="30" t="str">
        <x:v>Hurricane Katrina</x:v>
      </x:c>
      <x:c r="E536" s="30" t="str">
        <x:v>gao-06-442t.pdf</x:v>
      </x:c>
      <x:c r="F536" s="40" t="str">
        <x:v>No</x:v>
      </x:c>
      <x:c r="G536" s="40" t="n">
        <x:v>0</x:v>
      </x:c>
      <x:c r="H536" s="40" t="str">
        <x:v>Unlabeled</x:v>
      </x:c>
      <x:c r="I536" s="40"/>
      <x:c r="J536" s="40"/>
      <x:c r="K536" s="30" t="str">
        <x:v>Default No — no retained human paragraph-level label in the curated GPT Test</x:v>
      </x:c>
      <x:c r="L536" s="30"/>
      <x:c r="M536" s="40" t="str">
        <x:v>paragraph</x:v>
      </x:c>
      <x:c r="N536" s="40" t="str">
        <x:v>No</x:v>
      </x:c>
      <x:c r="O536" s="30"/>
      <x:c r="P536" s="30" t="str">
        <x:v>38:2:29;38:2:30;38:2:31;38:2:32;38:2:33;38:2:34;38:2:35;38:2:36;38:2:37</x:v>
      </x:c>
    </x:row>
    <x:row r="537" ht="45" customHeight="1">
      <x:c r="A537" s="30" t="str">
        <x:v>HK-A120</x:v>
      </x:c>
      <x:c r="B537" s="30" t="str">
        <x:v>pp 38-39</x:v>
      </x:c>
      <x:c r="C537" s="30" t="str">
        <x:v>As the city struggles to restore the health system in New Orleans, long-term decisions on how to rebuild it are affected by questions about whether the health system should be rebuilt to its pre-Katrina
configuration and uncertainties about the returning population. Some health policy researchers have noted that the pre-Katrina health system in New Orleans needed improvement. Some local officials have also suggested that the health care situation prior to the hurricane was less than ideal and the city has a chance to rebuild a better system. Also, uncertainty about how quickly the population would return to New Orleans, as well as who would return and where people will settle, poses difficult challenges for local officials to plan the restoration of health services, such as how much capacity will be required and where to locate services.</x:v>
      </x:c>
      <x:c r="D537" s="30" t="str">
        <x:v>Hurricane Katrina</x:v>
      </x:c>
      <x:c r="E537" s="30" t="str">
        <x:v>gao-06-442t.pdf</x:v>
      </x:c>
      <x:c r="F537" s="40" t="str">
        <x:v>No</x:v>
      </x:c>
      <x:c r="G537" s="40" t="n">
        <x:v>0</x:v>
      </x:c>
      <x:c r="H537" s="40" t="str">
        <x:v>Unlabeled</x:v>
      </x:c>
      <x:c r="I537" s="40"/>
      <x:c r="J537" s="40"/>
      <x:c r="K537" s="30" t="str">
        <x:v>Default No — no retained human paragraph-level label in the curated GPT Test</x:v>
      </x:c>
      <x:c r="L537" s="30"/>
      <x:c r="M537" s="40" t="str">
        <x:v>paragraph</x:v>
      </x:c>
      <x:c r="N537" s="40" t="str">
        <x:v>No</x:v>
      </x:c>
      <x:c r="O537" s="30"/>
      <x:c r="P537" s="30" t="str">
        <x:v>38:2:39;38:2:40;38:2:41;39:2:0;39:2:1;39:2:2;39:2:3;39:2:4;39:2:5;39:2:6;39:2:7;39:2:8;39:2:9</x:v>
      </x:c>
    </x:row>
    <x:row r="538" ht="45" customHeight="1">
      <x:c r="A538" s="30" t="str">
        <x:v>HK-A121</x:v>
      </x:c>
      <x:c r="B538" s="30" t="str">
        <x:v>p 39</x:v>
      </x:c>
      <x:c r="C538" s="30"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D538" s="30" t="str">
        <x:v>Hurricane Katrina</x:v>
      </x:c>
      <x:c r="E538" s="30" t="str">
        <x:v>gao-06-442t.pdf</x:v>
      </x:c>
      <x:c r="F538" s="40" t="str">
        <x:v>Yes</x:v>
      </x:c>
      <x:c r="G538" s="40" t="n">
        <x:v>1</x:v>
      </x:c>
      <x:c r="H538" s="40" t="str">
        <x:v>Direct human-labeled/adjudicated</x:v>
      </x:c>
      <x:c r="I538" s="40" t="str">
        <x:v>Anmol, Kyle</x:v>
      </x:c>
      <x:c r="J538" s="40" t="str">
        <x:v>HK-009</x:v>
      </x:c>
      <x:c r="K538" s="30" t="str">
        <x:v>Retained human/adjudicated label from the curated GPT Test after PyMuPDF source reconciliation.</x:v>
      </x:c>
      <x:c r="L538" s="30" t="str">
        <x:v>Unlearning as it idenfieis fundamental shift in healthcare practice toward preventative care</x:v>
      </x:c>
      <x:c r="M538" s="40" t="str">
        <x:v>paragraph</x:v>
      </x:c>
      <x:c r="N538" s="40" t="str">
        <x:v>No</x:v>
      </x:c>
      <x:c r="O538" s="30"/>
      <x:c r="P538" s="30" t="str">
        <x:v>39:2:11;39:2:12;39:2:13;39:2:14;39:2:15;39:2:16;39:2:17;39:2:18;39:2:19;39:2:20;39:2:21;39:2:22;39:2:23;39:2:24;39:2:25;39:2:26;39:2:27;39:2:28</x:v>
      </x:c>
    </x:row>
    <x:row r="539" ht="45" customHeight="1">
      <x:c r="A539" s="30" t="str">
        <x:v>HK-A122</x:v>
      </x:c>
      <x:c r="B539" s="30" t="str">
        <x:v>pp 39-40</x:v>
      </x:c>
      <x:c r="C539" s="30" t="str">
        <x:v>Several federal agencies had their facilities damaged or destroyed by the hurricanes and may face significant costs to repair or replace them, although these costs are relatively small in relation to those I just discussed. The Department of Veterans Affairs (VA) estimated damage to its medical centers in New Orleans and Biloxi at $170 million and $50.7 million respectively. VA’s Gulfport hospital complex suffered catastrophic damage and will not be rebuilt since VA had already planned to close it. The National Aeronautics and Space Administration estimated the cost of facility repair at the Stennis Space Center in Mississippi and Michoud Assembly Facility in New Orleans at $84 million and $69 million respectively. The General Services Administration estimated the cost of repairing its owned and leased facilities and leasing alternative space at $60 million. The U.S. Postal Service estimated the cost of facility repair from Hurricane Katrina at $57 million. The Department of Interior estimated damage to facilities, which includes damages to buildings, phone systems, electrical systems, and information technology systems among other things, at about $41 million. In addition, there was damage to military bases and to shipyard repair facilities.</x:v>
      </x:c>
      <x:c r="D539" s="30" t="str">
        <x:v>Hurricane Katrina</x:v>
      </x:c>
      <x:c r="E539" s="30" t="str">
        <x:v>gao-06-442t.pdf</x:v>
      </x:c>
      <x:c r="F539" s="40" t="str">
        <x:v>No</x:v>
      </x:c>
      <x:c r="G539" s="40" t="n">
        <x:v>0</x:v>
      </x:c>
      <x:c r="H539" s="40" t="str">
        <x:v>Unlabeled</x:v>
      </x:c>
      <x:c r="I539" s="40"/>
      <x:c r="J539" s="40"/>
      <x:c r="K539" s="30" t="str">
        <x:v>Default No — no retained human paragraph-level label in the curated GPT Test</x:v>
      </x:c>
      <x:c r="L539" s="30"/>
      <x:c r="M539" s="40" t="str">
        <x:v>paragraph</x:v>
      </x:c>
      <x:c r="N539" s="40" t="str">
        <x:v>No</x:v>
      </x:c>
      <x:c r="O539" s="30"/>
      <x:c r="P539" s="30" t="str">
        <x:v>39:3:0;39:3:1;39:3:2;39:3:3;39:3:4;39:3:5;39:3:6;39:3:7;39:3:8;39:3:9;39:3:10;39:3:11;39:3:12;40:2:0;40:2:1;40:2:2;40:2:3;40:2:4</x:v>
      </x:c>
    </x:row>
    <x:row r="540" ht="45" customHeight="1">
      <x:c r="A540" s="30" t="str">
        <x:v>HK-A123</x:v>
      </x:c>
      <x:c r="B540" s="30" t="str">
        <x:v>p 40</x:v>
      </x:c>
      <x:c r="C540" s="30" t="str">
        <x:v>The federal flood insurance program faces major financial difficulties challenges as the Gulf Coast recovers. The program is essentially bankrupt. FEMA officials estimate that Hurricanes Katrina and Rita will result in flood insurance claims of about $23 billion, far surpassing the total amount of claims paid in the entire history of the National Flood Insurance Program (NFIP) through 2004.</x:v>
      </x:c>
      <x:c r="D540" s="30" t="str">
        <x:v>Hurricane Katrina</x:v>
      </x:c>
      <x:c r="E540" s="30" t="str">
        <x:v>gao-06-442t.pdf</x:v>
      </x:c>
      <x:c r="F540" s="40" t="str">
        <x:v>No</x:v>
      </x:c>
      <x:c r="G540" s="40" t="n">
        <x:v>0</x:v>
      </x:c>
      <x:c r="H540" s="40" t="str">
        <x:v>Unlabeled</x:v>
      </x:c>
      <x:c r="I540" s="40"/>
      <x:c r="J540" s="40"/>
      <x:c r="K540" s="30" t="str">
        <x:v>Default No — no retained human paragraph-level label in the curated GPT Test</x:v>
      </x:c>
      <x:c r="L540" s="30"/>
      <x:c r="M540" s="40" t="str">
        <x:v>paragraph</x:v>
      </x:c>
      <x:c r="N540" s="40" t="str">
        <x:v>No</x:v>
      </x:c>
      <x:c r="O540" s="30"/>
      <x:c r="P540" s="30" t="str">
        <x:v>40:3:1;40:3:2;40:3:3;40:3:4;40:3:5;40:3:6</x:v>
      </x:c>
    </x:row>
    <x:row r="541" ht="45" customHeight="1">
      <x:c r="A541" s="30" t="str">
        <x:v>HK-A124</x:v>
      </x:c>
      <x:c r="B541" s="30" t="str">
        <x:v>p 40</x:v>
      </x:c>
      <x:c r="C541" s="30" t="str">
        <x:v>These storms have presented, among other challenges for the NFIP, the need to adjust a record number of claims, many for properties that were inaccessible for weeks after the flooding occurred, and the need to borrow funds from the U.S. Treasury to pay the settlements due to policyholders. Almost 87,000 loss claims totaling over $8 billion were paid for Hurricane Katrina claims in Alabama, Florida, Mississippi, and Louisiana through November 30, 2005. By comparison, in 2004, the previous record year, the NFIP paid about $1.95 billion in claims on flood events, including Hurricanes Charley, Frances, Ivan, and Jeanne that caused major damage in Florida and other East Coast and Gulf Coast states. Though numbers are not finalized, a FEMA official said that by the end of December, 2005, more than 70 percent of claims for Hurricanes Katrina, Rita, and Wilma had been paid totaling more than $11 billion.</x:v>
      </x:c>
      <x:c r="D541" s="30" t="str">
        <x:v>Hurricane Katrina</x:v>
      </x:c>
      <x:c r="E541" s="30" t="str">
        <x:v>gao-06-442t.pdf</x:v>
      </x:c>
      <x:c r="F541" s="40" t="str">
        <x:v>No</x:v>
      </x:c>
      <x:c r="G541" s="40" t="n">
        <x:v>0</x:v>
      </x:c>
      <x:c r="H541" s="40" t="str">
        <x:v>Unlabeled</x:v>
      </x:c>
      <x:c r="I541" s="40"/>
      <x:c r="J541" s="40"/>
      <x:c r="K541" s="30" t="str">
        <x:v>Default No — no retained human paragraph-level label in the curated GPT Test</x:v>
      </x:c>
      <x:c r="L541" s="30"/>
      <x:c r="M541" s="40" t="str">
        <x:v>paragraph</x:v>
      </x:c>
      <x:c r="N541" s="40" t="str">
        <x:v>No</x:v>
      </x:c>
      <x:c r="O541" s="30"/>
      <x:c r="P541" s="30" t="str">
        <x:v>40:4:0;40:4:1;40:4:2;40:4:3;40:4:4;40:4:5;40:4:6;40:4:7;40:4:8;40:4:9;40:4:10;40:4:11;40:4:12</x:v>
      </x:c>
    </x:row>
    <x:row r="542" ht="45" customHeight="1">
      <x:c r="A542" s="30" t="str">
        <x:v>HK-A125</x:v>
      </x:c>
      <x:c r="B542" s="30" t="str">
        <x:v>p 40</x:v>
      </x:c>
      <x:c r="C542" s="30" t="str">
        <x:v>The amount paid per claim for flood damage in Hurricane Katrina ranged from a high of $130,281 in Mississippi to a low of $17,727 per claim in Florida. In Louisiana, where more than three fourths of the claims were filed, the average amount paid per claim was $92,549. A FEMA official noted that claims for total losses were paid quickly, so the average amount paid per claim may be less when all claims are settled. The average amount paid per claim for damage from Hurricane Rita was $52,185 in Louisiana and $24,489 in Texas.</x:v>
      </x:c>
      <x:c r="D542" s="30" t="str">
        <x:v>Hurricane Katrina</x:v>
      </x:c>
      <x:c r="E542" s="30" t="str">
        <x:v>gao-06-442t.pdf</x:v>
      </x:c>
      <x:c r="F542" s="40" t="str">
        <x:v>No</x:v>
      </x:c>
      <x:c r="G542" s="40" t="n">
        <x:v>0</x:v>
      </x:c>
      <x:c r="H542" s="40" t="str">
        <x:v>Unlabeled</x:v>
      </x:c>
      <x:c r="I542" s="40"/>
      <x:c r="J542" s="40"/>
      <x:c r="K542" s="30" t="str">
        <x:v>Default No — no retained human paragraph-level label in the curated GPT Test</x:v>
      </x:c>
      <x:c r="L542" s="30"/>
      <x:c r="M542" s="40" t="str">
        <x:v>paragraph</x:v>
      </x:c>
      <x:c r="N542" s="40" t="str">
        <x:v>No</x:v>
      </x:c>
      <x:c r="O542" s="30"/>
      <x:c r="P542" s="30" t="str">
        <x:v>40:5:0;40:5:1;40:5:2;40:5:3;40:5:4;40:5:5;40:5:6;40:5:7</x:v>
      </x:c>
    </x:row>
    <x:row r="543" ht="45" customHeight="1">
      <x:c r="A543" s="30" t="str">
        <x:v>HK-A126</x:v>
      </x:c>
      <x:c r="B543" s="30" t="str">
        <x:v>pp 40-41</x:v>
      </x:c>
      <x:c r="C543" s="30" t="str">
        <x:v>The magnitude and severity of the flood losses from Hurricanes Katrina and Rita overwhelmed the ability of the NFIP to absorb the costs of paying claims, providing an illustration of the extent to which the federal government is exposed to claims coverage in catastrophic loss years. As of March 1, 2006, FEMA’s authority to borrow from the U.S. Treasury was increased from $1.5 billion prior to the 2004 hurricane season to $18.5 billion through fiscal year 2008. While no determinations have been made about whether the NFIP will repay any of the debt, it is unlikely that the program could generate sufficient revenues to cover the enormous losses.</x:v>
      </x:c>
      <x:c r="D543" s="30" t="str">
        <x:v>Hurricane Katrina</x:v>
      </x:c>
      <x:c r="E543" s="30" t="str">
        <x:v>gao-06-442t.pdf</x:v>
      </x:c>
      <x:c r="F543" s="40" t="str">
        <x:v>No</x:v>
      </x:c>
      <x:c r="G543" s="40" t="n">
        <x:v>0</x:v>
      </x:c>
      <x:c r="H543" s="40" t="str">
        <x:v>Unlabeled</x:v>
      </x:c>
      <x:c r="I543" s="40"/>
      <x:c r="J543" s="40"/>
      <x:c r="K543" s="30" t="str">
        <x:v>Default No — no retained human paragraph-level label in the curated GPT Test</x:v>
      </x:c>
      <x:c r="L543" s="30"/>
      <x:c r="M543" s="40" t="str">
        <x:v>paragraph</x:v>
      </x:c>
      <x:c r="N543" s="40" t="str">
        <x:v>No</x:v>
      </x:c>
      <x:c r="O543" s="30"/>
      <x:c r="P543" s="30" t="str">
        <x:v>40:6:0;40:6:1;40:6:2;40:6:3;40:6:4;40:6:5;41:2:0;41:2:1;41:2:2;41:2:3</x:v>
      </x:c>
    </x:row>
    <x:row r="544" ht="45" customHeight="1">
      <x:c r="A544" s="30" t="str">
        <x:v>HK-A127</x:v>
      </x:c>
      <x:c r="B544" s="30" t="str">
        <x:v>p 41</x:v>
      </x:c>
      <x:c r="C544" s="30" t="str">
        <x:v>Until the 2004 hurricane season, FEMA had exercised its borrowing authority three times in the last decade when losses exceeded available fund balances. In each instance, FEMA repaid the funds with interest. According to FEMA officials, as of August 31, 2005, FEMA had outstanding borrowing of $225 million with cash on hand totaling $289 million. FEMA had substantially repaid the borrowing it had undertaken to pay losses incurred for the 2004 hurricane season that, until Hurricane Katrina struck, was the worst hurricane season on record for the NFIP. FEMA’s current debt with the U.S. Treasury is almost entirely for payment from flood events that occurred in 2005. We currently have work underway examining the challenges facing the NFIP and options for improving the program.</x:v>
      </x:c>
      <x:c r="D544" s="30" t="str">
        <x:v>Hurricane Katrina</x:v>
      </x:c>
      <x:c r="E544" s="30" t="str">
        <x:v>gao-06-442t.pdf</x:v>
      </x:c>
      <x:c r="F544" s="40" t="str">
        <x:v>No</x:v>
      </x:c>
      <x:c r="G544" s="40" t="n">
        <x:v>0</x:v>
      </x:c>
      <x:c r="H544" s="40" t="str">
        <x:v>Unlabeled</x:v>
      </x:c>
      <x:c r="I544" s="40"/>
      <x:c r="J544" s="40"/>
      <x:c r="K544" s="30" t="str">
        <x:v>Default No — no retained human paragraph-level label in the curated GPT Test</x:v>
      </x:c>
      <x:c r="L544" s="30"/>
      <x:c r="M544" s="40" t="str">
        <x:v>paragraph</x:v>
      </x:c>
      <x:c r="N544" s="40" t="str">
        <x:v>No</x:v>
      </x:c>
      <x:c r="O544" s="30"/>
      <x:c r="P544" s="30" t="str">
        <x:v>41:3:0;41:3:1;41:3:2;41:3:3;41:3:4;41:3:5;41:3:6;41:3:7;41:3:8;41:3:9;41:3:10;41:3:11</x:v>
      </x:c>
    </x:row>
    <x:row r="545" ht="45" customHeight="1">
      <x:c r="A545" s="30" t="str">
        <x:v>HK-A128</x:v>
      </x:c>
      <x:c r="B545" s="30" t="str">
        <x:v>p 41</x:v>
      </x:c>
      <x:c r="C545" s="30" t="str">
        <x:v>Flood maps are the foundation of the NFIP. They identify the areas at risk of flooding, and accurate, updated flood maps are a critical component for devastated communities in Mississippi and Louisiana, in particular, for making decisions about where and how to rebuild. Thus, new maps for these areas need to be expedited and completed as soon as possible.</x:v>
      </x:c>
      <x:c r="D545" s="30" t="str">
        <x:v>Hurricane Katrina</x:v>
      </x:c>
      <x:c r="E545" s="30" t="str">
        <x:v>gao-06-442t.pdf</x:v>
      </x:c>
      <x:c r="F545" s="40" t="str">
        <x:v>No</x:v>
      </x:c>
      <x:c r="G545" s="40" t="n">
        <x:v>0</x:v>
      </x:c>
      <x:c r="H545" s="40" t="str">
        <x:v>Unlabeled</x:v>
      </x:c>
      <x:c r="I545" s="40"/>
      <x:c r="J545" s="40"/>
      <x:c r="K545" s="30" t="str">
        <x:v>Default No — no retained human paragraph-level label in the curated GPT Test</x:v>
      </x:c>
      <x:c r="L545" s="30"/>
      <x:c r="M545" s="40" t="str">
        <x:v>paragraph</x:v>
      </x:c>
      <x:c r="N545" s="40" t="str">
        <x:v>No</x:v>
      </x:c>
      <x:c r="O545" s="30"/>
      <x:c r="P545" s="30" t="str">
        <x:v>41:4:0;41:4:1;41:4:2;41:4:3;41:4:4</x:v>
      </x:c>
    </x:row>
    <x:row r="546" ht="45" customHeight="1">
      <x:c r="A546" s="30" t="str">
        <x:v>HK-A129</x:v>
      </x:c>
      <x:c r="B546" s="30" t="str">
        <x:v>p 41</x:v>
      </x:c>
      <x:c r="C546" s="30" t="str">
        <x:v>As of January 2006, FEMA had not yet fully implemented provisions of the Flood Insurance Reform Act of 2004, including establishing a regulatory appeals process for claimants and establishing minimum education and training requirements for insurance agents who sell NFIP policies. These reforms should also be completed expeditiously, and we have recommended that FEMA develop documented plans with milestones for implementing the reforms required by the 2004 legislation.</x:v>
      </x:c>
      <x:c r="D546" s="30" t="str">
        <x:v>Hurricane Katrina</x:v>
      </x:c>
      <x:c r="E546" s="30" t="str">
        <x:v>gao-06-442t.pdf</x:v>
      </x:c>
      <x:c r="F546" s="40" t="str">
        <x:v>No</x:v>
      </x:c>
      <x:c r="G546" s="40" t="n">
        <x:v>0</x:v>
      </x:c>
      <x:c r="H546" s="40" t="str">
        <x:v>Unlabeled</x:v>
      </x:c>
      <x:c r="I546" s="40"/>
      <x:c r="J546" s="40"/>
      <x:c r="K546" s="30" t="str">
        <x:v>Default No — no retained human paragraph-level label in the curated GPT Test</x:v>
      </x:c>
      <x:c r="L546" s="30"/>
      <x:c r="M546" s="40" t="str">
        <x:v>paragraph</x:v>
      </x:c>
      <x:c r="N546" s="40" t="str">
        <x:v>No</x:v>
      </x:c>
      <x:c r="O546" s="30"/>
      <x:c r="P546" s="30" t="str">
        <x:v>41:5:0;41:5:1;41:5:2;41:5:3;41:5:4;41:5:5;41:5:6</x:v>
      </x:c>
    </x:row>
    <x:row r="547" ht="45" customHeight="1">
      <x:c r="A547" s="30" t="str">
        <x:v>HK-A130</x:v>
      </x:c>
      <x:c r="B547" s="30" t="str">
        <x:v>pp 41-42</x:v>
      </x:c>
      <x:c r="C547" s="30" t="str">
        <x:v>We have initiated work to identify and assess the factors that have affected the Small Business Administration’s (SBA) ability to respond to disaster victims through its disaster loan program in a timely manner. As the primary federal lender to disaster victims, including individual homeowners, renters, and businesses, SBA’s ability to process and disburse loans in a timely manner is critical to the recovery of the Gulf Coast region. As of February 25, 2006, SBA had mailed out more than 1.6 million loan applications, received over 337,800 completed applications, processed more than 230,900 applications, and disbursed about $426.8 million in disaster loan funds. Although SBA’s current goal is to process loan applications within seven to 21 days, as of February 25, 2006, SBA faced a backlog of about 103,300 applications in loan processing pending a final decision, and the average age of these applications is about 94 days. At the average rate SBA processed loans during the past month, it will take the agency 51 days to process its current backlog. However, this figure will be further affected by the number of new loan applications that are being received daily. SBA also faces a backlog of more than 37,100 loan applications that have been approved but have not been closed or fully disbursed. As a result, disaster victims in the Gulf Region have not been receiving timely assistance in recovering from this disaster and rebuilding their lives.</x:v>
      </x:c>
      <x:c r="D547" s="30" t="str">
        <x:v>Hurricane Katrina</x:v>
      </x:c>
      <x:c r="E547" s="30" t="str">
        <x:v>gao-06-442t.pdf</x:v>
      </x:c>
      <x:c r="F547" s="40" t="str">
        <x:v>No</x:v>
      </x:c>
      <x:c r="G547" s="40" t="n">
        <x:v>0</x:v>
      </x:c>
      <x:c r="H547" s="40" t="str">
        <x:v>Unlabeled</x:v>
      </x:c>
      <x:c r="I547" s="40"/>
      <x:c r="J547" s="40"/>
      <x:c r="K547" s="30" t="str">
        <x:v>Default No — no retained human paragraph-level label in the curated GPT Test</x:v>
      </x:c>
      <x:c r="L547" s="30"/>
      <x:c r="M547" s="40" t="str">
        <x:v>paragraph</x:v>
      </x:c>
      <x:c r="N547" s="40" t="str">
        <x:v>No</x:v>
      </x:c>
      <x:c r="O547" s="30"/>
      <x:c r="P547" s="30" t="str">
        <x:v>41:6:1;41:6:2;41:6:3;41:6:4;41:6:5;41:6:6;41:6:7;41:6:8;41:6:9;41:6:10;42:2:0;42:2:1;42:2:2;42:2:3;42:2:4;42:2:5;42:2:6;42:2:7;42:2:8;42:2:9;42:2:10</x:v>
      </x:c>
    </x:row>
    <x:row r="548" ht="45" customHeight="1">
      <x:c r="A548" s="30" t="str">
        <x:v>HK-A131</x:v>
      </x:c>
      <x:c r="B548" s="30" t="str">
        <x:v>p 42</x:v>
      </x:c>
      <x:c r="C548" s="30" t="str">
        <x:v>Based on our preliminary analysis of SBA’s disaster loan origination process, we have identified several factors that have affected SBA’s ability to provide a timely response to Gulf Coast disaster victims. First, the volume of loan applications SBA mailed out and received has far exceeded any previous disaster. Compared with the Florida hurricanes of 2004 or the 1994 Northridge earthquake, the hurricanes that hit the Gulf Coast in 2005 resulted in roughly 2 to 3 times as many loan applications issued. Second, although SBA’s new disaster loan processing system provides opportunities to streamline the loan origination process, it has experienced numerous outages and slow response times in accessing information. However, we have not yet determined the duration and impact of these outages on processing. SBA officials have attributed many of these problems to a combination of hardware and telecommunications capacity limitations as well as the level of service SBA has received from its contractors. Third, SBA’s planning efforts to address a disaster of this magnitude appear to have been inadequate. Although SBA’s disaster planning efforts focused primarily on responding to a disaster the size of the Northridge earthquake, SBA officials said that it initially lacked the critical resources such as office space, staff, phones, computers, and other resources to process loans for this disaster. SBA has participated in disaster simulations only on a limited basis and it is unclear whether previous disaster simulations of category 4 hurricanes hitting the New Orleans area were considered.</x:v>
      </x:c>
      <x:c r="D548" s="30" t="str">
        <x:v>Hurricane Katrina</x:v>
      </x:c>
      <x:c r="E548" s="30" t="str">
        <x:v>gao-06-442t.pdf</x:v>
      </x:c>
      <x:c r="F548" s="40" t="str">
        <x:v>No</x:v>
      </x:c>
      <x:c r="G548" s="40" t="n">
        <x:v>0</x:v>
      </x:c>
      <x:c r="H548" s="40" t="str">
        <x:v>Unlabeled</x:v>
      </x:c>
      <x:c r="I548" s="40"/>
      <x:c r="J548" s="40"/>
      <x:c r="K548" s="30" t="str">
        <x:v>Default No — no retained human paragraph-level label in the curated GPT Test</x:v>
      </x:c>
      <x:c r="L548" s="30"/>
      <x:c r="M548" s="40" t="str">
        <x:v>paragraph</x:v>
      </x:c>
      <x:c r="N548" s="40" t="str">
        <x:v>No</x:v>
      </x:c>
      <x:c r="O548" s="30"/>
      <x:c r="P548" s="30" t="str">
        <x:v>42:3:0;42:3:1;42:3:2;42:3:3;42:3:4;42:3:5;42:3:6;42:3:8;42:3:9;42:3:10;42:3:11;42:3:12;42:3:13;42:3:14;42:3:15;42:3:16;42:3:17;42:3:18;42:3:19;42:3:20;42:3:21;42:3:22;42:3:23</x:v>
      </x:c>
    </x:row>
    <x:row r="549" ht="45" customHeight="1">
      <x:c r="A549" s="30" t="str">
        <x:v>HK-A132</x:v>
      </x:c>
      <x:c r="B549" s="30" t="str">
        <x:v>p 43</x:v>
      </x:c>
      <x:c r="C549" s="30" t="str">
        <x:v>We are also assessing other factors that have affected SBA’s ability to provide timely loans to the disaster victims in the Gulf region including workforce transformation, exercising its regulatory authority to streamline program requirements and delivery to meet the needs of disaster victims, coordination with state and local government agencies, SBA’s efforts to publicize the benefits offered by the disaster loan program, and the limits that exist on the use of disaster loan funds.</x:v>
      </x:c>
      <x:c r="D549" s="30" t="str">
        <x:v>Hurricane Katrina</x:v>
      </x:c>
      <x:c r="E549" s="30" t="str">
        <x:v>gao-06-442t.pdf</x:v>
      </x:c>
      <x:c r="F549" s="40" t="str">
        <x:v>No</x:v>
      </x:c>
      <x:c r="G549" s="40" t="n">
        <x:v>0</x:v>
      </x:c>
      <x:c r="H549" s="40" t="str">
        <x:v>Unlabeled</x:v>
      </x:c>
      <x:c r="I549" s="40"/>
      <x:c r="J549" s="40"/>
      <x:c r="K549" s="30" t="str">
        <x:v>Default No — no retained human paragraph-level label in the curated GPT Test</x:v>
      </x:c>
      <x:c r="L549" s="30"/>
      <x:c r="M549" s="40" t="str">
        <x:v>paragraph</x:v>
      </x:c>
      <x:c r="N549" s="40" t="str">
        <x:v>No</x:v>
      </x:c>
      <x:c r="O549" s="30"/>
      <x:c r="P549" s="30" t="str">
        <x:v>43:2:0;43:2:1;43:2:2;43:2:3;43:2:4;43:2:5;43:2:6</x:v>
      </x:c>
    </x:row>
    <x:row r="550" ht="45" customHeight="1">
      <x:c r="A550" s="30" t="str">
        <x:v>HK-A133</x:v>
      </x:c>
      <x:c r="B550" s="30" t="str">
        <x:v>p 43</x:v>
      </x:c>
      <x:c r="C550" s="30" t="str">
        <x:v>The magnitude and severity of Hurricane Katrina and other recent catastrophes also impacted the insurance industry’s willingness and ability to provide insurance protection for catastrophic disasters. A crucial aspect of being able to successfully provide such coverage is the ability to obtain what the industry refers to as credible “vulnerability assessments” or risk assessments. To be useful, a risk assessment must be able to estimate both the likely “frequency” and “severity” of catastrophic events— two key characteristics that insurance companies need to assess the probability and financial significance of a loss. In addition, based on credible information, insurers must be able to estimate both their “probable maximum loss (PML),” an estimate of the maximum dollar value that can be lost under realistic conditions, and their “maximum foreseeable loss (MFL),” an estimate of the maximum dollar loss under a worst-case scenario. Risk assessments can be used to provide a basis for making loss projections for catastrophes such as hurricanes or earthquakes, although the projections may not be accurate. Insurance companies use these estimates to determine the amount of coverage and the price at which to offer coverage within a geographic area. Potential losses are acceptable if the probability that they may occur is understood and companies can set prices that fully reflect the consequences of a specific risk. When projections fail to anticipate an event, such as an earthquake, or underestimate the severity of an event, such as Hurricane Katrina, insurance companies may become insolvent, as happened in the aftermath of Hurricane Andrew, or may choose to reduce the amount of coverage offered in a given area, as happened for wind losses in Florida and for earthquakes in California.</x:v>
      </x:c>
      <x:c r="D550" s="30" t="str">
        <x:v>Hurricane Katrina</x:v>
      </x:c>
      <x:c r="E550" s="30" t="str">
        <x:v>gao-06-442t.pdf</x:v>
      </x:c>
      <x:c r="F550" s="40" t="str">
        <x:v>No</x:v>
      </x:c>
      <x:c r="G550" s="40" t="n">
        <x:v>0</x:v>
      </x:c>
      <x:c r="H550" s="40" t="str">
        <x:v>Unlabeled</x:v>
      </x:c>
      <x:c r="I550" s="40"/>
      <x:c r="J550" s="40"/>
      <x:c r="K550" s="30" t="str">
        <x:v>Default No — no retained human paragraph-level label in the curated GPT Test</x:v>
      </x:c>
      <x:c r="L550" s="30"/>
      <x:c r="M550" s="40" t="str">
        <x:v>paragraph</x:v>
      </x:c>
      <x:c r="N550" s="40" t="str">
        <x:v>No</x:v>
      </x:c>
      <x:c r="O550" s="30"/>
      <x:c r="P550" s="30" t="str">
        <x:v>43:3:1;43:3:2;43:3:3;43:3:4;43:3:5;43:3:6;43:3:7;43:3:8;43:3:9;43:3:10;43:3:11;43:3:12;43:3:13;43:3:14;43:3:15;43:3:16;43:3:17;43:3:18;43:3:19;43:3:20;43:3:21;43:3:22;43:3:23;43:3:24;43:3:25;43:3:26</x:v>
      </x:c>
    </x:row>
    <x:row r="551" ht="45" customHeight="1">
      <x:c r="A551" s="30" t="str">
        <x:v>HK-A134</x:v>
      </x:c>
      <x:c r="B551" s="30" t="str">
        <x:v>pp 43-44</x:v>
      </x:c>
      <x:c r="C551" s="30" t="str">
        <x:v>While the practice of risk assessment has become more sophisticated in recent years, the ability of such assessments to estimate losses remains inexact, particularly for many potential catastrophes. These assessments are typically undertaken by risk modeling companies that assist clients, such as insurance companies, with predicting and managing the financial impact of catastrophes and weather. In addition, as demonstrated by Hurricane Katrina, estimating the amount of losses that insurers could pay for an event is also contingent on unforeseen circumstances, such as the unusual magnitude and consequences of the Hurricane Katrina storm surge. In addition, as a result of Hurricane Katrina, hundreds of thousands of buildings may have suffered damage from both the hurricane’s winds and the storm surge. Because determining which factor caused the damage to a given structure is difficult and sometimes contentious, estimates of the amount that private insurers ultimately will pay to cover the costs of Hurricane Katrina are still very preliminary.</x:v>
      </x:c>
      <x:c r="D551" s="30" t="str">
        <x:v>Hurricane Katrina</x:v>
      </x:c>
      <x:c r="E551" s="30" t="str">
        <x:v>gao-06-442t.pdf</x:v>
      </x:c>
      <x:c r="F551" s="40" t="str">
        <x:v>No</x:v>
      </x:c>
      <x:c r="G551" s="40" t="n">
        <x:v>0</x:v>
      </x:c>
      <x:c r="H551" s="40" t="str">
        <x:v>Unlabeled</x:v>
      </x:c>
      <x:c r="I551" s="40"/>
      <x:c r="J551" s="40"/>
      <x:c r="K551" s="30" t="str">
        <x:v>Default No — no retained human paragraph-level label in the curated GPT Test</x:v>
      </x:c>
      <x:c r="L551" s="30"/>
      <x:c r="M551" s="40" t="str">
        <x:v>paragraph</x:v>
      </x:c>
      <x:c r="N551" s="40" t="str">
        <x:v>No</x:v>
      </x:c>
      <x:c r="O551" s="30"/>
      <x:c r="P551" s="30" t="str">
        <x:v>43:4:0;43:4:1;43:4:2;43:4:3;43:4:4;43:4:5;43:4:6;44:2:0;44:2:1;44:2:2;44:2:3;44:2:4;44:2:5;44:2:6;44:2:7</x:v>
      </x:c>
    </x:row>
    <x:row r="552" ht="45" customHeight="1">
      <x:c r="A552" s="30" t="str">
        <x:v>HK-A135</x:v>
      </x:c>
      <x:c r="B552" s="30" t="str">
        <x:v>p 44</x:v>
      </x:c>
      <x:c r="C552" s="30" t="str">
        <x:v>Because catastrophic disasters are likely to occur in the future, and because forecasting their probability and severity is an inexact science, state insurance regulators have recommended that the federal government provide a final layer of insurance protection in the event of a “megacatastrophe.” The National Association of Insurance Commissioners (NAIC) is considering a broad national plan that would create a mechanism to handle disasters, especially those larger than Hurricane Katrina. The plan proposes a public-private partnership that would reward hazard mitigation and spread catastrophic risk broadly among individual insureds, insurers, reinsurers, state reinsurance funds, and the federal government, according to NAIC. The federal government could provide a top layer of protection by acting as a reinsurer of last resort or, alternatively, by providing financial capacity to a multi-state risk pooling mechanism that could borrow from the federal government should catastrophic losses exceed the pool’s accumulated funds. This plan is similar in scope to the Terrorism Risk Insurance Act (TRIA), which Congress enacted to create a program of shared public and private compensation for insured losses attributable to acts of terrorism. Under the NAIC plan, however, taxpayers would presumably not have to pay for losses. Furthermore, the NAIC plan asserts that if state and federal governments insured the top layers of catastrophe risk, private insurers would continue to insure the initial layer of risk that they might otherwise not insure.</x:v>
      </x:c>
      <x:c r="D552" s="30" t="str">
        <x:v>Hurricane Katrina</x:v>
      </x:c>
      <x:c r="E552" s="30" t="str">
        <x:v>gao-06-442t.pdf</x:v>
      </x:c>
      <x:c r="F552" s="40" t="str">
        <x:v>No</x:v>
      </x:c>
      <x:c r="G552" s="40" t="n">
        <x:v>0</x:v>
      </x:c>
      <x:c r="H552" s="40" t="str">
        <x:v>Unlabeled</x:v>
      </x:c>
      <x:c r="I552" s="40"/>
      <x:c r="J552" s="40"/>
      <x:c r="K552" s="30" t="str">
        <x:v>Default No — no retained human paragraph-level label in the curated GPT Test</x:v>
      </x:c>
      <x:c r="L552" s="30"/>
      <x:c r="M552" s="40" t="str">
        <x:v>paragraph</x:v>
      </x:c>
      <x:c r="N552" s="40" t="str">
        <x:v>No</x:v>
      </x:c>
      <x:c r="O552" s="30"/>
      <x:c r="P552" s="30" t="str">
        <x:v>44:3:0;44:3:1;44:3:2;44:3:3;44:3:4;44:3:5;44:3:6;44:3:7;44:3:8;44:3:9;44:3:10;44:3:11;44:3:12;44:3:13;44:3:14;44:3:15;44:3:16;44:3:17;44:3:18;44:3:19;44:3:20;44:3:21;44:3:22</x:v>
      </x:c>
    </x:row>
    <x:row r="553" ht="45" customHeight="1">
      <x:c r="A553" s="30" t="str">
        <x:v>HK-A136</x:v>
      </x:c>
      <x:c r="B553" s="30" t="str">
        <x:v>p 44</x:v>
      </x:c>
      <x:c r="C553" s="30" t="str">
        <x:v>However, some in the insurance industry oppose additional government involvement and others have set forth alternative proposals. Some insurance company representatives believe that the private market for catastrophic coverage for natural events continues to exist and that insurance costs should be based upon free market principles. Still others have proposed that insurance companies be permitted to set aside additional catastrophic disaster reserves on a pre-tax basis. Supporters of tax-deductible reserves argue that the tax-free status would give insurers a financial incentive to increase their reserves and expand insurers’ capacity to cover catastrophic risks and avoid insolvency.</x:v>
      </x:c>
      <x:c r="D553" s="30" t="str">
        <x:v>Hurricane Katrina</x:v>
      </x:c>
      <x:c r="E553" s="30" t="str">
        <x:v>gao-06-442t.pdf</x:v>
      </x:c>
      <x:c r="F553" s="40" t="str">
        <x:v>No</x:v>
      </x:c>
      <x:c r="G553" s="40" t="n">
        <x:v>0</x:v>
      </x:c>
      <x:c r="H553" s="40" t="str">
        <x:v>Unlabeled</x:v>
      </x:c>
      <x:c r="I553" s="40"/>
      <x:c r="J553" s="40"/>
      <x:c r="K553" s="30" t="str">
        <x:v>Default No — no retained human paragraph-level label in the curated GPT Test</x:v>
      </x:c>
      <x:c r="L553" s="30"/>
      <x:c r="M553" s="40" t="str">
        <x:v>paragraph</x:v>
      </x:c>
      <x:c r="N553" s="40" t="str">
        <x:v>No</x:v>
      </x:c>
      <x:c r="O553" s="30"/>
      <x:c r="P553" s="30" t="str">
        <x:v>44:4:0;44:4:1;44:4:2;44:4:3;44:4:4;44:4:5;44:4:6;44:4:7;44:4:8;44:4:9</x:v>
      </x:c>
    </x:row>
    <x:row r="554" ht="45" customHeight="1">
      <x:c r="A554" s="30" t="str">
        <x:v>HK-A137</x:v>
      </x:c>
      <x:c r="B554" s="30" t="str">
        <x:v>p 45</x:v>
      </x:c>
      <x:c r="C554" s="30" t="str">
        <x:v>We anticipate undertaking work that would examine the merits of involving federal and state governments in alternative methods of insuring against catastrophic disasters—for example, by acting in a reinsurance capacity. We will continue to monitor legislation and proposals aimed at the long-term restoration of the Gulf Coast, such as the recently passed Gulf Opportunity Zone Act of 2005, which contains a variety of tax-related incentives designed to encourage rehabilitation in the region.</x:v>
      </x:c>
      <x:c r="D554" s="30" t="str">
        <x:v>Hurricane Katrina</x:v>
      </x:c>
      <x:c r="E554" s="30" t="str">
        <x:v>gao-06-442t.pdf</x:v>
      </x:c>
      <x:c r="F554" s="40" t="str">
        <x:v>No</x:v>
      </x:c>
      <x:c r="G554" s="40" t="n">
        <x:v>0</x:v>
      </x:c>
      <x:c r="H554" s="40" t="str">
        <x:v>Unlabeled</x:v>
      </x:c>
      <x:c r="I554" s="40"/>
      <x:c r="J554" s="40"/>
      <x:c r="K554" s="30" t="str">
        <x:v>Default No — no retained human paragraph-level label in the curated GPT Test</x:v>
      </x:c>
      <x:c r="L554" s="30"/>
      <x:c r="M554" s="40" t="str">
        <x:v>paragraph</x:v>
      </x:c>
      <x:c r="N554" s="40" t="str">
        <x:v>No</x:v>
      </x:c>
      <x:c r="O554" s="30"/>
      <x:c r="P554" s="30" t="str">
        <x:v>45:2:0;45:2:1;45:2:2;45:2:3;45:2:4;45:2:5;45:2:6</x:v>
      </x:c>
    </x:row>
    <x:row r="555" ht="45" customHeight="1">
      <x:c r="A555" s="30" t="str">
        <x:v>HK-A138</x:v>
      </x:c>
      <x:c r="B555" s="30" t="str">
        <x:v>p 45</x:v>
      </x:c>
      <x:c r="C555" s="30" t="str">
        <x:v>As we move forward, long-term rebuilding in the Gulf Coast raises issues concerning the need for consensus on what rebuilding should be done, where and based on what standards, who will pay for what, and what oversight is needed to ensure federal funds are spent for their intended purposes. Over 20 years ago, we issued a report describing the U.S. government’s involvement and experience in four large-scale assistance programs (Conrail, Lockheed, New York City, and Chrysler) and suggested guidelines for future programs in helping other failing firms or 24 That report described four conditions that we suggested municipalities. the Congress could use as a framework of ideas about how to structure future financial assistance programs and what program requirements to include to achieve Congressional goals and objectives while minimizing the risk of financial loss to the government. Congress might consider such guidelines as it considers federal assistance to the Gulf Coast for restoration:</x:v>
      </x:c>
      <x:c r="D555" s="30" t="str">
        <x:v>Hurricane Katrina</x:v>
      </x:c>
      <x:c r="E555" s="30" t="str">
        <x:v>gao-06-442t.pdf</x:v>
      </x:c>
      <x:c r="F555" s="40" t="str">
        <x:v>No</x:v>
      </x:c>
      <x:c r="G555" s="40" t="n">
        <x:v>0</x:v>
      </x:c>
      <x:c r="H555" s="40" t="str">
        <x:v>Unlabeled</x:v>
      </x:c>
      <x:c r="I555" s="40"/>
      <x:c r="J555" s="40"/>
      <x:c r="K555" s="30" t="str">
        <x:v>Default No — no retained human paragraph-level label in the curated GPT Test</x:v>
      </x:c>
      <x:c r="L555" s="30"/>
      <x:c r="M555" s="40" t="str">
        <x:v>paragraph</x:v>
      </x:c>
      <x:c r="N555" s="40" t="str">
        <x:v>No</x:v>
      </x:c>
      <x:c r="O555" s="30"/>
      <x:c r="P555" s="30" t="str">
        <x:v>45:3:1;45:3:2;45:3:3;45:3:4;45:3:5;45:3:6;45:3:7;45:3:8;45:3:10;45:3:9;45:3:11;45:3:12;45:3:13;45:3:14;45:3:15;45:3:16</x:v>
      </x:c>
    </x:row>
    <x:row r="556" ht="45" customHeight="1">
      <x:c r="A556" s="30" t="str">
        <x:v>HK-A139</x:v>
      </x:c>
      <x:c r="B556" s="30" t="str">
        <x:v>p 45</x:v>
      </x:c>
      <x:c r="C556" s="30" t="str">
        <x:v>The scope of the problem should be identified, such as if the problem reflects broader industry-wide or regional economic conditions. For the Gulf Coast, this would involve financial and economic analyses, perhaps utilizing current studies of prior conditions and the ongoing progress of recovery and rebuilding.</x:v>
      </x:c>
      <x:c r="D556" s="30" t="str">
        <x:v>Hurricane Katrina</x:v>
      </x:c>
      <x:c r="E556" s="30" t="str">
        <x:v>gao-06-442t.pdf</x:v>
      </x:c>
      <x:c r="F556" s="40" t="str">
        <x:v>No</x:v>
      </x:c>
      <x:c r="G556" s="40" t="n">
        <x:v>0</x:v>
      </x:c>
      <x:c r="H556" s="40" t="str">
        <x:v>Unlabeled</x:v>
      </x:c>
      <x:c r="I556" s="40"/>
      <x:c r="J556" s="40"/>
      <x:c r="K556" s="30" t="str">
        <x:v>Default No — no retained human paragraph-level label in the curated GPT Test</x:v>
      </x:c>
      <x:c r="L556" s="30"/>
      <x:c r="M556" s="40" t="str">
        <x:v>paragraph</x:v>
      </x:c>
      <x:c r="N556" s="40" t="str">
        <x:v>No</x:v>
      </x:c>
      <x:c r="O556" s="30"/>
      <x:c r="P556" s="30" t="str">
        <x:v>45:4:1;45:4:2;45:4:3;45:4:4;45:4:5</x:v>
      </x:c>
    </x:row>
    <x:row r="557" ht="45" customHeight="1">
      <x:c r="A557" s="30" t="str">
        <x:v>HK-A140</x:v>
      </x:c>
      <x:c r="B557" s="30" t="str">
        <x:v>p 45</x:v>
      </x:c>
      <x:c r="C557" s="30" t="str">
        <x:v>The effect of the problem on the national interest should be clearly established, for example, whether the problem presents potentially large economy-wide or regional consequences. For example, in the Gulf Coast, Congress might consider the costs of municipal and corporate collapse and the challenges associated with providing assistance.</x:v>
      </x:c>
      <x:c r="D557" s="30" t="str">
        <x:v>Hurricane Katrina</x:v>
      </x:c>
      <x:c r="E557" s="30" t="str">
        <x:v>gao-06-442t.pdf</x:v>
      </x:c>
      <x:c r="F557" s="40" t="str">
        <x:v>No</x:v>
      </x:c>
      <x:c r="G557" s="40" t="n">
        <x:v>0</x:v>
      </x:c>
      <x:c r="H557" s="40" t="str">
        <x:v>Unlabeled</x:v>
      </x:c>
      <x:c r="I557" s="40"/>
      <x:c r="J557" s="40"/>
      <x:c r="K557" s="30" t="str">
        <x:v>Default No — no retained human paragraph-level label in the curated GPT Test</x:v>
      </x:c>
      <x:c r="L557" s="30"/>
      <x:c r="M557" s="40" t="str">
        <x:v>paragraph</x:v>
      </x:c>
      <x:c r="N557" s="40" t="str">
        <x:v>No</x:v>
      </x:c>
      <x:c r="O557" s="30"/>
      <x:c r="P557" s="30" t="str">
        <x:v>45:4:8;45:4:9;45:4:10;45:4:11;45:4:12</x:v>
      </x:c>
    </x:row>
    <x:row r="558" ht="45" customHeight="1">
      <x:c r="A558" s="30" t="str">
        <x:v>HK-A141</x:v>
      </x:c>
      <x:c r="B558" s="30" t="str">
        <x:v>pp 45-46</x:v>
      </x:c>
      <x:c r="C558" s="30" t="str">
        <x:v>The legislative goals and objectives associated with the response should be clear, concise, and consistent. For example, in the Gulf Coast, goals and
objectives for rebuilding should be clearly stated, working with the state and local groups already tasked with recovery planning and with the Administration’s Coordinator of Federal Support for the Recovery and Rebuilding of the Gulf Coast region.</x:v>
      </x:c>
      <x:c r="D558" s="30" t="str">
        <x:v>Hurricane Katrina</x:v>
      </x:c>
      <x:c r="E558" s="30" t="str">
        <x:v>gao-06-442t.pdf</x:v>
      </x:c>
      <x:c r="F558" s="40" t="str">
        <x:v>No</x:v>
      </x:c>
      <x:c r="G558" s="40" t="n">
        <x:v>0</x:v>
      </x:c>
      <x:c r="H558" s="40" t="str">
        <x:v>Unlabeled</x:v>
      </x:c>
      <x:c r="I558" s="40"/>
      <x:c r="J558" s="40"/>
      <x:c r="K558" s="30" t="str">
        <x:v>Default No — no retained human paragraph-level label in the curated GPT Test</x:v>
      </x:c>
      <x:c r="L558" s="30"/>
      <x:c r="M558" s="40" t="str">
        <x:v>paragraph</x:v>
      </x:c>
      <x:c r="N558" s="40" t="str">
        <x:v>No</x:v>
      </x:c>
      <x:c r="O558" s="30"/>
      <x:c r="P558" s="30" t="str">
        <x:v>45:4:15;45:4:16;46:2:0;46:2:1;46:2:2;46:2:3</x:v>
      </x:c>
    </x:row>
    <x:row r="559" ht="45" customHeight="1">
      <x:c r="A559" s="30" t="str">
        <x:v>HK-A142</x:v>
      </x:c>
      <x:c r="B559" s="30" t="str">
        <x:v>p 46</x:v>
      </x:c>
      <x:c r="C559" s="30" t="str">
        <x:v>Lastly, the government’s financial interest should be protected. In the Gulf Coast, controls might be put in place so there is review of the most important financial and operating plans.</x:v>
      </x:c>
      <x:c r="D559" s="30" t="str">
        <x:v>Hurricane Katrina</x:v>
      </x:c>
      <x:c r="E559" s="30" t="str">
        <x:v>gao-06-442t.pdf</x:v>
      </x:c>
      <x:c r="F559" s="40" t="str">
        <x:v>No</x:v>
      </x:c>
      <x:c r="G559" s="40" t="n">
        <x:v>0</x:v>
      </x:c>
      <x:c r="H559" s="40" t="str">
        <x:v>Unlabeled</x:v>
      </x:c>
      <x:c r="I559" s="40"/>
      <x:c r="J559" s="40"/>
      <x:c r="K559" s="30" t="str">
        <x:v>Default No — no retained human paragraph-level label in the curated GPT Test</x:v>
      </x:c>
      <x:c r="L559" s="30"/>
      <x:c r="M559" s="40" t="str">
        <x:v>paragraph</x:v>
      </x:c>
      <x:c r="N559" s="40" t="str">
        <x:v>No</x:v>
      </x:c>
      <x:c r="O559" s="30"/>
      <x:c r="P559" s="30" t="str">
        <x:v>46:2:6;46:2:7;46:2:8</x:v>
      </x:c>
    </x:row>
    <x:row r="560" ht="45" customHeight="1">
      <x:c r="A560" s="30" t="str">
        <x:v>HK-A143</x:v>
      </x:c>
      <x:c r="B560" s="30" t="str">
        <x:v>p 46</x:v>
      </x:c>
      <x:c r="C560" s="30" t="str">
        <x:v>Madame Chairman and members of the committee, the past several weeks have provided significant insights into the Hurricane Katrina catastrophic disaster with the release of the House Select Committee report, the White House report on the federal response, and the testimony provided to this committee. Secretary Chertoff has announced immediate actions in preparation for the upcoming hurricane season and plans to work with the White House and the Homeland Security Council to assess and address the White House recommendations. Findings, lessons learned, and observations all paint a complex mosaic of challenges the federal, state, and local governments face in preparing for, responding to, and recovering from catastrophic disasters. This committee’s report as well as GAO’s work will add to the understanding of what happened and what needs to be done.</x:v>
      </x:c>
      <x:c r="D560" s="30" t="str">
        <x:v>Hurricane Katrina</x:v>
      </x:c>
      <x:c r="E560" s="30" t="str">
        <x:v>gao-06-442t.pdf</x:v>
      </x:c>
      <x:c r="F560" s="40" t="str">
        <x:v>No</x:v>
      </x:c>
      <x:c r="G560" s="40" t="n">
        <x:v>0</x:v>
      </x:c>
      <x:c r="H560" s="40" t="str">
        <x:v>Unlabeled</x:v>
      </x:c>
      <x:c r="I560" s="40"/>
      <x:c r="J560" s="40"/>
      <x:c r="K560" s="30" t="str">
        <x:v>Default No — no retained human paragraph-level label in the curated GPT Test</x:v>
      </x:c>
      <x:c r="L560" s="30"/>
      <x:c r="M560" s="40" t="str">
        <x:v>paragraph</x:v>
      </x:c>
      <x:c r="N560" s="40" t="str">
        <x:v>No</x:v>
      </x:c>
      <x:c r="O560" s="30"/>
      <x:c r="P560" s="30" t="str">
        <x:v>46:2:11;46:2:12;46:2:13;46:2:14;46:2:15;46:2:16;46:2:17;46:2:18;46:2:19;46:2:20;46:2:21;46:2:22;46:2:23</x:v>
      </x:c>
    </x:row>
    <x:row r="561" ht="45" customHeight="1">
      <x:c r="A561" s="30" t="str">
        <x:v>HK-A144</x:v>
      </x:c>
      <x:c r="B561" s="30" t="str">
        <x:v>p 46</x:v>
      </x:c>
      <x:c r="C561" s="30" t="str">
        <x:v>Moving forward, the challenge will be to determine if the recommendations and initial and longer-term actions will truly close the gap in needed preparedness or add to the problem through additional bureaucracy, complex processes, and inflexible policies. Also, the key question remains if the revised policies and procedures, even if sound, will be effectively implemented. Will they join those past recommendations that were not implemented, resulted in actions that were not sustained, or proved to be inadequate? We look forward to working with this committee and others to focus our work on these key issues.</x:v>
      </x:c>
      <x:c r="D561" s="30" t="str">
        <x:v>Hurricane Katrina</x:v>
      </x:c>
      <x:c r="E561" s="30" t="str">
        <x:v>gao-06-442t.pdf</x:v>
      </x:c>
      <x:c r="F561" s="40" t="str">
        <x:v>No</x:v>
      </x:c>
      <x:c r="G561" s="40" t="n">
        <x:v>0</x:v>
      </x:c>
      <x:c r="H561" s="40" t="str">
        <x:v>Unlabeled</x:v>
      </x:c>
      <x:c r="I561" s="40"/>
      <x:c r="J561" s="40"/>
      <x:c r="K561" s="30" t="str">
        <x:v>Default No — no retained human paragraph-level label in the curated GPT Test</x:v>
      </x:c>
      <x:c r="L561" s="30"/>
      <x:c r="M561" s="40" t="str">
        <x:v>paragraph</x:v>
      </x:c>
      <x:c r="N561" s="40" t="str">
        <x:v>No</x:v>
      </x:c>
      <x:c r="O561" s="30"/>
      <x:c r="P561" s="30" t="str">
        <x:v>46:3:0;46:3:1;46:3:2;46:3:3;46:3:4;46:3:5;46:3:6;46:3:7;46:3:8</x:v>
      </x:c>
    </x:row>
    <x:row r="562" ht="45" customHeight="1">
      <x:c r="A562" s="30" t="str">
        <x:v>HK-A145</x:v>
      </x:c>
      <x:c r="B562" s="30" t="str">
        <x:v>p 46</x:v>
      </x:c>
      <x:c r="C562" s="30" t="str">
        <x:v>This concludes my statement. I would be pleased to respond to any questions that you or other members of the committee may have at this time.</x:v>
      </x:c>
      <x:c r="D562" s="30" t="str">
        <x:v>Hurricane Katrina</x:v>
      </x:c>
      <x:c r="E562" s="30" t="str">
        <x:v>gao-06-442t.pdf</x:v>
      </x:c>
      <x:c r="F562" s="40" t="str">
        <x:v>No</x:v>
      </x:c>
      <x:c r="G562" s="40" t="n">
        <x:v>0</x:v>
      </x:c>
      <x:c r="H562" s="40" t="str">
        <x:v>Unlabeled</x:v>
      </x:c>
      <x:c r="I562" s="40"/>
      <x:c r="J562" s="40"/>
      <x:c r="K562" s="30" t="str">
        <x:v>Default No — no retained human paragraph-level label in the curated GPT Test</x:v>
      </x:c>
      <x:c r="L562" s="30"/>
      <x:c r="M562" s="40" t="str">
        <x:v>paragraph</x:v>
      </x:c>
      <x:c r="N562" s="40" t="str">
        <x:v>No</x:v>
      </x:c>
      <x:c r="O562" s="30"/>
      <x:c r="P562" s="30" t="str">
        <x:v>46:4:0;46:4:1;46:4:2</x:v>
      </x:c>
    </x:row>
    <x:row r="563" ht="45" customHeight="1">
      <x:c r="A563" s="30" t="str">
        <x:v>HK-A146</x:v>
      </x:c>
      <x:c r="B563" s="30" t="str">
        <x:v>p 46</x:v>
      </x:c>
      <x:c r="C563" s="30" t="str">
        <x:v>Contact points for our Offices of Congressional Relations and Public Affairs may be found on the last page of this statement. For further information about this testimony, please contact Norman Rabkin at (202)-512-8777 or at rabkinn@gao.gov.</x:v>
      </x:c>
      <x:c r="D563" s="30" t="str">
        <x:v>Hurricane Katrina</x:v>
      </x:c>
      <x:c r="E563" s="30" t="str">
        <x:v>gao-06-442t.pdf</x:v>
      </x:c>
      <x:c r="F563" s="40" t="str">
        <x:v>No</x:v>
      </x:c>
      <x:c r="G563" s="40" t="n">
        <x:v>0</x:v>
      </x:c>
      <x:c r="H563" s="40" t="str">
        <x:v>Unlabeled</x:v>
      </x:c>
      <x:c r="I563" s="40"/>
      <x:c r="J563" s="40"/>
      <x:c r="K563" s="30" t="str">
        <x:v>Default No — no retained human paragraph-level label in the curated GPT Test</x:v>
      </x:c>
      <x:c r="L563" s="30"/>
      <x:c r="M563" s="40" t="str">
        <x:v>paragraph</x:v>
      </x:c>
      <x:c r="N563" s="40" t="str">
        <x:v>No</x:v>
      </x:c>
      <x:c r="O563" s="30"/>
      <x:c r="P563" s="30" t="str">
        <x:v>46:5:1;46:5:2;46:5:3;46:5:4</x:v>
      </x:c>
    </x:row>
    <x:row r="564" ht="45" customHeight="1">
      <x:c r="A564" s="30" t="str">
        <x:v>PKP-A001</x:v>
      </x:c>
      <x:c r="B564" s="30" t="str">
        <x:v>p 1</x:v>
      </x:c>
      <x:c r="C564" s="30" t="str">
        <x:v>This report, comparing data collected in two surveys, one prior to Hurricane Katrina and one following, identifies a significant drop in public confidence in government’s ability to handle disasters in the wake of the botched response to Hurricane Katrina, as well as highlights the growth of a percieved “preparedness divide” between rich and poor.</x:v>
      </x:c>
      <x:c r="D564" s="30" t="str">
        <x:v>Post-Katrina Preparedness</x:v>
      </x:c>
      <x:c r="E564" s="30" t="str">
        <x:v>Post-Katrina preparedness.pdf</x:v>
      </x:c>
      <x:c r="F564" s="40" t="str">
        <x:v>No</x:v>
      </x:c>
      <x:c r="G564" s="40" t="n">
        <x:v>0</x:v>
      </x:c>
      <x:c r="H564" s="40" t="str">
        <x:v>Unlabeled</x:v>
      </x:c>
      <x:c r="I564" s="40"/>
      <x:c r="J564" s="40"/>
      <x:c r="K564" s="30" t="str">
        <x:v>Default No — no retained human paragraph-level label in the curated GPT Test</x:v>
      </x:c>
      <x:c r="L564" s="30"/>
      <x:c r="M564" s="40" t="str">
        <x:v>paragraph</x:v>
      </x:c>
      <x:c r="N564" s="40" t="str">
        <x:v>No</x:v>
      </x:c>
      <x:c r="O564" s="30"/>
      <x:c r="P564" s="30" t="str">
        <x:v>1:1</x:v>
      </x:c>
    </x:row>
    <x:row r="565" ht="45" customHeight="1">
      <x:c r="A565" s="30" t="str">
        <x:v>PKP-A002</x:v>
      </x:c>
      <x:c r="B565" s="30" t="str">
        <x:v>p 1</x:v>
      </x:c>
      <x:c r="C565" s="30" t="str">
        <x:v>Hurricane Katrina exposed serious weaknesses in American preparedness for disaster at all levels of government and across the civic networks that bind communities together. Although the hurricane created unprecedented damage, much of it foretold, it also should have reminded Americans that they must be prepared to last several days on their own.</x:v>
      </x:c>
      <x:c r="D565" s="30" t="str">
        <x:v>Post-Katrina Preparedness</x:v>
      </x:c>
      <x:c r="E565" s="30" t="str">
        <x:v>Post-Katrina preparedness.pdf</x:v>
      </x:c>
      <x:c r="F565" s="40" t="str">
        <x:v>No</x:v>
      </x:c>
      <x:c r="G565" s="40" t="n">
        <x:v>0</x:v>
      </x:c>
      <x:c r="H565" s="40" t="str">
        <x:v>Unlabeled</x:v>
      </x:c>
      <x:c r="I565" s="40"/>
      <x:c r="J565" s="40"/>
      <x:c r="K565" s="30" t="str">
        <x:v>Default No — no retained human paragraph-level label in the curated GPT Test</x:v>
      </x:c>
      <x:c r="L565" s="30"/>
      <x:c r="M565" s="40" t="str">
        <x:v>paragraph</x:v>
      </x:c>
      <x:c r="N565" s="40" t="str">
        <x:v>No</x:v>
      </x:c>
      <x:c r="O565" s="30"/>
      <x:c r="P565" s="30" t="str">
        <x:v>1:2</x:v>
      </x:c>
    </x:row>
    <x:row r="566" ht="45" customHeight="1">
      <x:c r="A566" s="30" t="str">
        <x:v>PKP-A003</x:v>
      </x:c>
      <x:c r="B566" s="30" t="str">
        <x:v>p 1</x:v>
      </x:c>
      <x:c r="C566" s="30" t="str">
        <x:v>Americans were clearly paying attention to the event. According to the Pew Research Center’s News Interest Index, Katrina was one of the most watched events of the past quarter century. Seventy percent of Americans were paying very or fairly close attention to the hurricane and its aftermath, placing it only behind the Challenger accident, the September 11th attacks, and the 1989 San Francisco earthquake, and tying it with the Los Angeles riots that followed the acquittal of the officers involved in the Rodney King case.</x:v>
      </x:c>
      <x:c r="D566" s="30" t="str">
        <x:v>Post-Katrina Preparedness</x:v>
      </x:c>
      <x:c r="E566" s="30" t="str">
        <x:v>Post-Katrina preparedness.pdf</x:v>
      </x:c>
      <x:c r="F566" s="40" t="str">
        <x:v>No</x:v>
      </x:c>
      <x:c r="G566" s="40" t="n">
        <x:v>0</x:v>
      </x:c>
      <x:c r="H566" s="40" t="str">
        <x:v>Unlabeled</x:v>
      </x:c>
      <x:c r="I566" s="40"/>
      <x:c r="J566" s="40"/>
      <x:c r="K566" s="30" t="str">
        <x:v>Default No — no retained human paragraph-level label in the curated GPT Test</x:v>
      </x:c>
      <x:c r="L566" s="30"/>
      <x:c r="M566" s="40" t="str">
        <x:v>paragraph</x:v>
      </x:c>
      <x:c r="N566" s="40" t="str">
        <x:v>No</x:v>
      </x:c>
      <x:c r="O566" s="30"/>
      <x:c r="P566" s="30" t="str">
        <x:v>1:3;1:4</x:v>
      </x:c>
    </x:row>
    <x:row r="567" ht="45" customHeight="1">
      <x:c r="A567" s="30" t="str">
        <x:v>PKP-A004</x:v>
      </x:c>
      <x:c r="B567" s="30" t="str">
        <x:v>p 1</x:v>
      </x:c>
      <x:c r="C567" s="30" t="str">
        <x:v>The question is what Americans learned in watched the Katrina catastrophe unfold. Although the Department of Homeland Security recorded a surge in visits to its ready.gov website, it is not clear who came and what they wanted. Although the visits do confirm at least some a surge in public interest, the numbers are just too meager to declare great progress. Indeed, pre- and post-Katrina national surveys conducted by New York University suggest that Americans are no more prepared after Katrina hit than they had been before.</x:v>
      </x:c>
      <x:c r="D567" s="30" t="str">
        <x:v>Post-Katrina Preparedness</x:v>
      </x:c>
      <x:c r="E567" s="30" t="str">
        <x:v>Post-Katrina preparedness.pdf</x:v>
      </x:c>
      <x:c r="F567" s="40" t="str">
        <x:v>No</x:v>
      </x:c>
      <x:c r="G567" s="40" t="n">
        <x:v>0</x:v>
      </x:c>
      <x:c r="H567" s="40" t="str">
        <x:v>Unlabeled</x:v>
      </x:c>
      <x:c r="I567" s="40"/>
      <x:c r="J567" s="40"/>
      <x:c r="K567" s="30" t="str">
        <x:v>Default No — no retained human paragraph-level label in the curated GPT Test</x:v>
      </x:c>
      <x:c r="L567" s="30"/>
      <x:c r="M567" s="40" t="str">
        <x:v>paragraph</x:v>
      </x:c>
      <x:c r="N567" s="40" t="str">
        <x:v>No</x:v>
      </x:c>
      <x:c r="O567" s="30"/>
      <x:c r="P567" s="30" t="str">
        <x:v>1:5</x:v>
      </x:c>
    </x:row>
    <x:row r="568" ht="45" customHeight="1">
      <x:c r="A568" s="30" t="str">
        <x:v>PKP-A005</x:v>
      </x:c>
      <x:c r="B568" s="30" t="str">
        <x:v>p 1</x:v>
      </x:c>
      <x:c r="C568" s="30" t="str">
        <x:v>According to the October survey, which repeated many, but not all of the questions asked in July, the “Katrina Effect” was mostly negative:</x:v>
      </x:c>
      <x:c r="D568" s="30" t="str">
        <x:v>Post-Katrina Preparedness</x:v>
      </x:c>
      <x:c r="E568" s="30" t="str">
        <x:v>Post-Katrina preparedness.pdf</x:v>
      </x:c>
      <x:c r="F568" s="40" t="str">
        <x:v>No</x:v>
      </x:c>
      <x:c r="G568" s="40" t="n">
        <x:v>0</x:v>
      </x:c>
      <x:c r="H568" s="40" t="str">
        <x:v>Unlabeled</x:v>
      </x:c>
      <x:c r="I568" s="40"/>
      <x:c r="J568" s="40"/>
      <x:c r="K568" s="30" t="str">
        <x:v>Default No — no retained human paragraph-level label in the curated GPT Test</x:v>
      </x:c>
      <x:c r="L568" s="30"/>
      <x:c r="M568" s="40" t="str">
        <x:v>paragraph</x:v>
      </x:c>
      <x:c r="N568" s="40" t="str">
        <x:v>No</x:v>
      </x:c>
      <x:c r="O568" s="30"/>
      <x:c r="P568" s="30" t="str">
        <x:v>1:7</x:v>
      </x:c>
    </x:row>
    <x:row r="569" ht="45" customHeight="1">
      <x:c r="A569" s="30" t="str">
        <x:v>PKP-A006</x:v>
      </x:c>
      <x:c r="B569" s="30" t="str">
        <x:v>p 1</x:v>
      </x:c>
      <x:c r="C569" s="30" t="str">
        <x:v>• Americans did not receive a wake-up call from Katrina -- more than half said they were no better prepared after watching the event than before.</x:v>
      </x:c>
      <x:c r="D569" s="30" t="str">
        <x:v>Post-Katrina Preparedness</x:v>
      </x:c>
      <x:c r="E569" s="30" t="str">
        <x:v>Post-Katrina preparedness.pdf</x:v>
      </x:c>
      <x:c r="F569" s="40" t="str">
        <x:v>No</x:v>
      </x:c>
      <x:c r="G569" s="40" t="n">
        <x:v>0</x:v>
      </x:c>
      <x:c r="H569" s="40" t="str">
        <x:v>Unlabeled</x:v>
      </x:c>
      <x:c r="I569" s="40"/>
      <x:c r="J569" s="40"/>
      <x:c r="K569" s="30" t="str">
        <x:v>Default No — no retained human paragraph-level label in the curated GPT Test</x:v>
      </x:c>
      <x:c r="L569" s="30"/>
      <x:c r="M569" s="40" t="str">
        <x:v>bullet</x:v>
      </x:c>
      <x:c r="N569" s="40" t="str">
        <x:v>No</x:v>
      </x:c>
      <x:c r="O569" s="30"/>
      <x:c r="P569" s="30" t="str">
        <x:v>1:8</x:v>
      </x:c>
    </x:row>
    <x:row r="570" ht="45" customHeight="1">
      <x:c r="A570" s="30" t="str">
        <x:v>PKP-A007</x:v>
      </x:c>
      <x:c r="B570" s="30" t="str">
        <x:v>p 1</x:v>
      </x:c>
      <x:c r="C570" s="30" t="str">
        <x:v>• Many Americans have lost confidence in their local government, police departments and local businesses to help those who need assistance following an emergency. Only fire departments and charitable organizations like the Red Cross and Salvation Army held on to their pre-Katrina levels of confidence.</x:v>
      </x:c>
      <x:c r="D570" s="30" t="str">
        <x:v>Post-Katrina Preparedness</x:v>
      </x:c>
      <x:c r="E570" s="30" t="str">
        <x:v>Post-Katrina preparedness.pdf</x:v>
      </x:c>
      <x:c r="F570" s="40" t="str">
        <x:v>No</x:v>
      </x:c>
      <x:c r="G570" s="40" t="n">
        <x:v>0</x:v>
      </x:c>
      <x:c r="H570" s="40" t="str">
        <x:v>Unlabeled</x:v>
      </x:c>
      <x:c r="I570" s="40"/>
      <x:c r="J570" s="40"/>
      <x:c r="K570" s="30" t="str">
        <x:v>Default No — no retained human paragraph-level label in the curated GPT Test</x:v>
      </x:c>
      <x:c r="L570" s="30"/>
      <x:c r="M570" s="40" t="str">
        <x:v>bullet</x:v>
      </x:c>
      <x:c r="N570" s="40" t="str">
        <x:v>No</x:v>
      </x:c>
      <x:c r="O570" s="30"/>
      <x:c r="P570" s="30" t="str">
        <x:v>1:9</x:v>
      </x:c>
    </x:row>
    <x:row r="571" ht="45" customHeight="1">
      <x:c r="A571" s="30" t="str">
        <x:v>PKP-A008</x:v>
      </x:c>
      <x:c r="B571" s="30" t="str">
        <x:v>p 1</x:v>
      </x:c>
      <x:c r="C571" s="30" t="str">
        <x:v>• Americans were generally split on who was to blame for the federal government’s lack of preparedness post-Katrina -- 60 percent said it was impossible to be very prepared for hurricanes, terrorist attacks or a flu epidemic, while 40 percent blamed the government.</x:v>
      </x:c>
      <x:c r="D571" s="30" t="str">
        <x:v>Post-Katrina Preparedness</x:v>
      </x:c>
      <x:c r="E571" s="30" t="str">
        <x:v>Post-Katrina preparedness.pdf</x:v>
      </x:c>
      <x:c r="F571" s="40" t="str">
        <x:v>No</x:v>
      </x:c>
      <x:c r="G571" s="40" t="n">
        <x:v>0</x:v>
      </x:c>
      <x:c r="H571" s="40" t="str">
        <x:v>Unlabeled</x:v>
      </x:c>
      <x:c r="I571" s="40"/>
      <x:c r="J571" s="40"/>
      <x:c r="K571" s="30" t="str">
        <x:v>Default No — no retained human paragraph-level label in the curated GPT Test</x:v>
      </x:c>
      <x:c r="L571" s="30"/>
      <x:c r="M571" s="40" t="str">
        <x:v>bullet</x:v>
      </x:c>
      <x:c r="N571" s="40" t="str">
        <x:v>No</x:v>
      </x:c>
      <x:c r="O571" s="30"/>
      <x:c r="P571" s="30" t="str">
        <x:v>1:10</x:v>
      </x:c>
    </x:row>
    <x:row r="572" ht="45" customHeight="1">
      <x:c r="A572" s="30" t="str">
        <x:v>PKP-A009</x:v>
      </x:c>
      <x:c r="B572" s="30" t="str">
        <x:v>p 1</x:v>
      </x:c>
      <x:c r="C572" s="30" t="str">
        <x:v>• Among those who blamed government, the vast majority said that the problem was mismanagement, a lack of leadership, and an unwillingness to make preparedness a priority.</x:v>
      </x:c>
      <x:c r="D572" s="30" t="str">
        <x:v>Post-Katrina Preparedness</x:v>
      </x:c>
      <x:c r="E572" s="30" t="str">
        <x:v>Post-Katrina preparedness.pdf</x:v>
      </x:c>
      <x:c r="F572" s="40" t="str">
        <x:v>No</x:v>
      </x:c>
      <x:c r="G572" s="40" t="n">
        <x:v>0</x:v>
      </x:c>
      <x:c r="H572" s="40" t="str">
        <x:v>Unlabeled</x:v>
      </x:c>
      <x:c r="I572" s="40"/>
      <x:c r="J572" s="40"/>
      <x:c r="K572" s="30" t="str">
        <x:v>Default No — no retained human paragraph-level label in the curated GPT Test</x:v>
      </x:c>
      <x:c r="L572" s="30"/>
      <x:c r="M572" s="40" t="str">
        <x:v>bullet</x:v>
      </x:c>
      <x:c r="N572" s="40" t="str">
        <x:v>No</x:v>
      </x:c>
      <x:c r="O572" s="30"/>
      <x:c r="P572" s="30" t="str">
        <x:v>1:11</x:v>
      </x:c>
    </x:row>
    <x:row r="573" ht="45" customHeight="1">
      <x:c r="A573" s="30" t="str">
        <x:v>PKP-A010</x:v>
      </x:c>
      <x:c r="B573" s="30" t="str">
        <x:v>p 1</x:v>
      </x:c>
      <x:c r="C573" s="30" t="str">
        <x:v>Key Recommendations: CONGRESS SHOULD •...give the president authority to create a new Citizen Preparedness Directorate. •...give the president greater authority to strengthen the federal government’s human capital in the preparedness effort. •...reform the presidential appointments process to assure that key positions are filled rapidly with qualified personnel.</x:v>
      </x:c>
      <x:c r="D573" s="30" t="str">
        <x:v>Post-Katrina Preparedness</x:v>
      </x:c>
      <x:c r="E573" s="30" t="str">
        <x:v>Post-Katrina preparedness.pdf</x:v>
      </x:c>
      <x:c r="F573" s="40" t="str">
        <x:v>No</x:v>
      </x:c>
      <x:c r="G573" s="40" t="n">
        <x:v>0</x:v>
      </x:c>
      <x:c r="H573" s="40" t="str">
        <x:v>Unlabeled</x:v>
      </x:c>
      <x:c r="I573" s="40"/>
      <x:c r="J573" s="40"/>
      <x:c r="K573" s="30" t="str">
        <x:v>Default No — no retained human paragraph-level label in the curated GPT Test</x:v>
      </x:c>
      <x:c r="L573" s="30"/>
      <x:c r="M573" s="40" t="str">
        <x:v>list_unit</x:v>
      </x:c>
      <x:c r="N573" s="40" t="str">
        <x:v>No</x:v>
      </x:c>
      <x:c r="O573" s="30"/>
      <x:c r="P573" s="30" t="str">
        <x:v>1:12</x:v>
      </x:c>
    </x:row>
    <x:row r="574" ht="45" customHeight="1">
      <x:c r="A574" s="30" t="str">
        <x:v>PKP-A011</x:v>
      </x:c>
      <x:c r="B574" s="30" t="str">
        <x:v>p 1</x:v>
      </x:c>
      <x:c r="C574" s="30" t="str">
        <x:v>STATE AND LOCAL GOVERNMENTS MUST •...be clear about who “owns” the emergency preparedness task. •...make their emergency management functions as visible as possible. •...establish local command centers.</x:v>
      </x:c>
      <x:c r="D574" s="30" t="str">
        <x:v>Post-Katrina Preparedness</x:v>
      </x:c>
      <x:c r="E574" s="30" t="str">
        <x:v>Post-Katrina preparedness.pdf</x:v>
      </x:c>
      <x:c r="F574" s="40" t="str">
        <x:v>No</x:v>
      </x:c>
      <x:c r="G574" s="40" t="n">
        <x:v>0</x:v>
      </x:c>
      <x:c r="H574" s="40" t="str">
        <x:v>Unlabeled</x:v>
      </x:c>
      <x:c r="I574" s="40"/>
      <x:c r="J574" s="40"/>
      <x:c r="K574" s="30" t="str">
        <x:v>Default No — no retained human paragraph-level label in the curated GPT Test</x:v>
      </x:c>
      <x:c r="L574" s="30"/>
      <x:c r="M574" s="40" t="str">
        <x:v>list_unit</x:v>
      </x:c>
      <x:c r="N574" s="40" t="str">
        <x:v>No</x:v>
      </x:c>
      <x:c r="O574" s="30"/>
      <x:c r="P574" s="30" t="str">
        <x:v>1:13;1:14</x:v>
      </x:c>
    </x:row>
    <x:row r="575" ht="45" customHeight="1">
      <x:c r="A575" s="30" t="str">
        <x:v>PKP-A012</x:v>
      </x:c>
      <x:c r="B575" s="30" t="str">
        <x:v>p 2</x:v>
      </x:c>
      <x:c r="C575" s="30" t="str">
        <x:v>If Katrina had little effect on preparedness, it appears to have near-catastrophic impacts on public confidence in the local and federal governments on which they depend for help during emergencies. Katrina also appears to have increased awareness of the importance of time and money to effective preparedness—having watched the disaster wreck havoc in poor communities, many Americans appear to be convinced that money is the most important resource for preparedness.</x:v>
      </x:c>
      <x:c r="D575" s="30" t="str">
        <x:v>Post-Katrina Preparedness</x:v>
      </x:c>
      <x:c r="E575" s="30" t="str">
        <x:v>Post-Katrina preparedness.pdf</x:v>
      </x:c>
      <x:c r="F575" s="40" t="str">
        <x:v>No</x:v>
      </x:c>
      <x:c r="G575" s="40" t="n">
        <x:v>0</x:v>
      </x:c>
      <x:c r="H575" s="40" t="str">
        <x:v>Unlabeled</x:v>
      </x:c>
      <x:c r="I575" s="40"/>
      <x:c r="J575" s="40"/>
      <x:c r="K575" s="30" t="str">
        <x:v>Default No — no retained human paragraph-level label in the curated GPT Test</x:v>
      </x:c>
      <x:c r="L575" s="30"/>
      <x:c r="M575" s="40" t="str">
        <x:v>paragraph</x:v>
      </x:c>
      <x:c r="N575" s="40" t="str">
        <x:v>No</x:v>
      </x:c>
      <x:c r="O575" s="30"/>
      <x:c r="P575" s="30" t="str">
        <x:v>2:2</x:v>
      </x:c>
    </x:row>
    <x:row r="576" ht="45" customHeight="1">
      <x:c r="A576" s="30" t="str">
        <x:v>PKP-A013</x:v>
      </x:c>
      <x:c r="B576" s="30" t="str">
        <x:v>p 2</x:v>
      </x:c>
      <x:c r="C576" s="30" t="str">
        <x:v>The surveys were conducted on behalf of the Robert F. Wagner School of Public Service and the University’s Center for Catastrophe Preparedness and Response (CCPR). The pre-Katrina telephone survey of 1,506 randomly-selected Americans was conducted from July 14-28, barely four weeks before Katrina came ashore. The post-Katrina survey of 1,004 randomlyselected Americans was conducted from October 10-16, barely five weeks after Katrina moved on.</x:v>
      </x:c>
      <x:c r="D576" s="30" t="str">
        <x:v>Post-Katrina Preparedness</x:v>
      </x:c>
      <x:c r="E576" s="30" t="str">
        <x:v>Post-Katrina preparedness.pdf</x:v>
      </x:c>
      <x:c r="F576" s="40" t="str">
        <x:v>No</x:v>
      </x:c>
      <x:c r="G576" s="40" t="n">
        <x:v>0</x:v>
      </x:c>
      <x:c r="H576" s="40" t="str">
        <x:v>Unlabeled</x:v>
      </x:c>
      <x:c r="I576" s="40"/>
      <x:c r="J576" s="40"/>
      <x:c r="K576" s="30" t="str">
        <x:v>Default No — no retained human paragraph-level label in the curated GPT Test</x:v>
      </x:c>
      <x:c r="L576" s="30"/>
      <x:c r="M576" s="40" t="str">
        <x:v>paragraph</x:v>
      </x:c>
      <x:c r="N576" s="40" t="str">
        <x:v>No</x:v>
      </x:c>
      <x:c r="O576" s="30"/>
      <x:c r="P576" s="30" t="str">
        <x:v>2:3</x:v>
      </x:c>
    </x:row>
    <x:row r="577" ht="45" customHeight="1">
      <x:c r="A577" s="30" t="str">
        <x:v>PKP-A014</x:v>
      </x:c>
      <x:c r="B577" s="30" t="str">
        <x:v>p 2</x:v>
      </x:c>
      <x:c r="C577" s="30" t="str">
        <x:v>Last summer’s New York University survey revealed a vast majority of Americans who remained almost as unprepared for catastrophe during the months and years after September 11th as they had been before. Although the October New York University survey came only weeks after Katrina hit the Gulf States, there is little evidence that the hurricane brought a wake-up call for the nation. Thinking back to before Hurricanes Katrina and Rita, which arrived in short succession, only 12 percent of Americans said they were much more prepared to deal withemergencies, just 21 percent said they were somewhat more prepared, 57 percent said they were about the same, and 8 percent said they were either somewhat less or much less prepared. Figure 1 shows the comparison in response to September 11th and the two hurricanes.</x:v>
      </x:c>
      <x:c r="D577" s="30" t="str">
        <x:v>Post-Katrina Preparedness</x:v>
      </x:c>
      <x:c r="E577" s="30" t="str">
        <x:v>Post-Katrina preparedness.pdf</x:v>
      </x:c>
      <x:c r="F577" s="40" t="str">
        <x:v>No</x:v>
      </x:c>
      <x:c r="G577" s="40" t="n">
        <x:v>0</x:v>
      </x:c>
      <x:c r="H577" s="40" t="str">
        <x:v>Unlabeled</x:v>
      </x:c>
      <x:c r="I577" s="40"/>
      <x:c r="J577" s="40"/>
      <x:c r="K577" s="30" t="str">
        <x:v>Default No — no retained human paragraph-level label in the curated GPT Test</x:v>
      </x:c>
      <x:c r="L577" s="30"/>
      <x:c r="M577" s="40" t="str">
        <x:v>paragraph</x:v>
      </x:c>
      <x:c r="N577" s="40" t="str">
        <x:v>No</x:v>
      </x:c>
      <x:c r="O577" s="30"/>
      <x:c r="P577" s="30" t="str">
        <x:v>2:5;2:6</x:v>
      </x:c>
    </x:row>
    <x:row r="578" ht="45" customHeight="1">
      <x:c r="A578" s="30" t="str">
        <x:v>PKP-A015</x:v>
      </x:c>
      <x:c r="B578" s="30" t="str">
        <x:v>p 2</x:v>
      </x:c>
      <x:c r="C578" s="30" t="str">
        <x:v>The answers do not speak to a massive surge in preparedness post-Katrina. However, there is at least some movement toward greater preparedness across what I have called the preparedness divide, meaning the distance in preparedness based on education and income.</x:v>
      </x:c>
      <x:c r="D578" s="30" t="str">
        <x:v>Post-Katrina Preparedness</x:v>
      </x:c>
      <x:c r="E578" s="30" t="str">
        <x:v>Post-Katrina preparedness.pdf</x:v>
      </x:c>
      <x:c r="F578" s="40" t="str">
        <x:v>No</x:v>
      </x:c>
      <x:c r="G578" s="40" t="n">
        <x:v>0</x:v>
      </x:c>
      <x:c r="H578" s="40" t="str">
        <x:v>Unlabeled</x:v>
      </x:c>
      <x:c r="I578" s="40"/>
      <x:c r="J578" s="40"/>
      <x:c r="K578" s="30" t="str">
        <x:v>Default No — no retained human paragraph-level label in the curated GPT Test</x:v>
      </x:c>
      <x:c r="L578" s="30"/>
      <x:c r="M578" s="40" t="str">
        <x:v>paragraph</x:v>
      </x:c>
      <x:c r="N578" s="40" t="str">
        <x:v>No</x:v>
      </x:c>
      <x:c r="O578" s="30"/>
      <x:c r="P578" s="30" t="str">
        <x:v>2:8</x:v>
      </x:c>
    </x:row>
    <x:row r="579" ht="45" customHeight="1">
      <x:c r="A579" s="30" t="str">
        <x:v>PKP-A016</x:v>
      </x:c>
      <x:c r="B579" s="30" t="str">
        <x:v>pp 2-3</x:v>
      </x:c>
      <x:c r="C579" s="30" t="str">
        <x:v>On the one hand, individuals with a high school education or less were twice as likely as their college-educated peers to say they were much more prepared after Katrina and Rita than before, 15 percent to 7 percent. Having watched the images of stranded citizens in New Orleans, perhaps less-edu- cated Americans finally saw the need for action. On the other hand, there was no difference in newfound preparedness across income groups, suggesting that preparedness requires more than just intent and education. It also requires money, a resource in short supply among low-income Americans.</x:v>
      </x:c>
      <x:c r="D579" s="30" t="str">
        <x:v>Post-Katrina Preparedness</x:v>
      </x:c>
      <x:c r="E579" s="30" t="str">
        <x:v>Post-Katrina preparedness.pdf</x:v>
      </x:c>
      <x:c r="F579" s="40" t="str">
        <x:v>No</x:v>
      </x:c>
      <x:c r="G579" s="40" t="n">
        <x:v>0</x:v>
      </x:c>
      <x:c r="H579" s="40" t="str">
        <x:v>Unlabeled</x:v>
      </x:c>
      <x:c r="I579" s="40"/>
      <x:c r="J579" s="40"/>
      <x:c r="K579" s="30" t="str">
        <x:v>Default No — no retained human paragraph-level label in the curated GPT Test</x:v>
      </x:c>
      <x:c r="L579" s="30"/>
      <x:c r="M579" s="40" t="str">
        <x:v>paragraph</x:v>
      </x:c>
      <x:c r="N579" s="40" t="str">
        <x:v>No</x:v>
      </x:c>
      <x:c r="O579" s="30"/>
      <x:c r="P579" s="30" t="str">
        <x:v>2:9;3:2</x:v>
      </x:c>
    </x:row>
    <x:row r="580" ht="45" customHeight="1">
      <x:c r="A580" s="30" t="str">
        <x:v>PKP-A017</x:v>
      </x:c>
      <x:c r="B580" s="30" t="str">
        <x:v>p 3</x:v>
      </x:c>
      <x:c r="C580" s="30" t="str">
        <x:v>The role of money in preparedness is particularly clear when Americans were asked what might explain the challenges they face in fully preparing themselves for a potential emergency. Many of the answers were exactly the same pre- and post-Katrina:</x:v>
      </x:c>
      <x:c r="D580" s="30" t="str">
        <x:v>Post-Katrina Preparedness</x:v>
      </x:c>
      <x:c r="E580" s="30" t="str">
        <x:v>Post-Katrina preparedness.pdf</x:v>
      </x:c>
      <x:c r="F580" s="40" t="str">
        <x:v>No</x:v>
      </x:c>
      <x:c r="G580" s="40" t="n">
        <x:v>0</x:v>
      </x:c>
      <x:c r="H580" s="40" t="str">
        <x:v>Unlabeled</x:v>
      </x:c>
      <x:c r="I580" s="40"/>
      <x:c r="J580" s="40"/>
      <x:c r="K580" s="30" t="str">
        <x:v>Default No — no retained human paragraph-level label in the curated GPT Test</x:v>
      </x:c>
      <x:c r="L580" s="30"/>
      <x:c r="M580" s="40" t="str">
        <x:v>paragraph</x:v>
      </x:c>
      <x:c r="N580" s="40" t="str">
        <x:v>No</x:v>
      </x:c>
      <x:c r="O580" s="30"/>
      <x:c r="P580" s="30" t="str">
        <x:v>3:3</x:v>
      </x:c>
    </x:row>
    <x:row r="581" ht="45" customHeight="1">
      <x:c r="A581" s="30" t="str">
        <x:v>PKP-A018</x:v>
      </x:c>
      <x:c r="B581" s="30" t="str">
        <x:v>p 3</x:v>
      </x:c>
      <x:c r="C581" s="30" t="str">
        <x:v>• 75 percent said they wish they were more organized before Katrina, compared with 69 percent after Katrina.</x:v>
      </x:c>
      <x:c r="D581" s="30" t="str">
        <x:v>Post-Katrina Preparedness</x:v>
      </x:c>
      <x:c r="E581" s="30" t="str">
        <x:v>Post-Katrina preparedness.pdf</x:v>
      </x:c>
      <x:c r="F581" s="40" t="str">
        <x:v>No</x:v>
      </x:c>
      <x:c r="G581" s="40" t="n">
        <x:v>0</x:v>
      </x:c>
      <x:c r="H581" s="40" t="str">
        <x:v>Unlabeled</x:v>
      </x:c>
      <x:c r="I581" s="40"/>
      <x:c r="J581" s="40"/>
      <x:c r="K581" s="30" t="str">
        <x:v>Default No — no retained human paragraph-level label in the curated GPT Test</x:v>
      </x:c>
      <x:c r="L581" s="30"/>
      <x:c r="M581" s="40" t="str">
        <x:v>bullet</x:v>
      </x:c>
      <x:c r="N581" s="40" t="str">
        <x:v>No</x:v>
      </x:c>
      <x:c r="O581" s="30"/>
      <x:c r="P581" s="30" t="str">
        <x:v>3:4</x:v>
      </x:c>
    </x:row>
    <x:row r="582" ht="45" customHeight="1">
      <x:c r="A582" s="30" t="str">
        <x:v>PKP-A019</x:v>
      </x:c>
      <x:c r="B582" s="30" t="str">
        <x:v>p 3</x:v>
      </x:c>
      <x:c r="C582" s="30" t="str">
        <x:v>• 57 percent of Americans strongly or somewhat agreed that they wish they had more time to focus on preparing after Katrina, compared with 53 percent before.</x:v>
      </x:c>
      <x:c r="D582" s="30" t="str">
        <x:v>Post-Katrina Preparedness</x:v>
      </x:c>
      <x:c r="E582" s="30" t="str">
        <x:v>Post-Katrina preparedness.pdf</x:v>
      </x:c>
      <x:c r="F582" s="40" t="str">
        <x:v>No</x:v>
      </x:c>
      <x:c r="G582" s="40" t="n">
        <x:v>0</x:v>
      </x:c>
      <x:c r="H582" s="40" t="str">
        <x:v>Unlabeled</x:v>
      </x:c>
      <x:c r="I582" s="40"/>
      <x:c r="J582" s="40"/>
      <x:c r="K582" s="30" t="str">
        <x:v>Default No — no retained human paragraph-level label in the curated GPT Test</x:v>
      </x:c>
      <x:c r="L582" s="30"/>
      <x:c r="M582" s="40" t="str">
        <x:v>bullet</x:v>
      </x:c>
      <x:c r="N582" s="40" t="str">
        <x:v>No</x:v>
      </x:c>
      <x:c r="O582" s="30"/>
      <x:c r="P582" s="30" t="str">
        <x:v>3:5</x:v>
      </x:c>
    </x:row>
    <x:row r="583" ht="45" customHeight="1">
      <x:c r="A583" s="30" t="str">
        <x:v>PKP-A020</x:v>
      </x:c>
      <x:c r="B583" s="30" t="str">
        <x:v>p 3</x:v>
      </x:c>
      <x:c r="C583" s="30" t="str">
        <x:v>• 46 percent agreed they were not sure exactly where to turn for help after Katrina, compared with 49 percent before.</x:v>
      </x:c>
      <x:c r="D583" s="30" t="str">
        <x:v>Post-Katrina Preparedness</x:v>
      </x:c>
      <x:c r="E583" s="30" t="str">
        <x:v>Post-Katrina preparedness.pdf</x:v>
      </x:c>
      <x:c r="F583" s="40" t="str">
        <x:v>No</x:v>
      </x:c>
      <x:c r="G583" s="40" t="n">
        <x:v>0</x:v>
      </x:c>
      <x:c r="H583" s="40" t="str">
        <x:v>Unlabeled</x:v>
      </x:c>
      <x:c r="I583" s="40"/>
      <x:c r="J583" s="40"/>
      <x:c r="K583" s="30" t="str">
        <x:v>Default No — no retained human paragraph-level label in the curated GPT Test</x:v>
      </x:c>
      <x:c r="L583" s="30"/>
      <x:c r="M583" s="40" t="str">
        <x:v>bullet</x:v>
      </x:c>
      <x:c r="N583" s="40" t="str">
        <x:v>No</x:v>
      </x:c>
      <x:c r="O583" s="30"/>
      <x:c r="P583" s="30" t="str">
        <x:v>3:6</x:v>
      </x:c>
    </x:row>
    <x:row r="584" ht="45" customHeight="1">
      <x:c r="A584" s="30" t="str">
        <x:v>PKP-A021</x:v>
      </x:c>
      <x:c r="B584" s="30" t="str">
        <x:v>p 3</x:v>
      </x:c>
      <x:c r="C584" s="30" t="str">
        <x:v>• 27 percent said they did not want to think about preparedness after Katrina and Rita, compared to 23 who did not want to think about September 11th</x:v>
      </x:c>
      <x:c r="D584" s="30" t="str">
        <x:v>Post-Katrina Preparedness</x:v>
      </x:c>
      <x:c r="E584" s="30" t="str">
        <x:v>Post-Katrina preparedness.pdf</x:v>
      </x:c>
      <x:c r="F584" s="40" t="str">
        <x:v>No</x:v>
      </x:c>
      <x:c r="G584" s="40" t="n">
        <x:v>0</x:v>
      </x:c>
      <x:c r="H584" s="40" t="str">
        <x:v>Unlabeled</x:v>
      </x:c>
      <x:c r="I584" s="40"/>
      <x:c r="J584" s="40"/>
      <x:c r="K584" s="30" t="str">
        <x:v>Default No — no retained human paragraph-level label in the curated GPT Test</x:v>
      </x:c>
      <x:c r="L584" s="30"/>
      <x:c r="M584" s="40" t="str">
        <x:v>bullet</x:v>
      </x:c>
      <x:c r="N584" s="40" t="str">
        <x:v>No</x:v>
      </x:c>
      <x:c r="O584" s="30"/>
      <x:c r="P584" s="30" t="str">
        <x:v>3:7</x:v>
      </x:c>
    </x:row>
    <x:row r="585" ht="45" customHeight="1">
      <x:c r="A585" s="30" t="str">
        <x:v>PKP-A022</x:v>
      </x:c>
      <x:c r="B585" s="30" t="str">
        <x:v>p 3</x:v>
      </x:c>
      <x:c r="C585" s="30" t="str">
        <x:v>• 18 percent said they did not think preparedness was necessary after, compared to 19 percent before.</x:v>
      </x:c>
      <x:c r="D585" s="30" t="str">
        <x:v>Post-Katrina Preparedness</x:v>
      </x:c>
      <x:c r="E585" s="30" t="str">
        <x:v>Post-Katrina preparedness.pdf</x:v>
      </x:c>
      <x:c r="F585" s="40" t="str">
        <x:v>No</x:v>
      </x:c>
      <x:c r="G585" s="40" t="n">
        <x:v>0</x:v>
      </x:c>
      <x:c r="H585" s="40" t="str">
        <x:v>Unlabeled</x:v>
      </x:c>
      <x:c r="I585" s="40"/>
      <x:c r="J585" s="40"/>
      <x:c r="K585" s="30" t="str">
        <x:v>Default No — no retained human paragraph-level label in the curated GPT Test</x:v>
      </x:c>
      <x:c r="L585" s="30"/>
      <x:c r="M585" s="40" t="str">
        <x:v>bullet</x:v>
      </x:c>
      <x:c r="N585" s="40" t="str">
        <x:v>No</x:v>
      </x:c>
      <x:c r="O585" s="30"/>
      <x:c r="P585" s="30" t="str">
        <x:v>3:8</x:v>
      </x:c>
    </x:row>
    <x:row r="586" ht="45" customHeight="1">
      <x:c r="A586" s="30" t="str">
        <x:v>PKP-A023</x:v>
      </x:c>
      <x:c r="B586" s="30" t="str">
        <x:v>p 3</x:v>
      </x:c>
      <x:c r="C586" s="30" t="str">
        <x:v>The lack of change in these questions suggest continuing barriers to preparedness among a very large percentage of Americans, particularly on those who do not have the personal organization, time, and knowledge about where to turn to help. Although the spirit may be willing, as the percentages on the desire for more preparedness suggest, the access to real information may be weak. The number of hits on the federal government’s www.ready.org site may have surged somewhat after Katrina (300,000 unique visitors in September is hardly a milepost in a nation of more than 150 million internet users), but large percentages of Americans apparently are not sure where to go for help in developing a check-list of options for improving their personal and family preparedness.</x:v>
      </x:c>
      <x:c r="D586" s="30" t="str">
        <x:v>Post-Katrina Preparedness</x:v>
      </x:c>
      <x:c r="E586" s="30" t="str">
        <x:v>Post-Katrina preparedness.pdf</x:v>
      </x:c>
      <x:c r="F586" s="40" t="str">
        <x:v>No</x:v>
      </x:c>
      <x:c r="G586" s="40" t="n">
        <x:v>0</x:v>
      </x:c>
      <x:c r="H586" s="40" t="str">
        <x:v>Unlabeled</x:v>
      </x:c>
      <x:c r="I586" s="40"/>
      <x:c r="J586" s="40"/>
      <x:c r="K586" s="30" t="str">
        <x:v>Default No — no retained human paragraph-level label in the curated GPT Test</x:v>
      </x:c>
      <x:c r="L586" s="30"/>
      <x:c r="M586" s="40" t="str">
        <x:v>paragraph</x:v>
      </x:c>
      <x:c r="N586" s="40" t="str">
        <x:v>No</x:v>
      </x:c>
      <x:c r="O586" s="30"/>
      <x:c r="P586" s="30" t="str">
        <x:v>3:9;3:10</x:v>
      </x:c>
    </x:row>
    <x:row r="587" ht="45" customHeight="1">
      <x:c r="A587" s="30" t="str">
        <x:v>PKP-A024</x:v>
      </x:c>
      <x:c r="B587" s="30" t="str">
        <x:v>p 3</x:v>
      </x:c>
      <x:c r="C587" s="30" t="str">
        <x:v>Paradoxically perhaps, the only two indicators of preparedness to change significantly were the desire for more money to prepare and the sense that Americans know what to expect in the event of an emergency, as shown in figure 2.</x:v>
      </x:c>
      <x:c r="D587" s="30" t="str">
        <x:v>Post-Katrina Preparedness</x:v>
      </x:c>
      <x:c r="E587" s="30" t="str">
        <x:v>Post-Katrina preparedness.pdf</x:v>
      </x:c>
      <x:c r="F587" s="40" t="str">
        <x:v>No</x:v>
      </x:c>
      <x:c r="G587" s="40" t="n">
        <x:v>0</x:v>
      </x:c>
      <x:c r="H587" s="40" t="str">
        <x:v>Unlabeled</x:v>
      </x:c>
      <x:c r="I587" s="40"/>
      <x:c r="J587" s="40"/>
      <x:c r="K587" s="30" t="str">
        <x:v>Default No — no retained human paragraph-level label in the curated GPT Test</x:v>
      </x:c>
      <x:c r="L587" s="30"/>
      <x:c r="M587" s="40" t="str">
        <x:v>paragraph</x:v>
      </x:c>
      <x:c r="N587" s="40" t="str">
        <x:v>No</x:v>
      </x:c>
      <x:c r="O587" s="30"/>
      <x:c r="P587" s="30" t="str">
        <x:v>3:11</x:v>
      </x:c>
    </x:row>
    <x:row r="588" ht="45" customHeight="1">
      <x:c r="A588" s="30" t="str">
        <x:v>PKP-A025</x:v>
      </x:c>
      <x:c r="B588" s="30" t="str">
        <x:v>p 3</x:v>
      </x:c>
      <x:c r="C588" s="30" t="str">
        <x:v>Both sets of comparisons show statistically significant difference pre- and post-Katrina, and suggest that Americans believe they know more about what to expect and wish they had the money to get out of the way of catastrophe.</x:v>
      </x:c>
      <x:c r="D588" s="30" t="str">
        <x:v>Post-Katrina Preparedness</x:v>
      </x:c>
      <x:c r="E588" s="30" t="str">
        <x:v>Post-Katrina preparedness.pdf</x:v>
      </x:c>
      <x:c r="F588" s="40" t="str">
        <x:v>No</x:v>
      </x:c>
      <x:c r="G588" s="40" t="n">
        <x:v>0</x:v>
      </x:c>
      <x:c r="H588" s="40" t="str">
        <x:v>Unlabeled</x:v>
      </x:c>
      <x:c r="I588" s="40"/>
      <x:c r="J588" s="40"/>
      <x:c r="K588" s="30" t="str">
        <x:v>Default No — no retained human paragraph-level label in the curated GPT Test</x:v>
      </x:c>
      <x:c r="L588" s="30"/>
      <x:c r="M588" s="40" t="str">
        <x:v>paragraph</x:v>
      </x:c>
      <x:c r="N588" s="40" t="str">
        <x:v>No</x:v>
      </x:c>
      <x:c r="O588" s="30"/>
      <x:c r="P588" s="30" t="str">
        <x:v>3:12</x:v>
      </x:c>
    </x:row>
    <x:row r="589" ht="45" customHeight="1">
      <x:c r="A589" s="30" t="str">
        <x:v>PKP-A026</x:v>
      </x:c>
      <x:c r="B589" s="30" t="str">
        <x:v>p 3</x:v>
      </x:c>
      <x:c r="C589" s="30" t="str">
        <x:v>The question, of course, is what respondents mean when they say they now know what to expect from an emergency. Is it chaos, confusion, and disorganization? Is it being stranded in their flooding communities, gridlock on the highways, and problems finding housing? It may be no surprise that these Americans wish they had more money given what they saw on the rooftops of New Orleans—more money would have helped the least fortunate buy their way out of town, or at least buy a car that might have made an exit possible.</x:v>
      </x:c>
      <x:c r="D589" s="30" t="str">
        <x:v>Post-Katrina Preparedness</x:v>
      </x:c>
      <x:c r="E589" s="30" t="str">
        <x:v>Post-Katrina preparedness.pdf</x:v>
      </x:c>
      <x:c r="F589" s="40" t="str">
        <x:v>No</x:v>
      </x:c>
      <x:c r="G589" s="40" t="n">
        <x:v>0</x:v>
      </x:c>
      <x:c r="H589" s="40" t="str">
        <x:v>Unlabeled</x:v>
      </x:c>
      <x:c r="I589" s="40"/>
      <x:c r="J589" s="40"/>
      <x:c r="K589" s="30" t="str">
        <x:v>Default No — no retained human paragraph-level label in the curated GPT Test</x:v>
      </x:c>
      <x:c r="L589" s="30"/>
      <x:c r="M589" s="40" t="str">
        <x:v>paragraph</x:v>
      </x:c>
      <x:c r="N589" s="40" t="str">
        <x:v>No</x:v>
      </x:c>
      <x:c r="O589" s="30"/>
      <x:c r="P589" s="30" t="str">
        <x:v>3:14</x:v>
      </x:c>
    </x:row>
    <x:row r="590" ht="45" customHeight="1">
      <x:c r="A590" s="30" t="str">
        <x:v>PKP-A027</x:v>
      </x:c>
      <x:c r="B590" s="30" t="str">
        <x:v>pp 3-4</x:v>
      </x:c>
      <x:c r="C590" s="30" t="str">
        <x:v>These two sets of answers show continued problems raising preparedness among the most vulnerable Americans, meaning those with less education and lower incomes. Less-educated, lower-income Americans were more likely after Katrina to say they did know what to expect from an emergency—65 percent of Americans with a high school education or less said they did not know what to expect after Katrina, compared with 57 percent before, while 74 percent of Americans with household incomes of less than $25,000 per year said they wish they had more money to prepared, compared with just 62 percent before. These Americans may not know what to expect, but they clearly wish they had more money. In short, the preparedness divide continues to work its will after Katrina, and may have gotten worse.</x:v>
      </x:c>
      <x:c r="D590" s="30" t="str">
        <x:v>Post-Katrina Preparedness</x:v>
      </x:c>
      <x:c r="E590" s="30" t="str">
        <x:v>Post-Katrina preparedness.pdf</x:v>
      </x:c>
      <x:c r="F590" s="40" t="str">
        <x:v>No</x:v>
      </x:c>
      <x:c r="G590" s="40" t="n">
        <x:v>0</x:v>
      </x:c>
      <x:c r="H590" s="40" t="str">
        <x:v>Unlabeled</x:v>
      </x:c>
      <x:c r="I590" s="40"/>
      <x:c r="J590" s="40"/>
      <x:c r="K590" s="30" t="str">
        <x:v>Default No — no retained human paragraph-level label in the curated GPT Test</x:v>
      </x:c>
      <x:c r="L590" s="30"/>
      <x:c r="M590" s="40" t="str">
        <x:v>paragraph</x:v>
      </x:c>
      <x:c r="N590" s="40" t="str">
        <x:v>No</x:v>
      </x:c>
      <x:c r="O590" s="30"/>
      <x:c r="P590" s="30" t="str">
        <x:v>3:15;4:2</x:v>
      </x:c>
    </x:row>
    <x:row r="591" ht="45" customHeight="1">
      <x:c r="A591" s="30" t="str">
        <x:v>PKP-A028</x:v>
      </x:c>
      <x:c r="B591" s="30" t="str">
        <x:v>p 4</x:v>
      </x:c>
      <x:c r="C591" s="30" t="str">
        <x:v>As these responses suggest, Americans are still highly dependent on their federal and local institutions to tell them what to do in an emergency. Unfortunately, Hurricane Katrina and its aftermath exposed significant weaknesses in those institutions.</x:v>
      </x:c>
      <x:c r="D591" s="30" t="str">
        <x:v>Post-Katrina Preparedness</x:v>
      </x:c>
      <x:c r="E591" s="30" t="str">
        <x:v>Post-Katrina preparedness.pdf</x:v>
      </x:c>
      <x:c r="F591" s="40" t="str">
        <x:v>No</x:v>
      </x:c>
      <x:c r="G591" s="40" t="n">
        <x:v>0</x:v>
      </x:c>
      <x:c r="H591" s="40" t="str">
        <x:v>Unlabeled</x:v>
      </x:c>
      <x:c r="I591" s="40"/>
      <x:c r="J591" s="40"/>
      <x:c r="K591" s="30" t="str">
        <x:v>Default No — no retained human paragraph-level label in the curated GPT Test</x:v>
      </x:c>
      <x:c r="L591" s="30"/>
      <x:c r="M591" s="40" t="str">
        <x:v>paragraph</x:v>
      </x:c>
      <x:c r="N591" s="40" t="str">
        <x:v>No</x:v>
      </x:c>
      <x:c r="O591" s="30"/>
      <x:c r="P591" s="30" t="str">
        <x:v>4:4</x:v>
      </x:c>
    </x:row>
    <x:row r="592" ht="45" customHeight="1">
      <x:c r="A592" s="30" t="str">
        <x:v>PKP-A029</x:v>
      </x:c>
      <x:c r="B592" s="30" t="str">
        <x:v>p 4</x:v>
      </x:c>
      <x:c r="C592" s="30" t="str">
        <x:v>Readers are forewarned that much of the following discussion compares apples to oranges between July and October. In the July, pre-Katrina survey, New York University asked Americans about the preparedness of local institutions for two specific scenarios of emergency—a terrorist bombing at a local supermarket or grocery store and the spread of a deadly disease or virus across their communities. In the October, post-Katrina survey, New York University only asked about preparedness for emergencies in general.</x:v>
      </x:c>
      <x:c r="D592" s="30" t="str">
        <x:v>Post-Katrina Preparedness</x:v>
      </x:c>
      <x:c r="E592" s="30" t="str">
        <x:v>Post-Katrina preparedness.pdf</x:v>
      </x:c>
      <x:c r="F592" s="40" t="str">
        <x:v>No</x:v>
      </x:c>
      <x:c r="G592" s="40" t="n">
        <x:v>0</x:v>
      </x:c>
      <x:c r="H592" s="40" t="str">
        <x:v>Unlabeled</x:v>
      </x:c>
      <x:c r="I592" s="40"/>
      <x:c r="J592" s="40"/>
      <x:c r="K592" s="30" t="str">
        <x:v>Default No — no retained human paragraph-level label in the curated GPT Test</x:v>
      </x:c>
      <x:c r="L592" s="30"/>
      <x:c r="M592" s="40" t="str">
        <x:v>paragraph</x:v>
      </x:c>
      <x:c r="N592" s="40" t="str">
        <x:v>No</x:v>
      </x:c>
      <x:c r="O592" s="30"/>
      <x:c r="P592" s="30" t="str">
        <x:v>4:5</x:v>
      </x:c>
    </x:row>
    <x:row r="593" ht="45" customHeight="1">
      <x:c r="A593" s="30" t="str">
        <x:v>PKP-A030</x:v>
      </x:c>
      <x:c r="B593" s="30" t="str">
        <x:v>p 4</x:v>
      </x:c>
      <x:c r="C593" s="30" t="str">
        <x:v>Still, the comparisons suggest some weakening of support in some, but not all local institutions:</x:v>
      </x:c>
      <x:c r="D593" s="30" t="str">
        <x:v>Post-Katrina Preparedness</x:v>
      </x:c>
      <x:c r="E593" s="30" t="str">
        <x:v>Post-Katrina preparedness.pdf</x:v>
      </x:c>
      <x:c r="F593" s="40" t="str">
        <x:v>No</x:v>
      </x:c>
      <x:c r="G593" s="40" t="n">
        <x:v>0</x:v>
      </x:c>
      <x:c r="H593" s="40" t="str">
        <x:v>Unlabeled</x:v>
      </x:c>
      <x:c r="I593" s="40"/>
      <x:c r="J593" s="40"/>
      <x:c r="K593" s="30" t="str">
        <x:v>Default No — no retained human paragraph-level label in the curated GPT Test</x:v>
      </x:c>
      <x:c r="L593" s="30"/>
      <x:c r="M593" s="40" t="str">
        <x:v>paragraph</x:v>
      </x:c>
      <x:c r="N593" s="40" t="str">
        <x:v>No</x:v>
      </x:c>
      <x:c r="O593" s="30"/>
      <x:c r="P593" s="30" t="str">
        <x:v>4:7</x:v>
      </x:c>
    </x:row>
    <x:row r="594" ht="45" customHeight="1">
      <x:c r="A594" s="30" t="str">
        <x:v>PKP-A031</x:v>
      </x:c>
      <x:c r="B594" s="30" t="str">
        <x:v>p 4</x:v>
      </x:c>
      <x:c r="C594" s="30" t="str">
        <x:v>• Local fire departments and charitable institutions such as the Red Cross, Salvation Army and hospitals were seen as the most prepared to help people in need of assistance in a general emergency post-Katrina: 34 percent of Americans said both local institutions were very prepared for emergencies, while 48 and 52 percent respectively said the institutions were somewhat prepared.</x:v>
      </x:c>
      <x:c r="D594" s="30" t="str">
        <x:v>Post-Katrina Preparedness</x:v>
      </x:c>
      <x:c r="E594" s="30" t="str">
        <x:v>Post-Katrina preparedness.pdf</x:v>
      </x:c>
      <x:c r="F594" s="40" t="str">
        <x:v>No</x:v>
      </x:c>
      <x:c r="G594" s="40" t="n">
        <x:v>0</x:v>
      </x:c>
      <x:c r="H594" s="40" t="str">
        <x:v>Unlabeled</x:v>
      </x:c>
      <x:c r="I594" s="40"/>
      <x:c r="J594" s="40"/>
      <x:c r="K594" s="30" t="str">
        <x:v>Default No — no retained human paragraph-level label in the curated GPT Test</x:v>
      </x:c>
      <x:c r="L594" s="30"/>
      <x:c r="M594" s="40" t="str">
        <x:v>bullet</x:v>
      </x:c>
      <x:c r="N594" s="40" t="str">
        <x:v>No</x:v>
      </x:c>
      <x:c r="O594" s="30"/>
      <x:c r="P594" s="30" t="str">
        <x:v>4:8</x:v>
      </x:c>
    </x:row>
    <x:row r="595" ht="45" customHeight="1">
      <x:c r="A595" s="30" t="str">
        <x:v>PKP-A032</x:v>
      </x:c>
      <x:c r="B595" s="30" t="str">
        <x:v>p 4</x:v>
      </x:c>
      <x:c r="C595" s="30" t="str">
        <x:v>• Local police came in second in general preparedness to help people post-Katrina: 17 percent said their local police were very prepared for emergencies, while 48 percent said they were somewhat prepared.</x:v>
      </x:c>
      <x:c r="D595" s="30" t="str">
        <x:v>Post-Katrina Preparedness</x:v>
      </x:c>
      <x:c r="E595" s="30" t="str">
        <x:v>Post-Katrina preparedness.pdf</x:v>
      </x:c>
      <x:c r="F595" s="40" t="str">
        <x:v>No</x:v>
      </x:c>
      <x:c r="G595" s="40" t="n">
        <x:v>0</x:v>
      </x:c>
      <x:c r="H595" s="40" t="str">
        <x:v>Unlabeled</x:v>
      </x:c>
      <x:c r="I595" s="40"/>
      <x:c r="J595" s="40"/>
      <x:c r="K595" s="30" t="str">
        <x:v>Default No — no retained human paragraph-level label in the curated GPT Test</x:v>
      </x:c>
      <x:c r="L595" s="30"/>
      <x:c r="M595" s="40" t="str">
        <x:v>bullet</x:v>
      </x:c>
      <x:c r="N595" s="40" t="str">
        <x:v>No</x:v>
      </x:c>
      <x:c r="O595" s="30"/>
      <x:c r="P595" s="30" t="str">
        <x:v>4:9</x:v>
      </x:c>
    </x:row>
    <x:row r="596" ht="45" customHeight="1">
      <x:c r="A596" s="30" t="str">
        <x:v>PKP-A033</x:v>
      </x:c>
      <x:c r="B596" s="30" t="str">
        <x:v>p 4</x:v>
      </x:c>
      <x:c r="C596" s="30" t="str">
        <x:v>• Local governments and business were rated as the least prepared for emergencies: Just 12 and 11 percent respectively said these two institutions were very prepared to provide assistance in emergencies, while 50 and 42 percent respectively said these institutions were somewhat prepared.</x:v>
      </x:c>
      <x:c r="D596" s="30" t="str">
        <x:v>Post-Katrina Preparedness</x:v>
      </x:c>
      <x:c r="E596" s="30" t="str">
        <x:v>Post-Katrina preparedness.pdf</x:v>
      </x:c>
      <x:c r="F596" s="40" t="str">
        <x:v>No</x:v>
      </x:c>
      <x:c r="G596" s="40" t="n">
        <x:v>0</x:v>
      </x:c>
      <x:c r="H596" s="40" t="str">
        <x:v>Unlabeled</x:v>
      </x:c>
      <x:c r="I596" s="40"/>
      <x:c r="J596" s="40"/>
      <x:c r="K596" s="30" t="str">
        <x:v>Default No — no retained human paragraph-level label in the curated GPT Test</x:v>
      </x:c>
      <x:c r="L596" s="30"/>
      <x:c r="M596" s="40" t="str">
        <x:v>bullet</x:v>
      </x:c>
      <x:c r="N596" s="40" t="str">
        <x:v>No</x:v>
      </x:c>
      <x:c r="O596" s="30"/>
      <x:c r="P596" s="30" t="str">
        <x:v>4:10;4:11</x:v>
      </x:c>
    </x:row>
    <x:row r="597" ht="45" customHeight="1">
      <x:c r="A597" s="30" t="str">
        <x:v>PKP-A034</x:v>
      </x:c>
      <x:c r="B597" s="30" t="str">
        <x:v>p 4</x:v>
      </x:c>
      <x:c r="C597" s="30" t="str">
        <x:v>Compared to pre-Katrina preparedness for the two disaster scenarios, local fire departments and charitable institutions managed to hold their ground—they were generally rated as just as prepared for general emergencies as they had been for terrorist bombings and the spread of a deadly disease or virus. However, local police, governments, and businesses all lost ground when their general ratings are compared to the two scenarios. Whereas 38 percent had rated their local police as very prepared for a bombing, and 22 percent had rated them as very prepared for a deadly virus or disease, only 17 percent of Americans rated them as very prepared for a potential emergency.</x:v>
      </x:c>
      <x:c r="D597" s="30" t="str">
        <x:v>Post-Katrina Preparedness</x:v>
      </x:c>
      <x:c r="E597" s="30" t="str">
        <x:v>Post-Katrina preparedness.pdf</x:v>
      </x:c>
      <x:c r="F597" s="40" t="str">
        <x:v>No</x:v>
      </x:c>
      <x:c r="G597" s="40" t="n">
        <x:v>0</x:v>
      </x:c>
      <x:c r="H597" s="40" t="str">
        <x:v>Unlabeled</x:v>
      </x:c>
      <x:c r="I597" s="40"/>
      <x:c r="J597" s="40"/>
      <x:c r="K597" s="30" t="str">
        <x:v>Default No — no retained human paragraph-level label in the curated GPT Test</x:v>
      </x:c>
      <x:c r="L597" s="30"/>
      <x:c r="M597" s="40" t="str">
        <x:v>paragraph</x:v>
      </x:c>
      <x:c r="N597" s="40" t="str">
        <x:v>No</x:v>
      </x:c>
      <x:c r="O597" s="30"/>
      <x:c r="P597" s="30" t="str">
        <x:v>4:12</x:v>
      </x:c>
    </x:row>
    <x:row r="598" ht="45" customHeight="1">
      <x:c r="A598" s="30" t="str">
        <x:v>PKP-A035</x:v>
      </x:c>
      <x:c r="B598" s="30" t="str">
        <x:v>p 4</x:v>
      </x:c>
      <x:c r="C598" s="30" t="str">
        <x:v>Although the pre-Katrina survey did not include federal government preparedness, the post-Katrina survey shows surprising, but perhaps not unexpectedly low confidence in government responsiveness. The federal government was rated as largely unprepared for three specific scenarios: terrorist bombings, hurricanes and floods, and a flu epidemic. The results are shown in figure 3:</x:v>
      </x:c>
      <x:c r="D598" s="30" t="str">
        <x:v>Post-Katrina Preparedness</x:v>
      </x:c>
      <x:c r="E598" s="30" t="str">
        <x:v>Post-Katrina preparedness.pdf</x:v>
      </x:c>
      <x:c r="F598" s="40" t="str">
        <x:v>No</x:v>
      </x:c>
      <x:c r="G598" s="40" t="n">
        <x:v>0</x:v>
      </x:c>
      <x:c r="H598" s="40" t="str">
        <x:v>Unlabeled</x:v>
      </x:c>
      <x:c r="I598" s="40"/>
      <x:c r="J598" s="40"/>
      <x:c r="K598" s="30" t="str">
        <x:v>Default No — no retained human paragraph-level label in the curated GPT Test</x:v>
      </x:c>
      <x:c r="L598" s="30"/>
      <x:c r="M598" s="40" t="str">
        <x:v>paragraph</x:v>
      </x:c>
      <x:c r="N598" s="40" t="str">
        <x:v>No</x:v>
      </x:c>
      <x:c r="O598" s="30"/>
      <x:c r="P598" s="30" t="str">
        <x:v>4:14</x:v>
      </x:c>
    </x:row>
    <x:row r="599" ht="45" customHeight="1">
      <x:c r="A599" s="30" t="str">
        <x:v>PKP-A036</x:v>
      </x:c>
      <x:c r="B599" s="30" t="str">
        <x:v>p 5</x:v>
      </x:c>
      <x:c r="C599" s="30" t="str">
        <x:v>Asked who was at fault for the lack of preparedness, 62 percent of Americans said that it was nearly impossible to be very prepared for terrorist bombings, 60 percent said the same about hurricanes and floods, and 55 percent said the same of a flu epidemic.</x:v>
      </x:c>
      <x:c r="D599" s="30" t="str">
        <x:v>Post-Katrina Preparedness</x:v>
      </x:c>
      <x:c r="E599" s="30" t="str">
        <x:v>Post-Katrina preparedness.pdf</x:v>
      </x:c>
      <x:c r="F599" s="40" t="str">
        <x:v>No</x:v>
      </x:c>
      <x:c r="G599" s="40" t="n">
        <x:v>0</x:v>
      </x:c>
      <x:c r="H599" s="40" t="str">
        <x:v>Unlabeled</x:v>
      </x:c>
      <x:c r="I599" s="40"/>
      <x:c r="J599" s="40"/>
      <x:c r="K599" s="30" t="str">
        <x:v>Default No — no retained human paragraph-level label in the curated GPT Test</x:v>
      </x:c>
      <x:c r="L599" s="30"/>
      <x:c r="M599" s="40" t="str">
        <x:v>paragraph</x:v>
      </x:c>
      <x:c r="N599" s="40" t="str">
        <x:v>No</x:v>
      </x:c>
      <x:c r="O599" s="30"/>
      <x:c r="P599" s="30" t="str">
        <x:v>5:2</x:v>
      </x:c>
    </x:row>
    <x:row r="600" ht="45" customHeight="1">
      <x:c r="A600" s="30" t="str">
        <x:v>PKP-A037</x:v>
      </x:c>
      <x:c r="B600" s="30" t="str">
        <x:v>p 5</x:v>
      </x:c>
      <x:c r="C600" s="30" t="str">
        <x:v>Among those who said it was the federal government’s fault for not being very prepared, the vast majority of Americans rejected the argument that the federal government did not have enough employees and money to be prepared. Rather, roughly six in ten said that the federal government’s leaders were not concerned about being prepared, while seven in ten said being prepared is not a top priority, and roughly eight in ten said the federal government was too disorganized and mismanaged to be prepared. Figure 4 shows the patterns.</x:v>
      </x:c>
      <x:c r="D600" s="30" t="str">
        <x:v>Post-Katrina Preparedness</x:v>
      </x:c>
      <x:c r="E600" s="30" t="str">
        <x:v>Post-Katrina preparedness.pdf</x:v>
      </x:c>
      <x:c r="F600" s="40" t="str">
        <x:v>No</x:v>
      </x:c>
      <x:c r="G600" s="40" t="n">
        <x:v>0</x:v>
      </x:c>
      <x:c r="H600" s="40" t="str">
        <x:v>Unlabeled</x:v>
      </x:c>
      <x:c r="I600" s="40"/>
      <x:c r="J600" s="40"/>
      <x:c r="K600" s="30" t="str">
        <x:v>Default No — no retained human paragraph-level label in the curated GPT Test</x:v>
      </x:c>
      <x:c r="L600" s="30"/>
      <x:c r="M600" s="40" t="str">
        <x:v>paragraph</x:v>
      </x:c>
      <x:c r="N600" s="40" t="str">
        <x:v>No</x:v>
      </x:c>
      <x:c r="O600" s="30"/>
      <x:c r="P600" s="30" t="str">
        <x:v>5:3</x:v>
      </x:c>
    </x:row>
    <x:row r="601" ht="45" customHeight="1">
      <x:c r="A601" s="30" t="str">
        <x:v>PKP-A038</x:v>
      </x:c>
      <x:c r="B601" s="30" t="str">
        <x:v>p 5</x:v>
      </x:c>
      <x:c r="C601" s="30" t="str">
        <x:v>Two final points are worth mentioning on confidence in federal and local institutions. First, asked seven weeks before Katrina about the way things were going in the country, 55 percent said they were dissatisfied with the way things were going; asked again five weeks after Katrina, 60 percent said they were dissatisfied, a loss of five percent that can be attributed at least in part to the handling of the Katrina aftermath.</x:v>
      </x:c>
      <x:c r="D601" s="30" t="str">
        <x:v>Post-Katrina Preparedness</x:v>
      </x:c>
      <x:c r="E601" s="30" t="str">
        <x:v>Post-Katrina preparedness.pdf</x:v>
      </x:c>
      <x:c r="F601" s="40" t="str">
        <x:v>No</x:v>
      </x:c>
      <x:c r="G601" s="40" t="n">
        <x:v>0</x:v>
      </x:c>
      <x:c r="H601" s="40" t="str">
        <x:v>Unlabeled</x:v>
      </x:c>
      <x:c r="I601" s="40"/>
      <x:c r="J601" s="40"/>
      <x:c r="K601" s="30" t="str">
        <x:v>Default No — no retained human paragraph-level label in the curated GPT Test</x:v>
      </x:c>
      <x:c r="L601" s="30"/>
      <x:c r="M601" s="40" t="str">
        <x:v>paragraph</x:v>
      </x:c>
      <x:c r="N601" s="40" t="str">
        <x:v>No</x:v>
      </x:c>
      <x:c r="O601" s="30"/>
      <x:c r="P601" s="30" t="str">
        <x:v>5:4</x:v>
      </x:c>
    </x:row>
    <x:row r="602" ht="45" customHeight="1">
      <x:c r="A602" s="30" t="str">
        <x:v>PKP-A039</x:v>
      </x:c>
      <x:c r="B602" s="30" t="str">
        <x:v>p 5</x:v>
      </x:c>
      <x:c r="C602" s="30" t="str">
        <x:v>Second, all of the post-September 11th surge in confidence toward the president, vice president, members of Congress, presidential appointees, and government employees is now gone. Much of the decline is obviously unrelated to Katrina—these leaders lost ground month by month with the war in Iraq, rising gasoline prices, and a host of other issues that carved into public confidence. Nevertheless, the surge is gone:</x:v>
      </x:c>
      <x:c r="D602" s="30" t="str">
        <x:v>Post-Katrina Preparedness</x:v>
      </x:c>
      <x:c r="E602" s="30" t="str">
        <x:v>Post-Katrina preparedness.pdf</x:v>
      </x:c>
      <x:c r="F602" s="40" t="str">
        <x:v>No</x:v>
      </x:c>
      <x:c r="G602" s="40" t="n">
        <x:v>0</x:v>
      </x:c>
      <x:c r="H602" s="40" t="str">
        <x:v>Unlabeled</x:v>
      </x:c>
      <x:c r="I602" s="40"/>
      <x:c r="J602" s="40"/>
      <x:c r="K602" s="30" t="str">
        <x:v>Default No — no retained human paragraph-level label in the curated GPT Test</x:v>
      </x:c>
      <x:c r="L602" s="30"/>
      <x:c r="M602" s="40" t="str">
        <x:v>paragraph</x:v>
      </x:c>
      <x:c r="N602" s="40" t="str">
        <x:v>No</x:v>
      </x:c>
      <x:c r="O602" s="30"/>
      <x:c r="P602" s="30" t="str">
        <x:v>5:5</x:v>
      </x:c>
    </x:row>
    <x:row r="603" ht="45" customHeight="1">
      <x:c r="A603" s="30" t="str">
        <x:v>PKP-A040</x:v>
      </x:c>
      <x:c r="B603" s="30" t="str">
        <x:v>p 5</x:v>
      </x:c>
      <x:c r="C603" s="30" t="str">
        <x:v>• Favorability toward the president, George W. Bush, rose from 57 percent very or somewhat favorable in July 2001, pre-September 11th, to 83 percent in October 2001, post-September 11th, but fell to just 48 percent favorable over the next four years.</x:v>
      </x:c>
      <x:c r="D603" s="30" t="str">
        <x:v>Post-Katrina Preparedness</x:v>
      </x:c>
      <x:c r="E603" s="30" t="str">
        <x:v>Post-Katrina preparedness.pdf</x:v>
      </x:c>
      <x:c r="F603" s="40" t="str">
        <x:v>No</x:v>
      </x:c>
      <x:c r="G603" s="40" t="n">
        <x:v>0</x:v>
      </x:c>
      <x:c r="H603" s="40" t="str">
        <x:v>Unlabeled</x:v>
      </x:c>
      <x:c r="I603" s="40"/>
      <x:c r="J603" s="40"/>
      <x:c r="K603" s="30" t="str">
        <x:v>Default No — no retained human paragraph-level label in the curated GPT Test</x:v>
      </x:c>
      <x:c r="L603" s="30"/>
      <x:c r="M603" s="40" t="str">
        <x:v>bullet</x:v>
      </x:c>
      <x:c r="N603" s="40" t="str">
        <x:v>No</x:v>
      </x:c>
      <x:c r="O603" s="30"/>
      <x:c r="P603" s="30" t="str">
        <x:v>5:6</x:v>
      </x:c>
    </x:row>
    <x:row r="604" ht="45" customHeight="1">
      <x:c r="A604" s="30" t="str">
        <x:v>PKP-A041</x:v>
      </x:c>
      <x:c r="B604" s="30" t="str">
        <x:v>p 5</x:v>
      </x:c>
      <x:c r="C604" s="30" t="str">
        <x:v>• Favorability toward federal officials the president selects to run the different departments and agencies of the government rose from 60 percent pre-September 11th to 79 percent in October 2001, but fell to just 47 percent over the next four years.</x:v>
      </x:c>
      <x:c r="D604" s="30" t="str">
        <x:v>Post-Katrina Preparedness</x:v>
      </x:c>
      <x:c r="E604" s="30" t="str">
        <x:v>Post-Katrina preparedness.pdf</x:v>
      </x:c>
      <x:c r="F604" s="40" t="str">
        <x:v>No</x:v>
      </x:c>
      <x:c r="G604" s="40" t="n">
        <x:v>0</x:v>
      </x:c>
      <x:c r="H604" s="40" t="str">
        <x:v>Unlabeled</x:v>
      </x:c>
      <x:c r="I604" s="40"/>
      <x:c r="J604" s="40"/>
      <x:c r="K604" s="30" t="str">
        <x:v>Default No — no retained human paragraph-level label in the curated GPT Test</x:v>
      </x:c>
      <x:c r="L604" s="30"/>
      <x:c r="M604" s="40" t="str">
        <x:v>bullet</x:v>
      </x:c>
      <x:c r="N604" s="40" t="str">
        <x:v>No</x:v>
      </x:c>
      <x:c r="O604" s="30"/>
      <x:c r="P604" s="30" t="str">
        <x:v>5:7</x:v>
      </x:c>
    </x:row>
    <x:row r="605" ht="45" customHeight="1">
      <x:c r="A605" s="30" t="str">
        <x:v>PKP-A042</x:v>
      </x:c>
      <x:c r="B605" s="30" t="str">
        <x:v>p 5</x:v>
      </x:c>
      <x:c r="C605" s="30" t="str">
        <x:v>• Favorability toward members of Congress rose from 58 percent very and somewhat favorable pre-September 11th to 71 percent in October 2001, but fell to just 45 percent favorable over the next four years.</x:v>
      </x:c>
      <x:c r="D605" s="30" t="str">
        <x:v>Post-Katrina Preparedness</x:v>
      </x:c>
      <x:c r="E605" s="30" t="str">
        <x:v>Post-Katrina preparedness.pdf</x:v>
      </x:c>
      <x:c r="F605" s="40" t="str">
        <x:v>No</x:v>
      </x:c>
      <x:c r="G605" s="40" t="n">
        <x:v>0</x:v>
      </x:c>
      <x:c r="H605" s="40" t="str">
        <x:v>Unlabeled</x:v>
      </x:c>
      <x:c r="I605" s="40"/>
      <x:c r="J605" s="40"/>
      <x:c r="K605" s="30" t="str">
        <x:v>Default No — no retained human paragraph-level label in the curated GPT Test</x:v>
      </x:c>
      <x:c r="L605" s="30"/>
      <x:c r="M605" s="40" t="str">
        <x:v>bullet</x:v>
      </x:c>
      <x:c r="N605" s="40" t="str">
        <x:v>No</x:v>
      </x:c>
      <x:c r="O605" s="30"/>
      <x:c r="P605" s="30" t="str">
        <x:v>5:8</x:v>
      </x:c>
    </x:row>
    <x:row r="606" ht="45" customHeight="1">
      <x:c r="A606" s="30" t="str">
        <x:v>PKP-A043</x:v>
      </x:c>
      <x:c r="B606" s="30" t="str">
        <x:v>p 5</x:v>
      </x:c>
      <x:c r="C606" s="30" t="str">
        <x:v>• Finally, favorability toward federal government workers rose from 71 percent pre-September 11th to 76 percent in October 2001, but fell to 62 percent over the next four years.</x:v>
      </x:c>
      <x:c r="D606" s="30" t="str">
        <x:v>Post-Katrina Preparedness</x:v>
      </x:c>
      <x:c r="E606" s="30" t="str">
        <x:v>Post-Katrina preparedness.pdf</x:v>
      </x:c>
      <x:c r="F606" s="40" t="str">
        <x:v>No</x:v>
      </x:c>
      <x:c r="G606" s="40" t="n">
        <x:v>0</x:v>
      </x:c>
      <x:c r="H606" s="40" t="str">
        <x:v>Unlabeled</x:v>
      </x:c>
      <x:c r="I606" s="40"/>
      <x:c r="J606" s="40"/>
      <x:c r="K606" s="30" t="str">
        <x:v>Default No — no retained human paragraph-level label in the curated GPT Test</x:v>
      </x:c>
      <x:c r="L606" s="30"/>
      <x:c r="M606" s="40" t="str">
        <x:v>bullet</x:v>
      </x:c>
      <x:c r="N606" s="40" t="str">
        <x:v>No</x:v>
      </x:c>
      <x:c r="O606" s="30"/>
      <x:c r="P606" s="30" t="str">
        <x:v>5:9</x:v>
      </x:c>
    </x:row>
    <x:row r="607" ht="45" customHeight="1">
      <x:c r="A607" s="30" t="str">
        <x:v>PKP-A044</x:v>
      </x:c>
      <x:c r="B607" s="30" t="str">
        <x:v>p 5</x:v>
      </x:c>
      <x:c r="C607" s="30" t="str">
        <x:v>In short, whereas President Bush received the highest surge immediately after September 11th, he experienced the greatest fall (a 35 percent drop), followed by Congress (a 26 percent drop), federal workers (a 14 percent drop), and presidential appointees (a 13 percent drop. Given their starting points, however, federal government employees are by far the most favorably viewed federal officials today, followed by presidential appointees, the president, and members of Congress.</x:v>
      </x:c>
      <x:c r="D607" s="30" t="str">
        <x:v>Post-Katrina Preparedness</x:v>
      </x:c>
      <x:c r="E607" s="30" t="str">
        <x:v>Post-Katrina preparedness.pdf</x:v>
      </x:c>
      <x:c r="F607" s="40" t="str">
        <x:v>No</x:v>
      </x:c>
      <x:c r="G607" s="40" t="n">
        <x:v>0</x:v>
      </x:c>
      <x:c r="H607" s="40" t="str">
        <x:v>Unlabeled</x:v>
      </x:c>
      <x:c r="I607" s="40"/>
      <x:c r="J607" s="40"/>
      <x:c r="K607" s="30" t="str">
        <x:v>Default No — no retained human paragraph-level label in the curated GPT Test</x:v>
      </x:c>
      <x:c r="L607" s="30"/>
      <x:c r="M607" s="40" t="str">
        <x:v>paragraph</x:v>
      </x:c>
      <x:c r="N607" s="40" t="str">
        <x:v>No</x:v>
      </x:c>
      <x:c r="O607" s="30"/>
      <x:c r="P607" s="30" t="str">
        <x:v>5:10</x:v>
      </x:c>
    </x:row>
    <x:row r="608" ht="45" customHeight="1">
      <x:c r="A608" s="30" t="str">
        <x:v>PKP-A045</x:v>
      </x:c>
      <x:c r="B608" s="30" t="str">
        <x:v>p 5</x:v>
      </x:c>
      <x:c r="C608" s="30" t="str">
        <x:v>Donor fatigue has become the explanation of choice for the recent slowdown in giving following Hurricane Rita and the Pakistan earthquake. According to the theory, Americans are simply exhausted from the constant appeals for help from across the globe and besieged by higher gas prices at home. Give them time and some good economic news, so the theory goes, and the money will start flowing again.</x:v>
      </x:c>
      <x:c r="D608" s="30" t="str">
        <x:v>Post-Katrina Preparedness</x:v>
      </x:c>
      <x:c r="E608" s="30" t="str">
        <x:v>Post-Katrina preparedness.pdf</x:v>
      </x:c>
      <x:c r="F608" s="40" t="str">
        <x:v>No</x:v>
      </x:c>
      <x:c r="G608" s="40" t="n">
        <x:v>0</x:v>
      </x:c>
      <x:c r="H608" s="40" t="str">
        <x:v>Unlabeled</x:v>
      </x:c>
      <x:c r="I608" s="40"/>
      <x:c r="J608" s="40"/>
      <x:c r="K608" s="30" t="str">
        <x:v>Default No — no retained human paragraph-level label in the curated GPT Test</x:v>
      </x:c>
      <x:c r="L608" s="30"/>
      <x:c r="M608" s="40" t="str">
        <x:v>paragraph</x:v>
      </x:c>
      <x:c r="N608" s="40" t="str">
        <x:v>No</x:v>
      </x:c>
      <x:c r="O608" s="30"/>
      <x:c r="P608" s="30" t="str">
        <x:v>5:12</x:v>
      </x:c>
    </x:row>
    <x:row r="609" ht="45" customHeight="1">
      <x:c r="A609" s="30" t="str">
        <x:v>PKP-A046</x:v>
      </x:c>
      <x:c r="B609" s="30" t="str">
        <x:v>pp 5-6</x:v>
      </x:c>
      <x:c r="C609" s="30" t="str">
        <x:v>The search for some reasonable explanation is particularly important given the record-breaking pace of giving immediately after Katrina hit. Americans gave more money for Katrina in a shorter period of time than for the victims of September 11th, but the giving is drying up almost as fast. The Red Cross is now struggling to meet its $2 billion Katrina target, while CARE reports that contributions for Pakistan relief are off by as much as 90 percent compared to the giving in the wake of the South Asian tsunami.</x:v>
      </x:c>
      <x:c r="D609" s="30" t="str">
        <x:v>Post-Katrina Preparedness</x:v>
      </x:c>
      <x:c r="E609" s="30" t="str">
        <x:v>Post-Katrina preparedness.pdf</x:v>
      </x:c>
      <x:c r="F609" s="40" t="str">
        <x:v>No</x:v>
      </x:c>
      <x:c r="G609" s="40" t="n">
        <x:v>0</x:v>
      </x:c>
      <x:c r="H609" s="40" t="str">
        <x:v>Unlabeled</x:v>
      </x:c>
      <x:c r="I609" s="40"/>
      <x:c r="J609" s="40"/>
      <x:c r="K609" s="30" t="str">
        <x:v>Default No — no retained human paragraph-level label in the curated GPT Test</x:v>
      </x:c>
      <x:c r="L609" s="30"/>
      <x:c r="M609" s="40" t="str">
        <x:v>paragraph</x:v>
      </x:c>
      <x:c r="N609" s="40" t="str">
        <x:v>Yes</x:v>
      </x:c>
      <x:c r="O609" s="30" t="str">
        <x:v>A figure title shared the same PyMuPDF block as this cross-page sentence and was removed manually; verify pages 5-6.</x:v>
      </x:c>
      <x:c r="P609" s="30" t="str">
        <x:v>5:13;6:2</x:v>
      </x:c>
    </x:row>
    <x:row r="610" ht="45" customHeight="1">
      <x:c r="A610" s="30" t="str">
        <x:v>PKP-A047</x:v>
      </x:c>
      <x:c r="B610" s="30" t="str">
        <x:v>p 6</x:v>
      </x:c>
      <x:c r="C610" s="30" t="str">
        <x:v>Donor fatigue does not appear to be the only cause of the slowdown, however.</x:v>
      </x:c>
      <x:c r="D610" s="30" t="str">
        <x:v>Post-Katrina Preparedness</x:v>
      </x:c>
      <x:c r="E610" s="30" t="str">
        <x:v>Post-Katrina preparedness.pdf</x:v>
      </x:c>
      <x:c r="F610" s="40" t="str">
        <x:v>No</x:v>
      </x:c>
      <x:c r="G610" s="40" t="n">
        <x:v>0</x:v>
      </x:c>
      <x:c r="H610" s="40" t="str">
        <x:v>Unlabeled</x:v>
      </x:c>
      <x:c r="I610" s="40"/>
      <x:c r="J610" s="40"/>
      <x:c r="K610" s="30" t="str">
        <x:v>Default No — no retained human paragraph-level label in the curated GPT Test</x:v>
      </x:c>
      <x:c r="L610" s="30"/>
      <x:c r="M610" s="40" t="str">
        <x:v>paragraph</x:v>
      </x:c>
      <x:c r="N610" s="40" t="str">
        <x:v>No</x:v>
      </x:c>
      <x:c r="O610" s="30"/>
      <x:c r="P610" s="30" t="str">
        <x:v>6:3</x:v>
      </x:c>
    </x:row>
    <x:row r="611" ht="45" customHeight="1">
      <x:c r="A611" s="30" t="str">
        <x:v>PKP-A048</x:v>
      </x:c>
      <x:c r="B611" s="30" t="str">
        <x:v>p 6</x:v>
      </x:c>
      <x:c r="C611" s="30" t="str">
        <x:v>According to a mid-October survey by New York University, donors might find the giving easier if they believed that charitable organizations would do a good job spending the money wisely. The telephone survey of 1,003 randomly-selected Americans was conducted from October 10-16.</x:v>
      </x:c>
      <x:c r="D611" s="30" t="str">
        <x:v>Post-Katrina Preparedness</x:v>
      </x:c>
      <x:c r="E611" s="30" t="str">
        <x:v>Post-Katrina preparedness.pdf</x:v>
      </x:c>
      <x:c r="F611" s="40" t="str">
        <x:v>No</x:v>
      </x:c>
      <x:c r="G611" s="40" t="n">
        <x:v>0</x:v>
      </x:c>
      <x:c r="H611" s="40" t="str">
        <x:v>Unlabeled</x:v>
      </x:c>
      <x:c r="I611" s="40"/>
      <x:c r="J611" s="40"/>
      <x:c r="K611" s="30" t="str">
        <x:v>Default No — no retained human paragraph-level label in the curated GPT Test</x:v>
      </x:c>
      <x:c r="L611" s="30"/>
      <x:c r="M611" s="40" t="str">
        <x:v>paragraph</x:v>
      </x:c>
      <x:c r="N611" s="40" t="str">
        <x:v>No</x:v>
      </x:c>
      <x:c r="O611" s="30"/>
      <x:c r="P611" s="30" t="str">
        <x:v>6:5</x:v>
      </x:c>
    </x:row>
    <x:row r="612" ht="45" customHeight="1">
      <x:c r="A612" s="30" t="str">
        <x:v>PKP-A049</x:v>
      </x:c>
      <x:c r="B612" s="30" t="str">
        <x:v>p 6</x:v>
      </x:c>
      <x:c r="C612" s="30" t="str">
        <x:v>As of mid-October, Just 14 percent of Americans said they had a great deal of confidence in charitable organizations, while 31 percent said they had little or no confidence, and 51 percent who said they had a fair amount of confidence. As figure 5 suggests, confidence in charitable organizations remains stuck at modern lows. It also shows that charitable organizations have not received the traditional surge in confidence that follows international and domestic disasters.</x:v>
      </x:c>
      <x:c r="D612" s="30" t="str">
        <x:v>Post-Katrina Preparedness</x:v>
      </x:c>
      <x:c r="E612" s="30" t="str">
        <x:v>Post-Katrina preparedness.pdf</x:v>
      </x:c>
      <x:c r="F612" s="40" t="str">
        <x:v>No</x:v>
      </x:c>
      <x:c r="G612" s="40" t="n">
        <x:v>0</x:v>
      </x:c>
      <x:c r="H612" s="40" t="str">
        <x:v>Unlabeled</x:v>
      </x:c>
      <x:c r="I612" s="40"/>
      <x:c r="J612" s="40"/>
      <x:c r="K612" s="30" t="str">
        <x:v>Default No — no retained human paragraph-level label in the curated GPT Test</x:v>
      </x:c>
      <x:c r="L612" s="30"/>
      <x:c r="M612" s="40" t="str">
        <x:v>paragraph</x:v>
      </x:c>
      <x:c r="N612" s="40" t="str">
        <x:v>No</x:v>
      </x:c>
      <x:c r="O612" s="30"/>
      <x:c r="P612" s="30" t="str">
        <x:v>6:6</x:v>
      </x:c>
    </x:row>
    <x:row r="613" ht="45" customHeight="1">
      <x:c r="A613" s="30" t="str">
        <x:v>PKP-A050</x:v>
      </x:c>
      <x:c r="B613" s="30" t="str">
        <x:v>p 6</x:v>
      </x:c>
      <x:c r="C613" s="30" t="str">
        <x:v>The fact that 63 percent of Americans have a great deal or fair amount of confidence in charities is not necessarily good news. Indeed, charitable organizations would do well to worry about the company they keep. Looking across a range of recent polls, charitable organizations rank just above television news, organized labor, and law firms, and well behind the military, small businesses, colleges and universities, and organized religion.</x:v>
      </x:c>
      <x:c r="D613" s="30" t="str">
        <x:v>Post-Katrina Preparedness</x:v>
      </x:c>
      <x:c r="E613" s="30" t="str">
        <x:v>Post-Katrina preparedness.pdf</x:v>
      </x:c>
      <x:c r="F613" s="40" t="str">
        <x:v>No</x:v>
      </x:c>
      <x:c r="G613" s="40" t="n">
        <x:v>0</x:v>
      </x:c>
      <x:c r="H613" s="40" t="str">
        <x:v>Unlabeled</x:v>
      </x:c>
      <x:c r="I613" s="40"/>
      <x:c r="J613" s="40"/>
      <x:c r="K613" s="30" t="str">
        <x:v>Default No — no retained human paragraph-level label in the curated GPT Test</x:v>
      </x:c>
      <x:c r="L613" s="30"/>
      <x:c r="M613" s="40" t="str">
        <x:v>paragraph</x:v>
      </x:c>
      <x:c r="N613" s="40" t="str">
        <x:v>No</x:v>
      </x:c>
      <x:c r="O613" s="30"/>
      <x:c r="P613" s="30" t="str">
        <x:v>6:7</x:v>
      </x:c>
    </x:row>
    <x:row r="614" ht="45" customHeight="1">
      <x:c r="A614" s="30" t="str">
        <x:v>PKP-A051</x:v>
      </x:c>
      <x:c r="B614" s="30" t="str">
        <x:v>p 6</x:v>
      </x:c>
      <x:c r="C614" s="30" t="str">
        <x:v>The survey also shows that confidence in the Red Cross has fallen. July, 43 percent of Americans had a great deal of confidence in the well-known known charity; by mid-October, the percentage had fallen to 38 percent, an admittedly small, but statistically significant drop that occurred before the recent stories about Red Cross over-counts of the number of people it had helped the Federal Emergency Management Agency house in the Gulf States. Figure 6 shows the full comparison pre- and post-Katrina.</x:v>
      </x:c>
      <x:c r="D614" s="30" t="str">
        <x:v>Post-Katrina Preparedness</x:v>
      </x:c>
      <x:c r="E614" s="30" t="str">
        <x:v>Post-Katrina preparedness.pdf</x:v>
      </x:c>
      <x:c r="F614" s="40" t="str">
        <x:v>No</x:v>
      </x:c>
      <x:c r="G614" s="40" t="n">
        <x:v>0</x:v>
      </x:c>
      <x:c r="H614" s="40" t="str">
        <x:v>Unlabeled</x:v>
      </x:c>
      <x:c r="I614" s="40"/>
      <x:c r="J614" s="40"/>
      <x:c r="K614" s="30" t="str">
        <x:v>Default No — no retained human paragraph-level label in the curated GPT Test</x:v>
      </x:c>
      <x:c r="L614" s="30"/>
      <x:c r="M614" s="40" t="str">
        <x:v>paragraph</x:v>
      </x:c>
      <x:c r="N614" s="40" t="str">
        <x:v>No</x:v>
      </x:c>
      <x:c r="O614" s="30"/>
      <x:c r="P614" s="30" t="str">
        <x:v>6:9</x:v>
      </x:c>
    </x:row>
    <x:row r="615" ht="45" customHeight="1">
      <x:c r="A615" s="30" t="str">
        <x:v>PKP-A052</x:v>
      </x:c>
      <x:c r="B615" s="30" t="str">
        <x:v>p 6</x:v>
      </x:c>
      <x:c r="C615" s="30" t="str">
        <x:v>In comparison, confidence in the United Way increased slightly, largely due perhaps to the organization’s much lower-profile in both raising and distributing relief in the Gulf States. The gains in the percentage of Americans who said they have a great deal of confidence in the United Way are small, but statistically significant. Figure 7 shows the trend.</x:v>
      </x:c>
      <x:c r="D615" s="30" t="str">
        <x:v>Post-Katrina Preparedness</x:v>
      </x:c>
      <x:c r="E615" s="30" t="str">
        <x:v>Post-Katrina preparedness.pdf</x:v>
      </x:c>
      <x:c r="F615" s="40" t="str">
        <x:v>No</x:v>
      </x:c>
      <x:c r="G615" s="40" t="n">
        <x:v>0</x:v>
      </x:c>
      <x:c r="H615" s="40" t="str">
        <x:v>Unlabeled</x:v>
      </x:c>
      <x:c r="I615" s="40"/>
      <x:c r="J615" s="40"/>
      <x:c r="K615" s="30" t="str">
        <x:v>Default No — no retained human paragraph-level label in the curated GPT Test</x:v>
      </x:c>
      <x:c r="L615" s="30"/>
      <x:c r="M615" s="40" t="str">
        <x:v>paragraph</x:v>
      </x:c>
      <x:c r="N615" s="40" t="str">
        <x:v>No</x:v>
      </x:c>
      <x:c r="O615" s="30"/>
      <x:c r="P615" s="30" t="str">
        <x:v>6:10</x:v>
      </x:c>
    </x:row>
    <x:row r="616" ht="45" customHeight="1">
      <x:c r="A616" s="30" t="str">
        <x:v>PKP-A053</x:v>
      </x:c>
      <x:c r="B616" s="30" t="str">
        <x:v>p 7</x:v>
      </x:c>
      <x:c r="C616" s="30" t="str">
        <x:v>The latest survey also reveals continued public worries about how charitable organizations operate:</x:v>
      </x:c>
      <x:c r="D616" s="30" t="str">
        <x:v>Post-Katrina Preparedness</x:v>
      </x:c>
      <x:c r="E616" s="30" t="str">
        <x:v>Post-Katrina preparedness.pdf</x:v>
      </x:c>
      <x:c r="F616" s="40" t="str">
        <x:v>No</x:v>
      </x:c>
      <x:c r="G616" s="40" t="n">
        <x:v>0</x:v>
      </x:c>
      <x:c r="H616" s="40" t="str">
        <x:v>Unlabeled</x:v>
      </x:c>
      <x:c r="I616" s="40"/>
      <x:c r="J616" s="40"/>
      <x:c r="K616" s="30" t="str">
        <x:v>Default No — no retained human paragraph-level label in the curated GPT Test</x:v>
      </x:c>
      <x:c r="L616" s="30"/>
      <x:c r="M616" s="40" t="str">
        <x:v>paragraph</x:v>
      </x:c>
      <x:c r="N616" s="40" t="str">
        <x:v>No</x:v>
      </x:c>
      <x:c r="O616" s="30"/>
      <x:c r="P616" s="30" t="str">
        <x:v>7:3</x:v>
      </x:c>
    </x:row>
    <x:row r="617" ht="45" customHeight="1">
      <x:c r="A617" s="30" t="str">
        <x:v>PKP-A054</x:v>
      </x:c>
      <x:c r="B617" s="30" t="str">
        <x:v>p 7</x:v>
      </x:c>
      <x:c r="C617" s="30" t="str">
        <x:v>• 31 percent of Americans in the post-Katrina survey said charitable organizations do a very good job helping people, compared to 29 percent last summer.</x:v>
      </x:c>
      <x:c r="D617" s="30" t="str">
        <x:v>Post-Katrina Preparedness</x:v>
      </x:c>
      <x:c r="E617" s="30" t="str">
        <x:v>Post-Katrina preparedness.pdf</x:v>
      </x:c>
      <x:c r="F617" s="40" t="str">
        <x:v>No</x:v>
      </x:c>
      <x:c r="G617" s="40" t="n">
        <x:v>0</x:v>
      </x:c>
      <x:c r="H617" s="40" t="str">
        <x:v>Unlabeled</x:v>
      </x:c>
      <x:c r="I617" s="40"/>
      <x:c r="J617" s="40"/>
      <x:c r="K617" s="30" t="str">
        <x:v>Default No — no retained human paragraph-level label in the curated GPT Test</x:v>
      </x:c>
      <x:c r="L617" s="30"/>
      <x:c r="M617" s="40" t="str">
        <x:v>bullet</x:v>
      </x:c>
      <x:c r="N617" s="40" t="str">
        <x:v>No</x:v>
      </x:c>
      <x:c r="O617" s="30"/>
      <x:c r="P617" s="30" t="str">
        <x:v>7:4</x:v>
      </x:c>
    </x:row>
    <x:row r="618" ht="45" customHeight="1">
      <x:c r="A618" s="30" t="str">
        <x:v>PKP-A055</x:v>
      </x:c>
      <x:c r="B618" s="30" t="str">
        <x:v>p 7</x:v>
      </x:c>
      <x:c r="C618" s="30" t="str">
        <x:v>• 20 percent said charitable organizations do a very good job running their programs and services, compared to 19 percent last summer.</x:v>
      </x:c>
      <x:c r="D618" s="30" t="str">
        <x:v>Post-Katrina Preparedness</x:v>
      </x:c>
      <x:c r="E618" s="30" t="str">
        <x:v>Post-Katrina preparedness.pdf</x:v>
      </x:c>
      <x:c r="F618" s="40" t="str">
        <x:v>No</x:v>
      </x:c>
      <x:c r="G618" s="40" t="n">
        <x:v>0</x:v>
      </x:c>
      <x:c r="H618" s="40" t="str">
        <x:v>Unlabeled</x:v>
      </x:c>
      <x:c r="I618" s="40"/>
      <x:c r="J618" s="40"/>
      <x:c r="K618" s="30" t="str">
        <x:v>Default No — no retained human paragraph-level label in the curated GPT Test</x:v>
      </x:c>
      <x:c r="L618" s="30"/>
      <x:c r="M618" s="40" t="str">
        <x:v>bullet</x:v>
      </x:c>
      <x:c r="N618" s="40" t="str">
        <x:v>No</x:v>
      </x:c>
      <x:c r="O618" s="30"/>
      <x:c r="P618" s="30" t="str">
        <x:v>7:5</x:v>
      </x:c>
    </x:row>
    <x:row r="619" ht="45" customHeight="1">
      <x:c r="A619" s="30" t="str">
        <x:v>PKP-A056</x:v>
      </x:c>
      <x:c r="B619" s="30" t="str">
        <x:v>p 7</x:v>
      </x:c>
      <x:c r="C619" s="30" t="str">
        <x:v>• 17 percent said charitable organizations do a very good job at being fair in their decisions, compared to 16 percent last summer.</x:v>
      </x:c>
      <x:c r="D619" s="30" t="str">
        <x:v>Post-Katrina Preparedness</x:v>
      </x:c>
      <x:c r="E619" s="30" t="str">
        <x:v>Post-Katrina preparedness.pdf</x:v>
      </x:c>
      <x:c r="F619" s="40" t="str">
        <x:v>No</x:v>
      </x:c>
      <x:c r="G619" s="40" t="n">
        <x:v>0</x:v>
      </x:c>
      <x:c r="H619" s="40" t="str">
        <x:v>Unlabeled</x:v>
      </x:c>
      <x:c r="I619" s="40"/>
      <x:c r="J619" s="40"/>
      <x:c r="K619" s="30" t="str">
        <x:v>Default No — no retained human paragraph-level label in the curated GPT Test</x:v>
      </x:c>
      <x:c r="L619" s="30"/>
      <x:c r="M619" s="40" t="str">
        <x:v>bullet</x:v>
      </x:c>
      <x:c r="N619" s="40" t="str">
        <x:v>No</x:v>
      </x:c>
      <x:c r="O619" s="30"/>
      <x:c r="P619" s="30" t="str">
        <x:v>7:6</x:v>
      </x:c>
    </x:row>
    <x:row r="620" ht="45" customHeight="1">
      <x:c r="A620" s="30" t="str">
        <x:v>PKP-A057</x:v>
      </x:c>
      <x:c r="B620" s="30" t="str">
        <x:v>p 7</x:v>
      </x:c>
      <x:c r="C620" s="30" t="str">
        <x:v>• 13 percent said charitable organizations do a very good job at spending money wisely, compared to 11 percent last summer.</x:v>
      </x:c>
      <x:c r="D620" s="30" t="str">
        <x:v>Post-Katrina Preparedness</x:v>
      </x:c>
      <x:c r="E620" s="30" t="str">
        <x:v>Post-Katrina preparedness.pdf</x:v>
      </x:c>
      <x:c r="F620" s="40" t="str">
        <x:v>No</x:v>
      </x:c>
      <x:c r="G620" s="40" t="n">
        <x:v>0</x:v>
      </x:c>
      <x:c r="H620" s="40" t="str">
        <x:v>Unlabeled</x:v>
      </x:c>
      <x:c r="I620" s="40"/>
      <x:c r="J620" s="40"/>
      <x:c r="K620" s="30" t="str">
        <x:v>Default No — no retained human paragraph-level label in the curated GPT Test</x:v>
      </x:c>
      <x:c r="L620" s="30"/>
      <x:c r="M620" s="40" t="str">
        <x:v>bullet</x:v>
      </x:c>
      <x:c r="N620" s="40" t="str">
        <x:v>No</x:v>
      </x:c>
      <x:c r="O620" s="30"/>
      <x:c r="P620" s="30" t="str">
        <x:v>7:7</x:v>
      </x:c>
    </x:row>
    <x:row r="621" ht="45" customHeight="1">
      <x:c r="A621" s="30" t="str">
        <x:v>PKP-A058</x:v>
      </x:c>
      <x:c r="B621" s="30" t="str">
        <x:v>p 7</x:v>
      </x:c>
      <x:c r="C621" s="30" t="str">
        <x:v>• 67 percent of Americans said charitable organizations waste a great deal or fair amount of money, compared to 61 percent in August 2004, and 66 percent last summer.</x:v>
      </x:c>
      <x:c r="D621" s="30" t="str">
        <x:v>Post-Katrina Preparedness</x:v>
      </x:c>
      <x:c r="E621" s="30" t="str">
        <x:v>Post-Katrina preparedness.pdf</x:v>
      </x:c>
      <x:c r="F621" s="40" t="str">
        <x:v>No</x:v>
      </x:c>
      <x:c r="G621" s="40" t="n">
        <x:v>0</x:v>
      </x:c>
      <x:c r="H621" s="40" t="str">
        <x:v>Unlabeled</x:v>
      </x:c>
      <x:c r="I621" s="40"/>
      <x:c r="J621" s="40"/>
      <x:c r="K621" s="30" t="str">
        <x:v>Default No — no retained human paragraph-level label in the curated GPT Test</x:v>
      </x:c>
      <x:c r="L621" s="30"/>
      <x:c r="M621" s="40" t="str">
        <x:v>bullet</x:v>
      </x:c>
      <x:c r="N621" s="40" t="str">
        <x:v>No</x:v>
      </x:c>
      <x:c r="O621" s="30"/>
      <x:c r="P621" s="30" t="str">
        <x:v>7:8</x:v>
      </x:c>
    </x:row>
    <x:row r="622" ht="45" customHeight="1">
      <x:c r="A622" s="30" t="str">
        <x:v>PKP-A059</x:v>
      </x:c>
      <x:c r="B622" s="30" t="str">
        <x:v>p 7</x:v>
      </x:c>
      <x:c r="C622" s="30" t="str">
        <x:v>• 47 percent said the leaders of charitable organizations are paid too much, percentage points from August 2004, compared to 46 percent last summer.</x:v>
      </x:c>
      <x:c r="D622" s="30" t="str">
        <x:v>Post-Katrina Preparedness</x:v>
      </x:c>
      <x:c r="E622" s="30" t="str">
        <x:v>Post-Katrina preparedness.pdf</x:v>
      </x:c>
      <x:c r="F622" s="40" t="str">
        <x:v>No</x:v>
      </x:c>
      <x:c r="G622" s="40" t="n">
        <x:v>0</x:v>
      </x:c>
      <x:c r="H622" s="40" t="str">
        <x:v>Unlabeled</x:v>
      </x:c>
      <x:c r="I622" s="40"/>
      <x:c r="J622" s="40"/>
      <x:c r="K622" s="30" t="str">
        <x:v>Default No — no retained human paragraph-level label in the curated GPT Test</x:v>
      </x:c>
      <x:c r="L622" s="30"/>
      <x:c r="M622" s="40" t="str">
        <x:v>bullet</x:v>
      </x:c>
      <x:c r="N622" s="40" t="str">
        <x:v>No</x:v>
      </x:c>
      <x:c r="O622" s="30"/>
      <x:c r="P622" s="30" t="str">
        <x:v>7:9</x:v>
      </x:c>
    </x:row>
    <x:row r="623" ht="45" customHeight="1">
      <x:c r="A623" s="30" t="str">
        <x:v>PKP-A060</x:v>
      </x:c>
      <x:c r="B623" s="30" t="str">
        <x:v>p 7</x:v>
      </x:c>
      <x:c r="C623" s="30" t="str">
        <x:v>In short, the main Katrina effect on charitable organizations in general is no Katrina effect at all. The lack of such a surge appears due to two factors: (1) guilt by association with government (the Red Cross reports that one quarter of Americans think it is a government agency, a misunderstanding due in part to the fact that 12 of the organizations 50 board members are appointed by the president), and (2) stories about organizational weaknesses that may have prevented the disbursement of relief to the actual victims of the disaster.</x:v>
      </x:c>
      <x:c r="D623" s="30" t="str">
        <x:v>Post-Katrina Preparedness</x:v>
      </x:c>
      <x:c r="E623" s="30" t="str">
        <x:v>Post-Katrina preparedness.pdf</x:v>
      </x:c>
      <x:c r="F623" s="40" t="str">
        <x:v>No</x:v>
      </x:c>
      <x:c r="G623" s="40" t="n">
        <x:v>0</x:v>
      </x:c>
      <x:c r="H623" s="40" t="str">
        <x:v>Unlabeled</x:v>
      </x:c>
      <x:c r="I623" s="40"/>
      <x:c r="J623" s="40"/>
      <x:c r="K623" s="30" t="str">
        <x:v>Default No — no retained human paragraph-level label in the curated GPT Test</x:v>
      </x:c>
      <x:c r="L623" s="30"/>
      <x:c r="M623" s="40" t="str">
        <x:v>paragraph</x:v>
      </x:c>
      <x:c r="N623" s="40" t="str">
        <x:v>No</x:v>
      </x:c>
      <x:c r="O623" s="30"/>
      <x:c r="P623" s="30" t="str">
        <x:v>7:10;7:11</x:v>
      </x:c>
    </x:row>
    <x:row r="624" ht="45" customHeight="1">
      <x:c r="A624" s="30" t="str">
        <x:v>PKP-A061</x:v>
      </x:c>
      <x:c r="B624" s="30" t="str">
        <x:v>p 7</x:v>
      </x:c>
      <x:c r="C624" s="30" t="str">
        <x:v>“The State of American Preparedness” and “Katrina Effect on American Preparedness” reports illustrate for immediate action to strengthen public confidence in the key institutions on which Americans rely for information and direction during disasters. Americans have been watching their local and federal institutions a great deal lately, and many do not like what they have seen.</x:v>
      </x:c>
      <x:c r="D624" s="30" t="str">
        <x:v>Post-Katrina Preparedness</x:v>
      </x:c>
      <x:c r="E624" s="30" t="str">
        <x:v>Post-Katrina preparedness.pdf</x:v>
      </x:c>
      <x:c r="F624" s="40" t="str">
        <x:v>No</x:v>
      </x:c>
      <x:c r="G624" s="40" t="n">
        <x:v>0</x:v>
      </x:c>
      <x:c r="H624" s="40" t="str">
        <x:v>Unlabeled</x:v>
      </x:c>
      <x:c r="I624" s="40"/>
      <x:c r="J624" s="40"/>
      <x:c r="K624" s="30" t="str">
        <x:v>Default No — no retained human paragraph-level label in the curated GPT Test</x:v>
      </x:c>
      <x:c r="L624" s="30"/>
      <x:c r="M624" s="40" t="str">
        <x:v>paragraph</x:v>
      </x:c>
      <x:c r="N624" s="40" t="str">
        <x:v>No</x:v>
      </x:c>
      <x:c r="O624" s="30"/>
      <x:c r="P624" s="30" t="str">
        <x:v>7:13</x:v>
      </x:c>
    </x:row>
    <x:row r="625" ht="45" customHeight="1">
      <x:c r="A625" s="30" t="str">
        <x:v>PKP-A062</x:v>
      </x:c>
      <x:c r="B625" s="30" t="str">
        <x:v>p 7</x:v>
      </x:c>
      <x:c r="C625" s="30" t="str">
        <x:v>The following recommendations are based on the simple notion that there is no substitute for actual preparedness in addressing public disquiet. In simple terms, the proof is in the performance. Local and federal institutions need not wait for the next catastrophe to prove their mettle, however. They can demonstrate their preparedness through a host of means, including exercises, outreach, needed reorganizations, and ongoing training. The more they prepare, the more they will be seen as prepared, and the more confidence will rise.</x:v>
      </x:c>
      <x:c r="D625" s="30" t="str">
        <x:v>Post-Katrina Preparedness</x:v>
      </x:c>
      <x:c r="E625" s="30" t="str">
        <x:v>Post-Katrina preparedness.pdf</x:v>
      </x:c>
      <x:c r="F625" s="40" t="str">
        <x:v>No</x:v>
      </x:c>
      <x:c r="G625" s="40" t="n">
        <x:v>0</x:v>
      </x:c>
      <x:c r="H625" s="40" t="str">
        <x:v>Unlabeled</x:v>
      </x:c>
      <x:c r="I625" s="40"/>
      <x:c r="J625" s="40"/>
      <x:c r="K625" s="30" t="str">
        <x:v>Default No — no retained human paragraph-level label in the curated GPT Test</x:v>
      </x:c>
      <x:c r="L625" s="30"/>
      <x:c r="M625" s="40" t="str">
        <x:v>paragraph</x:v>
      </x:c>
      <x:c r="N625" s="40" t="str">
        <x:v>No</x:v>
      </x:c>
      <x:c r="O625" s="30"/>
      <x:c r="P625" s="30" t="str">
        <x:v>7:14</x:v>
      </x:c>
    </x:row>
    <x:row r="626" ht="45" customHeight="1">
      <x:c r="A626" s="30" t="str">
        <x:v>PKP-A063</x:v>
      </x:c>
      <x:c r="B626" s="30" t="str">
        <x:v>p 7</x:v>
      </x:c>
      <x:c r="C626" s="30" t="str">
        <x:v>As the post-Katrina survey clearly shows, Americans have limited confidence in the federal government’s ability to respond to catastrophic events. The federal government cannot rebuild confidence overnight, but can take immediate action to reassure the public that helping people prepare, not defending bureaucratic turf is the number one priority in coming months.</x:v>
      </x:c>
      <x:c r="D626" s="30" t="str">
        <x:v>Post-Katrina Preparedness</x:v>
      </x:c>
      <x:c r="E626" s="30" t="str">
        <x:v>Post-Katrina preparedness.pdf</x:v>
      </x:c>
      <x:c r="F626" s="40" t="str">
        <x:v>No</x:v>
      </x:c>
      <x:c r="G626" s="40" t="n">
        <x:v>0</x:v>
      </x:c>
      <x:c r="H626" s="40" t="str">
        <x:v>Unlabeled</x:v>
      </x:c>
      <x:c r="I626" s="40"/>
      <x:c r="J626" s="40"/>
      <x:c r="K626" s="30" t="str">
        <x:v>Default No — no retained human paragraph-level label in the curated GPT Test</x:v>
      </x:c>
      <x:c r="L626" s="30"/>
      <x:c r="M626" s="40" t="str">
        <x:v>paragraph</x:v>
      </x:c>
      <x:c r="N626" s="40" t="str">
        <x:v>No</x:v>
      </x:c>
      <x:c r="O626" s="30"/>
      <x:c r="P626" s="30" t="str">
        <x:v>7:16</x:v>
      </x:c>
    </x:row>
    <x:row r="627" ht="45" customHeight="1">
      <x:c r="A627" s="30" t="str">
        <x:v>PKP-A064</x:v>
      </x:c>
      <x:c r="B627" s="30" t="str">
        <x:v>pp 7-8</x:v>
      </x:c>
      <x:c r="C627" s="30" t="str">
        <x:v>1. Reogranize to mission, not turf. Congress should give the president limited authority to create a Citizen Preparedness Directorate within the Department of Homeland Security. Such a directorate would have authority to develop inter-agency plans, deploy and redeploy resources, and oversee government-wide activities to better prepare individual citizens and federal, state, and local agencies for a wide range of catastrophic events. Without displacing existing efforts within departments such as Homeland Security, Health and Human Services, Commerce, Interior, and Labor, and within agencies such as the Environmental Protection Agency, such a directorate should provide needed coordination and oversight to eliminate unnecessary duplication, while assuring that the nation is prepared to meet a range of hazards in coming years.</x:v>
      </x:c>
      <x:c r="D627" s="30" t="str">
        <x:v>Post-Katrina Preparedness</x:v>
      </x:c>
      <x:c r="E627" s="30" t="str">
        <x:v>Post-Katrina preparedness.pdf</x:v>
      </x:c>
      <x:c r="F627" s="40" t="str">
        <x:v>No</x:v>
      </x:c>
      <x:c r="G627" s="40" t="n">
        <x:v>0</x:v>
      </x:c>
      <x:c r="H627" s="40" t="str">
        <x:v>Unlabeled</x:v>
      </x:c>
      <x:c r="I627" s="40"/>
      <x:c r="J627" s="40"/>
      <x:c r="K627" s="30" t="str">
        <x:v>Default No — no retained human paragraph-level label in the curated GPT Test</x:v>
      </x:c>
      <x:c r="L627" s="30"/>
      <x:c r="M627" s="40" t="str">
        <x:v>paragraph</x:v>
      </x:c>
      <x:c r="N627" s="40" t="str">
        <x:v>No</x:v>
      </x:c>
      <x:c r="O627" s="30"/>
      <x:c r="P627" s="30" t="str">
        <x:v>7:17;8:2</x:v>
      </x:c>
    </x:row>
    <x:row r="628" ht="45" customHeight="1">
      <x:c r="A628" s="30" t="str">
        <x:v>PKP-A065</x:v>
      </x:c>
      <x:c r="B628" s="30" t="str">
        <x:v>p 8</x:v>
      </x:c>
      <x:c r="C628" s="30" t="str">
        <x:v>2. Assure a steady supply of talent. Congress should also give the president greater authority to strengthen the federal government’s human capital in the preparedness effort. Such strengthening should include, but not be limited to, improving the recruitment, retention, training of a host of specialized workforces involved in preparing for catastrophic events, including acquisition, logistics, science and engineering, and health care professionals. Although the current personnel reforms in the departments of Homeland Security and Defense are still in development, Congress should authorize further research and development in new personnel systems that can both withstand judicial scrutiny and assure rapid redeployment of federal employees to respond to specific events.</x:v>
      </x:c>
      <x:c r="D628" s="30" t="str">
        <x:v>Post-Katrina Preparedness</x:v>
      </x:c>
      <x:c r="E628" s="30" t="str">
        <x:v>Post-Katrina preparedness.pdf</x:v>
      </x:c>
      <x:c r="F628" s="40" t="str">
        <x:v>No</x:v>
      </x:c>
      <x:c r="G628" s="40" t="n">
        <x:v>0</x:v>
      </x:c>
      <x:c r="H628" s="40" t="str">
        <x:v>Unlabeled</x:v>
      </x:c>
      <x:c r="I628" s="40"/>
      <x:c r="J628" s="40"/>
      <x:c r="K628" s="30" t="str">
        <x:v>Default No — no retained human paragraph-level label in the curated GPT Test</x:v>
      </x:c>
      <x:c r="L628" s="30"/>
      <x:c r="M628" s="40" t="str">
        <x:v>paragraph</x:v>
      </x:c>
      <x:c r="N628" s="40" t="str">
        <x:v>No</x:v>
      </x:c>
      <x:c r="O628" s="30"/>
      <x:c r="P628" s="30" t="str">
        <x:v>8:3</x:v>
      </x:c>
    </x:row>
    <x:row r="629" ht="45" customHeight="1">
      <x:c r="A629" s="30" t="str">
        <x:v>PKP-A066</x:v>
      </x:c>
      <x:c r="B629" s="30" t="str">
        <x:v>p 8</x:v>
      </x:c>
      <x:c r="C629" s="30" t="str">
        <x:v>3. Reform the presidential appointments process. Congress should undertake significant and long-overdue reform of the presidential appointments process to assure that key positions are filled rapidly with qualified personnel. Congress can do so by reducing needless questions in the antiquated security clearance forms, while streamlining the unnecessarily detailed financial disclosure forms. In addition, Congress should reduce the number of presidential appointees significantly to assure that vacancies at lower levels of the political hierarchy do not produce delays in the federal response to catastrophic events.</x:v>
      </x:c>
      <x:c r="D629" s="30" t="str">
        <x:v>Post-Katrina Preparedness</x:v>
      </x:c>
      <x:c r="E629" s="30" t="str">
        <x:v>Post-Katrina preparedness.pdf</x:v>
      </x:c>
      <x:c r="F629" s="40" t="str">
        <x:v>No</x:v>
      </x:c>
      <x:c r="G629" s="40" t="n">
        <x:v>0</x:v>
      </x:c>
      <x:c r="H629" s="40" t="str">
        <x:v>Unlabeled</x:v>
      </x:c>
      <x:c r="I629" s="40"/>
      <x:c r="J629" s="40"/>
      <x:c r="K629" s="30" t="str">
        <x:v>Default No — no retained human paragraph-level label in the curated GPT Test</x:v>
      </x:c>
      <x:c r="L629" s="30"/>
      <x:c r="M629" s="40" t="str">
        <x:v>paragraph</x:v>
      </x:c>
      <x:c r="N629" s="40" t="str">
        <x:v>No</x:v>
      </x:c>
      <x:c r="O629" s="30"/>
      <x:c r="P629" s="30" t="str">
        <x:v>8:4</x:v>
      </x:c>
    </x:row>
    <x:row r="630" ht="45" customHeight="1">
      <x:c r="A630" s="30" t="str">
        <x:v>PKP-A067</x:v>
      </x:c>
      <x:c r="B630" s="30" t="str">
        <x:v>p 8</x:v>
      </x:c>
      <x:c r="C630" s="30" t="str">
        <x:v>4. Tell the truth about the range of threats being faced. Too many Americans simply do not know enough about what they are up against. Yet, as the July New York University survey shows, they clearly react different to alternative scenarios of disaster—16 percent of Americans said they would volunteer to help following a bombing of a local supermarket or shopping center, for example, compared with only two percent following the release of a deadly disease or virus. Different hazards require at least some information about different reactions.</x:v>
      </x:c>
      <x:c r="D630" s="30" t="str">
        <x:v>Post-Katrina Preparedness</x:v>
      </x:c>
      <x:c r="E630" s="30" t="str">
        <x:v>Post-Katrina preparedness.pdf</x:v>
      </x:c>
      <x:c r="F630" s="40" t="str">
        <x:v>No</x:v>
      </x:c>
      <x:c r="G630" s="40" t="n">
        <x:v>0</x:v>
      </x:c>
      <x:c r="H630" s="40" t="str">
        <x:v>Unlabeled</x:v>
      </x:c>
      <x:c r="I630" s="40"/>
      <x:c r="J630" s="40"/>
      <x:c r="K630" s="30" t="str">
        <x:v>Default No — no retained human paragraph-level label in the curated GPT Test</x:v>
      </x:c>
      <x:c r="L630" s="30"/>
      <x:c r="M630" s="40" t="str">
        <x:v>paragraph</x:v>
      </x:c>
      <x:c r="N630" s="40" t="str">
        <x:v>No</x:v>
      </x:c>
      <x:c r="O630" s="30"/>
      <x:c r="P630" s="30" t="str">
        <x:v>8:5</x:v>
      </x:c>
    </x:row>
    <x:row r="631" ht="45" customHeight="1">
      <x:c r="A631" s="30" t="str">
        <x:v>PKP-A068</x:v>
      </x:c>
      <x:c r="B631" s="30" t="str">
        <x:v>p 8</x:v>
      </x:c>
      <x:c r="C631" s="30" t="str">
        <x:v>5. Discipline the growing list of emergency management training programs so that being an emergency/disaster management professional has real meaning to the public. Universities, colleges, community colleges, and vocational schools are creating a host of certification and degree programs in the field of emergency management, but much of the growth has taken place without any accrediting oversight or common goals. As a result, if you have seen one emergency management curriculum, you have likely seen just one emergency management curriculum. The field of emergency management needs to discipline itself so that the profession comes to mean something to citizens.</x:v>
      </x:c>
      <x:c r="D631" s="30" t="str">
        <x:v>Post-Katrina Preparedness</x:v>
      </x:c>
      <x:c r="E631" s="30" t="str">
        <x:v>Post-Katrina preparedness.pdf</x:v>
      </x:c>
      <x:c r="F631" s="40" t="str">
        <x:v>No</x:v>
      </x:c>
      <x:c r="G631" s="40" t="n">
        <x:v>0</x:v>
      </x:c>
      <x:c r="H631" s="40" t="str">
        <x:v>Unlabeled</x:v>
      </x:c>
      <x:c r="I631" s="40"/>
      <x:c r="J631" s="40"/>
      <x:c r="K631" s="30" t="str">
        <x:v>Default No — no retained human paragraph-level label in the curated GPT Test</x:v>
      </x:c>
      <x:c r="L631" s="30"/>
      <x:c r="M631" s="40" t="str">
        <x:v>paragraph</x:v>
      </x:c>
      <x:c r="N631" s="40" t="str">
        <x:v>No</x:v>
      </x:c>
      <x:c r="O631" s="30"/>
      <x:c r="P631" s="30" t="str">
        <x:v>8:6;8:7</x:v>
      </x:c>
    </x:row>
    <x:row r="632" ht="45" customHeight="1">
      <x:c r="A632" s="30" t="str">
        <x:v>PKP-A069</x:v>
      </x:c>
      <x:c r="B632" s="30" t="str">
        <x:v>p 8</x:v>
      </x:c>
      <x:c r="C632" s="30" t="str">
        <x:v>6. Make evidence, not hunch, the coin of the realm. Too much of the conversation about preparedness has been driven by long-established ideas about how the public consumes information before, during, and after a disaster. But as the New York University studies suggest, public attitudes may be changing. Knowing more about how the public gets and processes information is essential for designing strategies for reaching all corners of a community.</x:v>
      </x:c>
      <x:c r="D632" s="30" t="str">
        <x:v>Post-Katrina Preparedness</x:v>
      </x:c>
      <x:c r="E632" s="30" t="str">
        <x:v>Post-Katrina preparedness.pdf</x:v>
      </x:c>
      <x:c r="F632" s="40" t="str">
        <x:v>No</x:v>
      </x:c>
      <x:c r="G632" s="40" t="n">
        <x:v>0</x:v>
      </x:c>
      <x:c r="H632" s="40" t="str">
        <x:v>Unlabeled</x:v>
      </x:c>
      <x:c r="I632" s="40"/>
      <x:c r="J632" s="40"/>
      <x:c r="K632" s="30" t="str">
        <x:v>Default No — no retained human paragraph-level label in the curated GPT Test</x:v>
      </x:c>
      <x:c r="L632" s="30"/>
      <x:c r="M632" s="40" t="str">
        <x:v>paragraph</x:v>
      </x:c>
      <x:c r="N632" s="40" t="str">
        <x:v>No</x:v>
      </x:c>
      <x:c r="O632" s="30"/>
      <x:c r="P632" s="30" t="str">
        <x:v>8:8</x:v>
      </x:c>
    </x:row>
    <x:row r="633" ht="45" customHeight="1">
      <x:c r="A633" s="30" t="str">
        <x:v>PKP-A070</x:v>
      </x:c>
      <x:c r="B633" s="30" t="str">
        <x:v>p 8</x:v>
      </x:c>
      <x:c r="C633" s="30" t="str">
        <x:v>Local governments, charitable organizations, and private businesses play an extremely important role in assuring preparedness. Americans not only get their primary information at the local level, they will always think locally when it comes time to take action in crisis. Thus, even as the federal government strengthens its ability to monitor, fund, and plan for multi-state events, state and local governments must bear much of the responsibility for creating the infrastructure to move quickly once catastrophe strikes.</x:v>
      </x:c>
      <x:c r="D633" s="30" t="str">
        <x:v>Post-Katrina Preparedness</x:v>
      </x:c>
      <x:c r="E633" s="30" t="str">
        <x:v>Post-Katrina preparedness.pdf</x:v>
      </x:c>
      <x:c r="F633" s="40" t="str">
        <x:v>No</x:v>
      </x:c>
      <x:c r="G633" s="40" t="n">
        <x:v>0</x:v>
      </x:c>
      <x:c r="H633" s="40" t="str">
        <x:v>Unlabeled</x:v>
      </x:c>
      <x:c r="I633" s="40"/>
      <x:c r="J633" s="40"/>
      <x:c r="K633" s="30" t="str">
        <x:v>Default No — no retained human paragraph-level label in the curated GPT Test</x:v>
      </x:c>
      <x:c r="L633" s="30"/>
      <x:c r="M633" s="40" t="str">
        <x:v>paragraph</x:v>
      </x:c>
      <x:c r="N633" s="40" t="str">
        <x:v>No</x:v>
      </x:c>
      <x:c r="O633" s="30"/>
      <x:c r="P633" s="30" t="str">
        <x:v>8:10</x:v>
      </x:c>
    </x:row>
    <x:row r="634" ht="45" customHeight="1">
      <x:c r="A634" s="30" t="str">
        <x:v>PKP-A071</x:v>
      </x:c>
      <x:c r="B634" s="30" t="str">
        <x:v>p 8</x:v>
      </x:c>
      <x:c r="C634" s="30" t="str">
        <x:v>1. Be clear about who “owns” the emergency preparedness task. Without reading too deeply between the lines of the October New York University survey, Americans did not have a clear sense of just who was responsible for what in New Orleans and the Gulf States. Certainly, citizens cannot know just where to turn for help if there are too many agencies involved. Although there is ample room for great diversity in disseminating information on preparedness to hard-to-reach communities, the information should focus attention on where citizens should turn for information after a catastrophe, and where that information will be found—e.g., television, radio, internet, perhaps a 511 disaster information number, etc.</x:v>
      </x:c>
      <x:c r="D634" s="30" t="str">
        <x:v>Post-Katrina Preparedness</x:v>
      </x:c>
      <x:c r="E634" s="30" t="str">
        <x:v>Post-Katrina preparedness.pdf</x:v>
      </x:c>
      <x:c r="F634" s="40" t="str">
        <x:v>No</x:v>
      </x:c>
      <x:c r="G634" s="40" t="n">
        <x:v>0</x:v>
      </x:c>
      <x:c r="H634" s="40" t="str">
        <x:v>Unlabeled</x:v>
      </x:c>
      <x:c r="I634" s="40"/>
      <x:c r="J634" s="40"/>
      <x:c r="K634" s="30" t="str">
        <x:v>Default No — no retained human paragraph-level label in the curated GPT Test</x:v>
      </x:c>
      <x:c r="L634" s="30"/>
      <x:c r="M634" s="40" t="str">
        <x:v>paragraph</x:v>
      </x:c>
      <x:c r="N634" s="40" t="str">
        <x:v>No</x:v>
      </x:c>
      <x:c r="O634" s="30"/>
      <x:c r="P634" s="30" t="str">
        <x:v>8:11</x:v>
      </x:c>
    </x:row>
    <x:row r="635" ht="45" customHeight="1">
      <x:c r="A635" s="30" t="str">
        <x:v>PKP-A072</x:v>
      </x:c>
      <x:c r="B635" s="30" t="str">
        <x:v>pp 8-9</x:v>
      </x:c>
      <x:c r="C635" s="30" t="str">
        <x:v>2. Practice, practice, practice. More training creates high performance, but also generates news stories about readiness. Too many communities are waiting for disaster to strike to mount their first exercise. Plans are not enough, and may actually work against execution if they are so complicated that they cannot bend and flex against reality.</x:v>
      </x:c>
      <x:c r="D635" s="30" t="str">
        <x:v>Post-Katrina Preparedness</x:v>
      </x:c>
      <x:c r="E635" s="30" t="str">
        <x:v>Post-Katrina preparedness.pdf</x:v>
      </x:c>
      <x:c r="F635" s="40" t="str">
        <x:v>No</x:v>
      </x:c>
      <x:c r="G635" s="40" t="n">
        <x:v>0</x:v>
      </x:c>
      <x:c r="H635" s="40" t="str">
        <x:v>Unlabeled</x:v>
      </x:c>
      <x:c r="I635" s="40"/>
      <x:c r="J635" s="40"/>
      <x:c r="K635" s="30" t="str">
        <x:v>Default No — no retained human paragraph-level label in the curated GPT Test</x:v>
      </x:c>
      <x:c r="L635" s="30"/>
      <x:c r="M635" s="40" t="str">
        <x:v>paragraph</x:v>
      </x:c>
      <x:c r="N635" s="40" t="str">
        <x:v>No</x:v>
      </x:c>
      <x:c r="O635" s="30"/>
      <x:c r="P635" s="30" t="str">
        <x:v>8:12;9:2</x:v>
      </x:c>
    </x:row>
    <x:row r="636" ht="45" customHeight="1">
      <x:c r="A636" s="30" t="str">
        <x:v>PKP-A073</x:v>
      </x:c>
      <x:c r="B636" s="30" t="str">
        <x:v>p 9</x:v>
      </x:c>
      <x:c r="C636" s="30" t="str">
        <x:v>3. Make the emergency management function as visible as possible within state and local governments. Too often, the function is buried within a fire or police department, with all that means for public visibility for the director of emergency management. To the extent possible, the director of emergency management should be a visible, well-known figure in local government and the media, meaning someone who can be easily identified as a trusted source of information.</x:v>
      </x:c>
      <x:c r="D636" s="30" t="str">
        <x:v>Post-Katrina Preparedness</x:v>
      </x:c>
      <x:c r="E636" s="30" t="str">
        <x:v>Post-Katrina preparedness.pdf</x:v>
      </x:c>
      <x:c r="F636" s="40" t="str">
        <x:v>No</x:v>
      </x:c>
      <x:c r="G636" s="40" t="n">
        <x:v>0</x:v>
      </x:c>
      <x:c r="H636" s="40" t="str">
        <x:v>Unlabeled</x:v>
      </x:c>
      <x:c r="I636" s="40"/>
      <x:c r="J636" s="40"/>
      <x:c r="K636" s="30" t="str">
        <x:v>Default No — no retained human paragraph-level label in the curated GPT Test</x:v>
      </x:c>
      <x:c r="L636" s="30"/>
      <x:c r="M636" s="40" t="str">
        <x:v>paragraph</x:v>
      </x:c>
      <x:c r="N636" s="40" t="str">
        <x:v>No</x:v>
      </x:c>
      <x:c r="O636" s="30"/>
      <x:c r="P636" s="30" t="str">
        <x:v>9:3</x:v>
      </x:c>
    </x:row>
    <x:row r="637" ht="45" customHeight="1">
      <x:c r="A637" s="30" t="str">
        <x:v>PKP-A074</x:v>
      </x:c>
      <x:c r="B637" s="30" t="str">
        <x:v>p 9</x:v>
      </x:c>
      <x:c r="C637" s="30" t="str">
        <x:v>4. Draw upon the Department of Homeland Security playbook. Local governments should think hard about creating a government-wide office of preparedness, which the Department of Homeland Security just created to enhance cooperation between all units involved in disaster education, funding, and preparedness. Creating a government-wide preparedness unit in the mayor’s or city manager’s office is easily done, and could reassure citizens provided that a talented professional is selected to head the operation. Cronyism has no place in such an appointment.</x:v>
      </x:c>
      <x:c r="D637" s="30" t="str">
        <x:v>Post-Katrina Preparedness</x:v>
      </x:c>
      <x:c r="E637" s="30" t="str">
        <x:v>Post-Katrina preparedness.pdf</x:v>
      </x:c>
      <x:c r="F637" s="40" t="str">
        <x:v>No</x:v>
      </x:c>
      <x:c r="G637" s="40" t="n">
        <x:v>0</x:v>
      </x:c>
      <x:c r="H637" s="40" t="str">
        <x:v>Unlabeled</x:v>
      </x:c>
      <x:c r="I637" s="40"/>
      <x:c r="J637" s="40"/>
      <x:c r="K637" s="30" t="str">
        <x:v>Default No — no retained human paragraph-level label in the curated GPT Test</x:v>
      </x:c>
      <x:c r="L637" s="30"/>
      <x:c r="M637" s="40" t="str">
        <x:v>paragraph</x:v>
      </x:c>
      <x:c r="N637" s="40" t="str">
        <x:v>No</x:v>
      </x:c>
      <x:c r="O637" s="30"/>
      <x:c r="P637" s="30" t="str">
        <x:v>9:4</x:v>
      </x:c>
    </x:row>
    <x:row r="638" ht="45" customHeight="1">
      <x:c r="A638" s="30" t="str">
        <x:v>PKP-A075</x:v>
      </x:c>
      <x:c r="B638" s="30" t="str">
        <x:v>p 9</x:v>
      </x:c>
      <x:c r="C638" s="30" t="str">
        <x:v>5. Create a local command center. Local governments should also give close consideration to the Department of Homeland Security’s decision to create a department-wide operation unit that acts a command center during actual disasters. Structured to involve stakeholders across a region, such an operations center could improve reaction times, while minimizing finger-pointing during and after an event. However, such a command center is doomed to failure unless local governments put a single individual in charge of actual decisions.</x:v>
      </x:c>
      <x:c r="D638" s="30" t="str">
        <x:v>Post-Katrina Preparedness</x:v>
      </x:c>
      <x:c r="E638" s="30" t="str">
        <x:v>Post-Katrina preparedness.pdf</x:v>
      </x:c>
      <x:c r="F638" s="40" t="str">
        <x:v>No</x:v>
      </x:c>
      <x:c r="G638" s="40" t="n">
        <x:v>0</x:v>
      </x:c>
      <x:c r="H638" s="40" t="str">
        <x:v>Unlabeled</x:v>
      </x:c>
      <x:c r="I638" s="40"/>
      <x:c r="J638" s="40"/>
      <x:c r="K638" s="30" t="str">
        <x:v>Default No — no retained human paragraph-level label in the curated GPT Test</x:v>
      </x:c>
      <x:c r="L638" s="30"/>
      <x:c r="M638" s="40" t="str">
        <x:v>paragraph</x:v>
      </x:c>
      <x:c r="N638" s="40" t="str">
        <x:v>No</x:v>
      </x:c>
      <x:c r="O638" s="30"/>
      <x:c r="P638" s="30" t="str">
        <x:v>9:5</x:v>
      </x:c>
    </x:row>
    <x:row r="639" ht="45" customHeight="1">
      <x:c r="A639" s="30" t="str">
        <x:v>PKP-A076</x:v>
      </x:c>
      <x:c r="B639" s="30" t="str">
        <x:v>p 9</x:v>
      </x:c>
      <x:c r="C639" s="30" t="str">
        <x:v>6. Build local capacity for response around all sectors, including private businesses, charitable organizations, and faith-based organizations. Not only are these non-governmental agencies often the first to arrive at a disaster, they are essential educators of the public. The low level of confidence in local business is particularly troubling given the fact that they have such influence over employee time and focus. Local businesses must be partners in preparedness, and should work together toward joint training activities for their employees. Similarly, local charities and faith-based organizations can provide needed insights into closing the preparedness divide, as well as providing long-overdue training to the pockets of poverty and isolation that produced so many victims of Hurricane Katrina.</x:v>
      </x:c>
      <x:c r="D639" s="30" t="str">
        <x:v>Post-Katrina Preparedness</x:v>
      </x:c>
      <x:c r="E639" s="30" t="str">
        <x:v>Post-Katrina preparedness.pdf</x:v>
      </x:c>
      <x:c r="F639" s="40" t="str">
        <x:v>No</x:v>
      </x:c>
      <x:c r="G639" s="40" t="n">
        <x:v>0</x:v>
      </x:c>
      <x:c r="H639" s="40" t="str">
        <x:v>Unlabeled</x:v>
      </x:c>
      <x:c r="I639" s="40"/>
      <x:c r="J639" s="40"/>
      <x:c r="K639" s="30" t="str">
        <x:v>Default No — no retained human paragraph-level label in the curated GPT Test</x:v>
      </x:c>
      <x:c r="L639" s="30"/>
      <x:c r="M639" s="40" t="str">
        <x:v>paragraph</x:v>
      </x:c>
      <x:c r="N639" s="40" t="str">
        <x:v>No</x:v>
      </x:c>
      <x:c r="O639" s="30"/>
      <x:c r="P639" s="30" t="str">
        <x:v>9:6;9:7</x:v>
      </x:c>
    </x:row>
    <x:row r="640" ht="45" customHeight="1">
      <x:c r="A640" s="30" t="str">
        <x:v>PKP-A077</x:v>
      </x:c>
      <x:c r="B640" s="30" t="str">
        <x:v>p 9</x:v>
      </x:c>
      <x:c r="C640" s="30" t="str">
        <x:v>Most Americans think catastrophe will happen just about anywhere but home. Although most have enough canned goods and bottled water to last a few days, the vast majority place their faith in their local police, fire, and charities to tell them what to do. The problem with Katrina is that many simply citizens did not listen, communications were cut off, and the local governments evacuated with the public, leaving few behind to deal with the looting. If anyone had rehearsed for a category five hurricane, it did not show.</x:v>
      </x:c>
      <x:c r="D640" s="30" t="str">
        <x:v>Post-Katrina Preparedness</x:v>
      </x:c>
      <x:c r="E640" s="30" t="str">
        <x:v>Post-Katrina preparedness.pdf</x:v>
      </x:c>
      <x:c r="F640" s="40" t="str">
        <x:v>No</x:v>
      </x:c>
      <x:c r="G640" s="40" t="n">
        <x:v>0</x:v>
      </x:c>
      <x:c r="H640" s="40" t="str">
        <x:v>Unlabeled</x:v>
      </x:c>
      <x:c r="I640" s="40"/>
      <x:c r="J640" s="40"/>
      <x:c r="K640" s="30" t="str">
        <x:v>Default No — no retained human paragraph-level label in the curated GPT Test</x:v>
      </x:c>
      <x:c r="L640" s="30"/>
      <x:c r="M640" s="40" t="str">
        <x:v>paragraph</x:v>
      </x:c>
      <x:c r="N640" s="40" t="str">
        <x:v>No</x:v>
      </x:c>
      <x:c r="O640" s="30"/>
      <x:c r="P640" s="30" t="str">
        <x:v>9:9</x:v>
      </x:c>
    </x:row>
    <x:row r="641" ht="45" customHeight="1">
      <x:c r="A641" s="30" t="str">
        <x:v>PKP-A078</x:v>
      </x:c>
      <x:c r="B641" s="30" t="str">
        <x:v>p 9</x:v>
      </x:c>
      <x:c r="C641" s="30" t="str">
        <x:v>What the nation needs most right now is a robust response system that can bend and flex to the unique circumstances of a given event. Such a system must be alert to impending catastrophe, agile in implementing well-designed plans for response and recovery, adaptive to surprise events such as the collapse of the New Orleans’ levees, and aligned so that all responders can pull together from Washington on down to the very first responder who shows up at a site.</x:v>
      </x:c>
      <x:c r="D641" s="30" t="str">
        <x:v>Post-Katrina Preparedness</x:v>
      </x:c>
      <x:c r="E641" s="30" t="str">
        <x:v>Post-Katrina preparedness.pdf</x:v>
      </x:c>
      <x:c r="F641" s="40" t="str">
        <x:v>No</x:v>
      </x:c>
      <x:c r="G641" s="40" t="n">
        <x:v>0</x:v>
      </x:c>
      <x:c r="H641" s="40" t="str">
        <x:v>Unlabeled</x:v>
      </x:c>
      <x:c r="I641" s="40"/>
      <x:c r="J641" s="40"/>
      <x:c r="K641" s="30" t="str">
        <x:v>Default No — no retained human paragraph-level label in the curated GPT Test</x:v>
      </x:c>
      <x:c r="L641" s="30"/>
      <x:c r="M641" s="40" t="str">
        <x:v>paragraph</x:v>
      </x:c>
      <x:c r="N641" s="40" t="str">
        <x:v>No</x:v>
      </x:c>
      <x:c r="O641" s="30"/>
      <x:c r="P641" s="30" t="str">
        <x:v>9:10</x:v>
      </x:c>
    </x:row>
    <x:row r="642" ht="45" customHeight="1">
      <x:c r="A642" s="30" t="str">
        <x:v>PKP-A079</x:v>
      </x:c>
      <x:c r="B642" s="30" t="str">
        <x:v>p 9</x:v>
      </x:c>
      <x:c r="C642" s="30" t="str">
        <x:v>The first pillar of a robust response system is alertness to what lies ahead. As Katrina surely suggests, the nation faces many possible catastrophes, some that can be predicted, others unexpected but inevitable. What makes a highperforming response system different from the hastily-invented system now operating in the Gulf States is that it is constantly scanning a wide range of scenarios of the future to discover potential crisis. Katrina gave fair warning, but terrorists most certainly will not.</x:v>
      </x:c>
      <x:c r="D642" s="30" t="str">
        <x:v>Post-Katrina Preparedness</x:v>
      </x:c>
      <x:c r="E642" s="30" t="str">
        <x:v>Post-Katrina preparedness.pdf</x:v>
      </x:c>
      <x:c r="F642" s="40" t="str">
        <x:v>No</x:v>
      </x:c>
      <x:c r="G642" s="40" t="n">
        <x:v>0</x:v>
      </x:c>
      <x:c r="H642" s="40" t="str">
        <x:v>Unlabeled</x:v>
      </x:c>
      <x:c r="I642" s="40"/>
      <x:c r="J642" s="40"/>
      <x:c r="K642" s="30" t="str">
        <x:v>Default No — no retained human paragraph-level label in the curated GPT Test</x:v>
      </x:c>
      <x:c r="L642" s="30"/>
      <x:c r="M642" s="40" t="str">
        <x:v>paragraph</x:v>
      </x:c>
      <x:c r="N642" s="40" t="str">
        <x:v>No</x:v>
      </x:c>
      <x:c r="O642" s="30"/>
      <x:c r="P642" s="30" t="str">
        <x:v>9:11</x:v>
      </x:c>
    </x:row>
    <x:row r="643" ht="45" customHeight="1">
      <x:c r="A643" s="30" t="str">
        <x:v>PKP-A080</x:v>
      </x:c>
      <x:c r="B643" s="30" t="str">
        <x:v>pp 9-10</x:v>
      </x:c>
      <x:c r="C643" s="30" t="str">
        <x:v>The second pillar of a robust response system is agility, which often resides in recruiting, training, retaining, and redeploying a talented, flexible workforce. Too many local governments have yet to complete even the most basic training on how to respond to a small-scale catastrophe such as a terrorist bombing at a local shopping center, let alone an attack on a chemical refinery.</x:v>
      </x:c>
      <x:c r="D643" s="30" t="str">
        <x:v>Post-Katrina Preparedness</x:v>
      </x:c>
      <x:c r="E643" s="30" t="str">
        <x:v>Post-Katrina preparedness.pdf</x:v>
      </x:c>
      <x:c r="F643" s="40" t="str">
        <x:v>No</x:v>
      </x:c>
      <x:c r="G643" s="40" t="n">
        <x:v>0</x:v>
      </x:c>
      <x:c r="H643" s="40" t="str">
        <x:v>Unlabeled</x:v>
      </x:c>
      <x:c r="I643" s="40"/>
      <x:c r="J643" s="40"/>
      <x:c r="K643" s="30" t="str">
        <x:v>Default No — no retained human paragraph-level label in the curated GPT Test</x:v>
      </x:c>
      <x:c r="L643" s="30"/>
      <x:c r="M643" s="40" t="str">
        <x:v>paragraph</x:v>
      </x:c>
      <x:c r="N643" s="40" t="str">
        <x:v>No</x:v>
      </x:c>
      <x:c r="O643" s="30"/>
      <x:c r="P643" s="30" t="str">
        <x:v>9:12;10:2</x:v>
      </x:c>
    </x:row>
    <x:row r="644" ht="45" customHeight="1">
      <x:c r="A644" s="30" t="str">
        <x:v>PKP-A081</x:v>
      </x:c>
      <x:c r="B644" s="30" t="str">
        <x:v>p 10</x:v>
      </x:c>
      <x:c r="C644" s="30" t="str">
        <x:v>Agility also resides in making sure first responders can talk to each other on equipment that can survive a major catastrophe. It is one thing to have a plan in place, and quite another to actually execute it. Doing so requires an agile network of signals that can tell first responders where to go and what to do.</x:v>
      </x:c>
      <x:c r="D644" s="30" t="str">
        <x:v>Post-Katrina Preparedness</x:v>
      </x:c>
      <x:c r="E644" s="30" t="str">
        <x:v>Post-Katrina preparedness.pdf</x:v>
      </x:c>
      <x:c r="F644" s="40" t="str">
        <x:v>No</x:v>
      </x:c>
      <x:c r="G644" s="40" t="n">
        <x:v>0</x:v>
      </x:c>
      <x:c r="H644" s="40" t="str">
        <x:v>Unlabeled</x:v>
      </x:c>
      <x:c r="I644" s="40"/>
      <x:c r="J644" s="40"/>
      <x:c r="K644" s="30" t="str">
        <x:v>Default No — no retained human paragraph-level label in the curated GPT Test</x:v>
      </x:c>
      <x:c r="L644" s="30"/>
      <x:c r="M644" s="40" t="str">
        <x:v>paragraph</x:v>
      </x:c>
      <x:c r="N644" s="40" t="str">
        <x:v>No</x:v>
      </x:c>
      <x:c r="O644" s="30"/>
      <x:c r="P644" s="30" t="str">
        <x:v>10:3</x:v>
      </x:c>
    </x:row>
    <x:row r="645" ht="45" customHeight="1">
      <x:c r="A645" s="30" t="str">
        <x:v>PKP-A082</x:v>
      </x:c>
      <x:c r="B645" s="30" t="str">
        <x:v>p 10</x:v>
      </x:c>
      <x:c r="C645" s="30" t="str">
        <x:v>The third pillar of a robust response system is adaptability. Although no one can be prepared for every eventuality, a robust system provides enough flexibility in dollars, equipment, and duct tape to bring innovation to bear on unexpected events such as flooding and massive fatalities.</x:v>
      </x:c>
      <x:c r="D645" s="30" t="str">
        <x:v>Post-Katrina Preparedness</x:v>
      </x:c>
      <x:c r="E645" s="30" t="str">
        <x:v>Post-Katrina preparedness.pdf</x:v>
      </x:c>
      <x:c r="F645" s="40" t="str">
        <x:v>No</x:v>
      </x:c>
      <x:c r="G645" s="40" t="n">
        <x:v>0</x:v>
      </x:c>
      <x:c r="H645" s="40" t="str">
        <x:v>Unlabeled</x:v>
      </x:c>
      <x:c r="I645" s="40"/>
      <x:c r="J645" s="40"/>
      <x:c r="K645" s="30" t="str">
        <x:v>Default No — no retained human paragraph-level label in the curated GPT Test</x:v>
      </x:c>
      <x:c r="L645" s="30"/>
      <x:c r="M645" s="40" t="str">
        <x:v>paragraph</x:v>
      </x:c>
      <x:c r="N645" s="40" t="str">
        <x:v>No</x:v>
      </x:c>
      <x:c r="O645" s="30"/>
      <x:c r="P645" s="30" t="str">
        <x:v>10:4</x:v>
      </x:c>
    </x:row>
    <x:row r="646" ht="45" customHeight="1">
      <x:c r="A646" s="30" t="str">
        <x:v>PKP-A083</x:v>
      </x:c>
      <x:c r="B646" s="30" t="str">
        <x:v>p 10</x:v>
      </x:c>
      <x:c r="C646" s="30" t="str">
        <x:v>The fourth and final pillar of a robust response system is alignment of all organizations to a central plan. There are not only too many cooks in the kitchen, as New Orleans Mayor Ray Nagin complained the day his levees collapsed, but too many recipes for action. Each one of the plans was no doubt drafted with the best of attentions, but they rarely blend together into a seamless whole. Having an aligned system means deciding who is in charge under which circumstances, then communicating that decision to the public.</x:v>
      </x:c>
      <x:c r="D646" s="30" t="str">
        <x:v>Post-Katrina Preparedness</x:v>
      </x:c>
      <x:c r="E646" s="30" t="str">
        <x:v>Post-Katrina preparedness.pdf</x:v>
      </x:c>
      <x:c r="F646" s="40" t="str">
        <x:v>No</x:v>
      </x:c>
      <x:c r="G646" s="40" t="n">
        <x:v>0</x:v>
      </x:c>
      <x:c r="H646" s="40" t="str">
        <x:v>Unlabeled</x:v>
      </x:c>
      <x:c r="I646" s="40"/>
      <x:c r="J646" s="40"/>
      <x:c r="K646" s="30" t="str">
        <x:v>Default No — no retained human paragraph-level label in the curated GPT Test</x:v>
      </x:c>
      <x:c r="L646" s="30"/>
      <x:c r="M646" s="40" t="str">
        <x:v>paragraph</x:v>
      </x:c>
      <x:c r="N646" s="40" t="str">
        <x:v>No</x:v>
      </x:c>
      <x:c r="O646" s="30"/>
      <x:c r="P646" s="30" t="str">
        <x:v>10:5</x:v>
      </x:c>
    </x:row>
    <x:row r="647" ht="45" customHeight="1">
      <x:c r="A647" s="30" t="str">
        <x:v>PKP-A084</x:v>
      </x:c>
      <x:c r="B647" s="30" t="str">
        <x:v>p 10</x:v>
      </x:c>
      <x:c r="C647" s="30" t="str">
        <x:v>Creating this kind of robust response system requires time, money, constant rehearsal, and concentration. More importantly, government and its many partners cannot be part of a robust system if they are not robust organizations themselves. They must strengthen the same four pillars of high performance that have allowed companies such as Intel, Marriott, Volvo, and even the Rolling Stones to stay ahead of the surprises they face. The nation should commit to a robust preparedness, response, and recovery system, and get ready to spend the money to build it. The recent Homeland Security Department reorganization plan is designed to do just that. State and local governments would be wise to follow the lead.</x:v>
      </x:c>
      <x:c r="D647" s="30" t="str">
        <x:v>Post-Katrina Preparedness</x:v>
      </x:c>
      <x:c r="E647" s="30" t="str">
        <x:v>Post-Katrina preparedness.pdf</x:v>
      </x:c>
      <x:c r="F647" s="40" t="str">
        <x:v>No</x:v>
      </x:c>
      <x:c r="G647" s="40" t="n">
        <x:v>0</x:v>
      </x:c>
      <x:c r="H647" s="40" t="str">
        <x:v>Unlabeled</x:v>
      </x:c>
      <x:c r="I647" s="40"/>
      <x:c r="J647" s="40"/>
      <x:c r="K647" s="30" t="str">
        <x:v>Default No — no retained human paragraph-level label in the curated GPT Test</x:v>
      </x:c>
      <x:c r="L647" s="30"/>
      <x:c r="M647" s="40" t="str">
        <x:v>paragraph</x:v>
      </x:c>
      <x:c r="N647" s="40" t="str">
        <x:v>No</x:v>
      </x:c>
      <x:c r="O647" s="30"/>
      <x:c r="P647" s="30" t="str">
        <x:v>10:6</x:v>
      </x:c>
    </x:row>
    <x:row r="648" ht="45" customHeight="1">
      <x:c r="A648" s="30" t="str">
        <x:v>PAR-A001</x:v>
      </x:c>
      <x:c r="B648" s="30" t="str">
        <x:v>p 1</x:v>
      </x:c>
      <x:c r="C648" s="30" t="str">
        <x:v>What would another Hurricane Katrina bring in 2020? Is government at all levels ready for such an event? This essay argues that learning to manage actions supporting disaster response and recovery operations consistently and effectively requires strategic, not reactive, thinking. It adopts a framework based in issues focused thinking, externally focused management, and opportunity-seeking behavior to examine the complex mix of individuals, organizations, and actions involved in response and recovery. The authors conclude that strides have been made since Katrina, but the development of greater strategic capacity is a necessary prerequisite to effective disaster management in the future.</x:v>
      </x:c>
      <x:c r="D648" s="30" t="str">
        <x:v>PAR</x:v>
      </x:c>
      <x:c r="E648" s="30" t="str">
        <x:v>Public Administration Review - 2010 - McGuire - What if Hurricane Katrina Hit in 2020  The Need for Strategic Management of.pdf</x:v>
      </x:c>
      <x:c r="F648" s="40" t="str">
        <x:v>No</x:v>
      </x:c>
      <x:c r="G648" s="40" t="n">
        <x:v>0</x:v>
      </x:c>
      <x:c r="H648" s="40" t="str">
        <x:v>Unlabeled</x:v>
      </x:c>
      <x:c r="I648" s="40"/>
      <x:c r="J648" s="40"/>
      <x:c r="K648" s="30" t="str">
        <x:v>Default No — no retained human paragraph-level label in the curated GPT Test</x:v>
      </x:c>
      <x:c r="L648" s="30"/>
      <x:c r="M648" s="40" t="str">
        <x:v>paragraph</x:v>
      </x:c>
      <x:c r="N648" s="40" t="str">
        <x:v>No</x:v>
      </x:c>
      <x:c r="O648" s="30"/>
      <x:c r="P648" s="30" t="str">
        <x:v>1:6</x:v>
      </x:c>
    </x:row>
    <x:row r="649" ht="45" customHeight="1">
      <x:c r="A649" s="30" t="str">
        <x:v>PAR-A002</x:v>
      </x:c>
      <x:c r="B649" s="30" t="str">
        <x:v>p 1</x:v>
      </x:c>
      <x:c r="C649" s="30" t="str">
        <x:v>Scores of reports, newspaper accounts, documentaries, and academic articles have been produced about the catastrophic U.S. hurricane of 2005, Hurricane Katrina. Many of these are empirical, but some are polemical, bemoaning the work of government officials in the disaster—and with good reason. There is little disagreement that government agencies at all levels failed in some aspect to protect one of the affected cities, New Orleans, before the event and botched the response to, and recovery from, the event after the hurricane struck. Certainly, the shock of Katrina reminded everyone in government of the valuable lesson that management, organization, and, especially, leadership matter, particularly in times of crisis. Catastrophe has a way of exposing weaknesses in an administrative structure, and tragedy leads all to reevaluate their circumstances, be they organizations, communities, or individuals.</x:v>
      </x:c>
      <x:c r="D649" s="30" t="str">
        <x:v>PAR</x:v>
      </x:c>
      <x:c r="E649" s="30" t="str">
        <x:v>Public Administration Review - 2010 - McGuire - What if Hurricane Katrina Hit in 2020  The Need for Strategic Management of.pdf</x:v>
      </x:c>
      <x:c r="F649" s="40" t="str">
        <x:v>No</x:v>
      </x:c>
      <x:c r="G649" s="40" t="n">
        <x:v>0</x:v>
      </x:c>
      <x:c r="H649" s="40" t="str">
        <x:v>Unlabeled</x:v>
      </x:c>
      <x:c r="I649" s="40"/>
      <x:c r="J649" s="40"/>
      <x:c r="K649" s="30" t="str">
        <x:v>Default No — no retained human paragraph-level label in the curated GPT Test</x:v>
      </x:c>
      <x:c r="L649" s="30"/>
      <x:c r="M649" s="40" t="str">
        <x:v>paragraph</x:v>
      </x:c>
      <x:c r="N649" s="40" t="str">
        <x:v>Yes</x:v>
      </x:c>
      <x:c r="O649" s="30" t="str">
        <x:v>Drop-cap 'S' and a cross-column continuation were reconstructed from PyMuPDF blocks on page 1; verify visually if exact typography matters.</x:v>
      </x:c>
      <x:c r="P649" s="30" t="str">
        <x:v>1:9;1:10</x:v>
      </x:c>
    </x:row>
    <x:row r="650" ht="45" customHeight="1">
      <x:c r="A650" s="30" t="str">
        <x:v>PAR-A003</x:v>
      </x:c>
      <x:c r="B650" s="30" t="str">
        <x:v>p 1</x:v>
      </x:c>
      <x:c r="C650" s="30" t="str">
        <x:v>What would another Hurricane Katrina bring in 2020? Is government at all levels ready for such an event? Or is the worst yet to come? (Kettl 2006). In the following sections, we argue that successful emergency preparedness, response, and recovery in the future are largely functions of the degree to which government leaders possess strategic management capacity. Such management is an ongoing process integrating planning that is issue focused, externally oriented, and opportunity seeking (Koteen 1997). We do not sound the alarm that is so common among post-9/11 and Katrina commentators, but rather offer a strategic framework to enhance our understanding of the importance of management and leadership before and during a Katrina-like event occurring in the year 2020. We cannot point to the characteristics of what an “ideal” response and recovery for any given situation or locale might look like in this short essay—if indeed such characteristics exist and could be identified—but we do offer perspectives on the critical managerial components of an emergency management strategy. Our observations are grounded in the notion that a “disaster occurs when the demands of the system are greater than the capabilities of the community to meet them” (Simpson 2008). Put another way, the impact of a disaster “agent” (such as a hurricane) alone does not determine whether an actual disaster occurred; it is also a question of whether the community has the requisite strategic capacity to effectively mitigate, address, and cope with the incident.</x:v>
      </x:c>
      <x:c r="D650" s="30" t="str">
        <x:v>PAR</x:v>
      </x:c>
      <x:c r="E650" s="30" t="str">
        <x:v>Public Administration Review - 2010 - McGuire - What if Hurricane Katrina Hit in 2020  The Need for Strategic Management of.pdf</x:v>
      </x:c>
      <x:c r="F650" s="40" t="str">
        <x:v>No</x:v>
      </x:c>
      <x:c r="G650" s="40" t="n">
        <x:v>0</x:v>
      </x:c>
      <x:c r="H650" s="40" t="str">
        <x:v>Unlabeled</x:v>
      </x:c>
      <x:c r="I650" s="40"/>
      <x:c r="J650" s="40"/>
      <x:c r="K650" s="30" t="str">
        <x:v>Default No — no retained human paragraph-level label in the curated GPT Test</x:v>
      </x:c>
      <x:c r="L650" s="30"/>
      <x:c r="M650" s="40" t="str">
        <x:v>paragraph</x:v>
      </x:c>
      <x:c r="N650" s="40" t="str">
        <x:v>No</x:v>
      </x:c>
      <x:c r="O650" s="30"/>
      <x:c r="P650" s="30" t="str">
        <x:v>1:11</x:v>
      </x:c>
    </x:row>
    <x:row r="651" ht="45" customHeight="1">
      <x:c r="A651" s="30" t="str">
        <x:v>PAR-A004</x:v>
      </x:c>
      <x:c r="B651" s="30" t="str">
        <x:v>pp 1-2</x:v>
      </x:c>
      <x:c r="C651" s="30" t="str">
        <x:v>Because much of the blame for the overall ineffective response to Katrina is placed on the Federal Emergency Management Agency (FEMA), as the nation’s coordinating arm for natural disasters and catastrophes, we use FEMA as a lens through which strategic capacity can be assessed and developed. Nonetheless, because basic federal law and practice have never abandoned the principle that initial responsibility rests with first responders and local management, we also demonstrate the importance of the relationship between all levels of government, nongovernmental organizations, and the general public, and how planning and support at the federal level should fan out through the intergovernmental system. We can never be 100 percent sure whether any city, region, state, or nation is prepared for any given unique catastrophic event, but certain managerial principles can be established that will enable a government scarred by Katrina to do its best and to more effectively mitigate and plan, and carry out its response and recovery obligations in the future. We conclude by arguing that, five years after Katrina, progress is being made, but the gains need to be consistently supported and maintained, with substantially more to be accomplished. But first, we examine the state of emergency management in the United States in the years immediately preceding Hurricane Katrina.</x:v>
      </x:c>
      <x:c r="D651" s="30" t="str">
        <x:v>PAR</x:v>
      </x:c>
      <x:c r="E651" s="30" t="str">
        <x:v>Public Administration Review - 2010 - McGuire - What if Hurricane Katrina Hit in 2020  The Need for Strategic Management of.pdf</x:v>
      </x:c>
      <x:c r="F651" s="40" t="str">
        <x:v>No</x:v>
      </x:c>
      <x:c r="G651" s="40" t="n">
        <x:v>0</x:v>
      </x:c>
      <x:c r="H651" s="40" t="str">
        <x:v>Unlabeled</x:v>
      </x:c>
      <x:c r="I651" s="40"/>
      <x:c r="J651" s="40"/>
      <x:c r="K651" s="30" t="str">
        <x:v>Default No — no retained human paragraph-level label in the curated GPT Test</x:v>
      </x:c>
      <x:c r="L651" s="30"/>
      <x:c r="M651" s="40" t="str">
        <x:v>paragraph</x:v>
      </x:c>
      <x:c r="N651" s="40" t="str">
        <x:v>No</x:v>
      </x:c>
      <x:c r="O651" s="30"/>
      <x:c r="P651" s="30" t="str">
        <x:v>1:12;2:6</x:v>
      </x:c>
    </x:row>
    <x:row r="652" ht="45" customHeight="1">
      <x:c r="A652" s="30" t="str">
        <x:v>PAR-A005</x:v>
      </x:c>
      <x:c r="B652" s="30" t="str">
        <x:v>p 2</x:v>
      </x:c>
      <x:c r="C652" s="30" t="str">
        <x:v>It is important to note at the outset, particularly within the context of the failures of Hurricane Katrina, that FEMA, like many other large agencies such as NASA or the U.S. Postal Service, has experienced cycles of failure, reform, success, deterioration, failure, and so on, for decades. Thus, reform initiatives are no stranger to FEMA or to the federal government in general. In August 2005, the focus of reform efforts within the U.S. government was to support the “war on terror.” Federal efforts, strategic and operational plans, reorganizations, and budgets established after the terrorist attacks on September 11, 2001, reflected this focus. During this time, frequently occurring natural and technological hazards quickly became the “poor cousin” to the potential for catastrophe resulting from international terrorism. Prior to 9/11, under the George W. Bush administration, FEMA, which was primarily associated with the federal coordination of large-scale responses to natural and technological hazards, lost its cabinet position, was given an administrator with virtually no emergency management experience, and faced a one-third cut in its proposed budget (Bea 2002; Hogue and Bea 2006).</x:v>
      </x:c>
      <x:c r="D652" s="30" t="str">
        <x:v>PAR</x:v>
      </x:c>
      <x:c r="E652" s="30" t="str">
        <x:v>Public Administration Review - 2010 - McGuire - What if Hurricane Katrina Hit in 2020  The Need for Strategic Management of.pdf</x:v>
      </x:c>
      <x:c r="F652" s="40" t="str">
        <x:v>No</x:v>
      </x:c>
      <x:c r="G652" s="40" t="n">
        <x:v>0</x:v>
      </x:c>
      <x:c r="H652" s="40" t="str">
        <x:v>Unlabeled</x:v>
      </x:c>
      <x:c r="I652" s="40"/>
      <x:c r="J652" s="40"/>
      <x:c r="K652" s="30" t="str">
        <x:v>Default No — no retained human paragraph-level label in the curated GPT Test</x:v>
      </x:c>
      <x:c r="L652" s="30"/>
      <x:c r="M652" s="40" t="str">
        <x:v>paragraph</x:v>
      </x:c>
      <x:c r="N652" s="40" t="str">
        <x:v>No</x:v>
      </x:c>
      <x:c r="O652" s="30"/>
      <x:c r="P652" s="30" t="str">
        <x:v>2:7</x:v>
      </x:c>
    </x:row>
    <x:row r="653" ht="45" customHeight="1">
      <x:c r="A653" s="30" t="str">
        <x:v>PAR-A006</x:v>
      </x:c>
      <x:c r="B653" s="30" t="str">
        <x:v>p 2</x:v>
      </x:c>
      <x:c r="C653" s="30" t="str">
        <x:v>The emergency management field was a patchwork of relationships and requirements, and as broad as the type of risks that society faced. In addition to dealing with natural and technological disasters, public health threats, environmental issues resulting in economic loss, cyberterrorism, and even astronomical issues (e.g., the possibility of asteroid and meteor strikes) were all on the plate of the field. It was a challenge, even in an all-hazards environment, to find common ground for discussions about particular types of disasters, as well as to accommodate the wide variety of professional interests from civil engineering to health and human services to psychological counseling. Guidance and “best practices” emanated from both governmental and nongovernmental organizations, but rarely did one consistent set exist for a given area (Waugh 2007).</x:v>
      </x:c>
      <x:c r="D653" s="30" t="str">
        <x:v>PAR</x:v>
      </x:c>
      <x:c r="E653" s="30" t="str">
        <x:v>Public Administration Review - 2010 - McGuire - What if Hurricane Katrina Hit in 2020  The Need for Strategic Management of.pdf</x:v>
      </x:c>
      <x:c r="F653" s="40" t="str">
        <x:v>No</x:v>
      </x:c>
      <x:c r="G653" s="40" t="n">
        <x:v>0</x:v>
      </x:c>
      <x:c r="H653" s="40" t="str">
        <x:v>Unlabeled</x:v>
      </x:c>
      <x:c r="I653" s="40"/>
      <x:c r="J653" s="40"/>
      <x:c r="K653" s="30" t="str">
        <x:v>Default No — no retained human paragraph-level label in the curated GPT Test</x:v>
      </x:c>
      <x:c r="L653" s="30"/>
      <x:c r="M653" s="40" t="str">
        <x:v>paragraph</x:v>
      </x:c>
      <x:c r="N653" s="40" t="str">
        <x:v>No</x:v>
      </x:c>
      <x:c r="O653" s="30"/>
      <x:c r="P653" s="30" t="str">
        <x:v>2:8;2:1</x:v>
      </x:c>
    </x:row>
    <x:row r="654" ht="45" customHeight="1">
      <x:c r="A654" s="30" t="str">
        <x:v>PAR-A007</x:v>
      </x:c>
      <x:c r="B654" s="30" t="str">
        <x:v>p 2</x:v>
      </x:c>
      <x:c r="C654" s="30" t="str">
        <x:v>Within two years after 9/11, FEMA had been absorbed into the newly cobbled together Department of Homeland Security along with more than 20 other organizational entities, many of the lessons identified as a result of large-scale emergency exercises had been generally forgotten or ignored, and a substantial number of physical infrastructure projects nationwide had been placed on hold. Nonetheless, actual hazard response seemed to improve; not since Hurricane Andrew in 1992 had a large-scale natural disaster been complicated by poor response.</x:v>
      </x:c>
      <x:c r="D654" s="30" t="str">
        <x:v>PAR</x:v>
      </x:c>
      <x:c r="E654" s="30" t="str">
        <x:v>Public Administration Review - 2010 - McGuire - What if Hurricane Katrina Hit in 2020  The Need for Strategic Management of.pdf</x:v>
      </x:c>
      <x:c r="F654" s="40" t="str">
        <x:v>No</x:v>
      </x:c>
      <x:c r="G654" s="40" t="n">
        <x:v>0</x:v>
      </x:c>
      <x:c r="H654" s="40" t="str">
        <x:v>Unlabeled</x:v>
      </x:c>
      <x:c r="I654" s="40"/>
      <x:c r="J654" s="40"/>
      <x:c r="K654" s="30" t="str">
        <x:v>Default No — no retained human paragraph-level label in the curated GPT Test</x:v>
      </x:c>
      <x:c r="L654" s="30"/>
      <x:c r="M654" s="40" t="str">
        <x:v>paragraph</x:v>
      </x:c>
      <x:c r="N654" s="40" t="str">
        <x:v>No</x:v>
      </x:c>
      <x:c r="O654" s="30"/>
      <x:c r="P654" s="30" t="str">
        <x:v>2:2</x:v>
      </x:c>
    </x:row>
    <x:row r="655" ht="45" customHeight="1">
      <x:c r="A655" s="30" t="str">
        <x:v>PAR-A008</x:v>
      </x:c>
      <x:c r="B655" s="30" t="str">
        <x:v>p 2</x:v>
      </x:c>
      <x:c r="C655" s="30" t="str">
        <x:v>At the time of Hurricane Katrina, on August 29, 2005, emergency management and program content and fiscal support varied wildly by region and locality; state and local programs had barely had a chance to reorganize in support of the new war on terror expectations; and some of the people who filled emergency management–related positions had rather eclectic educational and professional backgrounds. Many brought with them ideas, standards, and communication and organizational skills influenced by their primary discipline or field. The content of local emergency plans reflected this diversity, ranging from those composed of simply an “evacuation plan” (a map and a description of major area routes) to a more mature, fully developed plan, complete with an identification and analysis of likely risks, personnel qualifications, memoranda of understanding of support between organizations, an evacuation plan based on likely hazards and computer modeling, and requirements for training, drills, and periodic exercises (Edwards and Goodrich 2007; Grant 1996).</x:v>
      </x:c>
      <x:c r="D655" s="30" t="str">
        <x:v>PAR</x:v>
      </x:c>
      <x:c r="E655" s="30" t="str">
        <x:v>Public Administration Review - 2010 - McGuire - What if Hurricane Katrina Hit in 2020  The Need for Strategic Management of.pdf</x:v>
      </x:c>
      <x:c r="F655" s="40" t="str">
        <x:v>No</x:v>
      </x:c>
      <x:c r="G655" s="40" t="n">
        <x:v>0</x:v>
      </x:c>
      <x:c r="H655" s="40" t="str">
        <x:v>Unlabeled</x:v>
      </x:c>
      <x:c r="I655" s="40"/>
      <x:c r="J655" s="40"/>
      <x:c r="K655" s="30" t="str">
        <x:v>Default No — no retained human paragraph-level label in the curated GPT Test</x:v>
      </x:c>
      <x:c r="L655" s="30"/>
      <x:c r="M655" s="40" t="str">
        <x:v>paragraph</x:v>
      </x:c>
      <x:c r="N655" s="40" t="str">
        <x:v>No</x:v>
      </x:c>
      <x:c r="O655" s="30"/>
      <x:c r="P655" s="30" t="str">
        <x:v>2:3</x:v>
      </x:c>
    </x:row>
    <x:row r="656" ht="45" customHeight="1">
      <x:c r="A656" s="30" t="str">
        <x:v>PAR-A009</x:v>
      </x:c>
      <x:c r="B656" s="30" t="str">
        <x:v>p 2</x:v>
      </x:c>
      <x:c r="C656" s="30" t="str">
        <x:v>The unevenness in the maturity and capacity of local emergency administrative infrastructures not only resulted in legitimate re-gional differences, but also translated into an unevenness in strategic capacity, with some organizations being highly competent, while others were unable to perform even the most routine tasks (Sutphen and Waugh 1998). This, along with diversity in organizational entities of different sizes and types working together, tended to result in fragmentation attributable to a divergence of federal, state, and local government approaches to emergency management and differing views of emergency management based on individual frames of reference, leading to conflicts across peer organizations and among neighboring geographic jurisdictions (Drabek 2003; McEntire and Dawson 2007).</x:v>
      </x:c>
      <x:c r="D656" s="30" t="str">
        <x:v>PAR</x:v>
      </x:c>
      <x:c r="E656" s="30" t="str">
        <x:v>Public Administration Review - 2010 - McGuire - What if Hurricane Katrina Hit in 2020  The Need for Strategic Management of.pdf</x:v>
      </x:c>
      <x:c r="F656" s="40" t="str">
        <x:v>No</x:v>
      </x:c>
      <x:c r="G656" s="40" t="n">
        <x:v>0</x:v>
      </x:c>
      <x:c r="H656" s="40" t="str">
        <x:v>Unlabeled</x:v>
      </x:c>
      <x:c r="I656" s="40"/>
      <x:c r="J656" s="40"/>
      <x:c r="K656" s="30" t="str">
        <x:v>Default No — no retained human paragraph-level label in the curated GPT Test</x:v>
      </x:c>
      <x:c r="L656" s="30"/>
      <x:c r="M656" s="40" t="str">
        <x:v>paragraph</x:v>
      </x:c>
      <x:c r="N656" s="40" t="str">
        <x:v>No</x:v>
      </x:c>
      <x:c r="O656" s="30"/>
      <x:c r="P656" s="30" t="str">
        <x:v>2:4</x:v>
      </x:c>
    </x:row>
    <x:row r="657" ht="45" customHeight="1">
      <x:c r="A657" s="30" t="str">
        <x:v>PAR-A010</x:v>
      </x:c>
      <x:c r="B657" s="30" t="str">
        <x:v>pp 2-3</x:v>
      </x:c>
      <x:c r="C657" s="30" t="str">
        <x:v>Furthermore, FEMA’s Federal Response Plan, an operational plan that laid out the individual roles and responsibilities of federal responders, had been replaced in the post-9/11 environment with the National Response Plan (NRP) and the National Incident Management System. The NRP, in particular, attempted to impose federal expectations, not only on members of the federal family, but also on state and local entities in their efforts to deal with an all-hazards world; to address the lack of standardization of local and state emergency management organizations; and, more importantly, to consistently address emergency management issues associated with a terrorist attack.</x:v>
      </x:c>
      <x:c r="D657" s="30" t="str">
        <x:v>PAR</x:v>
      </x:c>
      <x:c r="E657" s="30" t="str">
        <x:v>Public Administration Review - 2010 - McGuire - What if Hurricane Katrina Hit in 2020  The Need for Strategic Management of.pdf</x:v>
      </x:c>
      <x:c r="F657" s="40" t="str">
        <x:v>No</x:v>
      </x:c>
      <x:c r="G657" s="40" t="n">
        <x:v>0</x:v>
      </x:c>
      <x:c r="H657" s="40" t="str">
        <x:v>Unlabeled</x:v>
      </x:c>
      <x:c r="I657" s="40"/>
      <x:c r="J657" s="40"/>
      <x:c r="K657" s="30" t="str">
        <x:v>Default No — no retained human paragraph-level label in the curated GPT Test</x:v>
      </x:c>
      <x:c r="L657" s="30"/>
      <x:c r="M657" s="40" t="str">
        <x:v>paragraph</x:v>
      </x:c>
      <x:c r="N657" s="40" t="str">
        <x:v>No</x:v>
      </x:c>
      <x:c r="O657" s="30"/>
      <x:c r="P657" s="30" t="str">
        <x:v>2:5;3:6</x:v>
      </x:c>
    </x:row>
    <x:row r="658" ht="45" customHeight="1">
      <x:c r="A658" s="30" t="str">
        <x:v>PAR-A011</x:v>
      </x:c>
      <x:c r="B658" s="30" t="str">
        <x:v>p 3</x:v>
      </x:c>
      <x:c r="C658" s="30" t="str">
        <x:v>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x:v>
      </x:c>
      <x:c r="D658" s="30" t="str">
        <x:v>PAR</x:v>
      </x:c>
      <x:c r="E658" s="30" t="str">
        <x:v>Public Administration Review - 2010 - McGuire - What if Hurricane Katrina Hit in 2020  The Need for Strategic Management of.pdf</x:v>
      </x:c>
      <x:c r="F658" s="40" t="str">
        <x:v>Yes</x:v>
      </x:c>
      <x:c r="G658" s="40" t="n">
        <x:v>1</x:v>
      </x:c>
      <x:c r="H658" s="40" t="str">
        <x:v>Direct human-labeled/adjudicated</x:v>
      </x:c>
      <x:c r="I658" s="40" t="str">
        <x:v>Anmol</x:v>
      </x:c>
      <x:c r="J658" s="40" t="str">
        <x:v>PAR-001</x:v>
      </x:c>
      <x:c r="K658" s="30" t="str">
        <x:v>Retained human/adjudicated label from the curated GPT Test after PyMuPDF source reconciliation.</x:v>
      </x:c>
      <x:c r="L658" s="30" t="str">
        <x:v>It identifies NRP as a specific plan that didn't work as well as conflict among regions. It asks for discontinuous change but implicitly.</x:v>
      </x:c>
      <x:c r="M658" s="40" t="str">
        <x:v>paragraph</x:v>
      </x:c>
      <x:c r="N658" s="40" t="str">
        <x:v>No</x:v>
      </x:c>
      <x:c r="O658" s="30"/>
      <x:c r="P658" s="30" t="str">
        <x:v>3:7</x:v>
      </x:c>
    </x:row>
    <x:row r="659" ht="45" customHeight="1">
      <x:c r="A659" s="30" t="str">
        <x:v>PAR-A012</x:v>
      </x:c>
      <x:c r="B659" s="30" t="str">
        <x:v>p 3</x:v>
      </x:c>
      <x:c r="C659" s="30" t="str">
        <x:v>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x:v>
      </x:c>
      <x:c r="D659" s="30" t="str">
        <x:v>PAR</x:v>
      </x:c>
      <x:c r="E659" s="30" t="str">
        <x:v>Public Administration Review - 2010 - McGuire - What if Hurricane Katrina Hit in 2020  The Need for Strategic Management of.pdf</x:v>
      </x:c>
      <x:c r="F659" s="40" t="str">
        <x:v>Yes</x:v>
      </x:c>
      <x:c r="G659" s="40" t="n">
        <x:v>1</x:v>
      </x:c>
      <x:c r="H659" s="40" t="str">
        <x:v>Direct human-labeled/adjudicated</x:v>
      </x:c>
      <x:c r="I659" s="40" t="str">
        <x:v>Anmol, Prerana</x:v>
      </x:c>
      <x:c r="J659" s="40" t="str">
        <x:v>PAR-002</x:v>
      </x:c>
      <x:c r="K659" s="30" t="str">
        <x:v>Retained human/adjudicated label from the curated GPT Test after PyMuPDF source reconciliation.</x:v>
      </x:c>
      <x:c r="L659" s="30" t="str">
        <x:v>Identifies lack of strategic management, coordination and collaboration as failures requiring discontinuous reform.</x:v>
      </x:c>
      <x:c r="M659" s="40" t="str">
        <x:v>paragraph</x:v>
      </x:c>
      <x:c r="N659" s="40" t="str">
        <x:v>No</x:v>
      </x:c>
      <x:c r="O659" s="30"/>
      <x:c r="P659" s="30" t="str">
        <x:v>3:8</x:v>
      </x:c>
    </x:row>
    <x:row r="660" ht="45" customHeight="1">
      <x:c r="A660" s="30" t="str">
        <x:v>PAR-A013</x:v>
      </x:c>
      <x:c r="B660" s="30" t="str">
        <x:v>p 3</x:v>
      </x:c>
      <x:c r="C660" s="30" t="str">
        <x:v>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x:v>
      </x:c>
      <x:c r="D660" s="30" t="str">
        <x:v>PAR</x:v>
      </x:c>
      <x:c r="E660" s="30" t="str">
        <x:v>Public Administration Review - 2010 - McGuire - What if Hurricane Katrina Hit in 2020  The Need for Strategic Management of.pdf</x:v>
      </x:c>
      <x:c r="F660" s="40" t="str">
        <x:v>Yes</x:v>
      </x:c>
      <x:c r="G660" s="40" t="n">
        <x:v>1</x:v>
      </x:c>
      <x:c r="H660" s="40" t="str">
        <x:v>Direct human-labeled/adjudicated</x:v>
      </x:c>
      <x:c r="I660" s="40" t="str">
        <x:v>Anmol</x:v>
      </x:c>
      <x:c r="J660" s="40" t="str">
        <x:v>PAR-003</x:v>
      </x:c>
      <x:c r="K660" s="30" t="str">
        <x:v>Retained human/adjudicated label from the curated GPT Test after PyMuPDF source reconciliation.</x:v>
      </x:c>
      <x:c r="L660" s="30" t="str">
        <x:v>It clearly reject excessive focus on one phase of emergency mgmt and calls for focus on others.</x:v>
      </x:c>
      <x:c r="M660" s="40" t="str">
        <x:v>paragraph</x:v>
      </x:c>
      <x:c r="N660" s="40" t="str">
        <x:v>No</x:v>
      </x:c>
      <x:c r="O660" s="30"/>
      <x:c r="P660" s="30" t="str">
        <x:v>3:9;3:1</x:v>
      </x:c>
    </x:row>
    <x:row r="661" ht="45" customHeight="1">
      <x:c r="A661" s="30" t="str">
        <x:v>PAR-A014</x:v>
      </x:c>
      <x:c r="B661" s="30" t="str">
        <x:v>p 3</x:v>
      </x:c>
      <x:c r="C661" s="30" t="str">
        <x:v>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x:v>
      </x:c>
      <x:c r="D661" s="30" t="str">
        <x:v>PAR</x:v>
      </x:c>
      <x:c r="E661" s="30" t="str">
        <x:v>Public Administration Review - 2010 - McGuire - What if Hurricane Katrina Hit in 2020  The Need for Strategic Management of.pdf</x:v>
      </x:c>
      <x:c r="F661" s="40" t="str">
        <x:v>Yes</x:v>
      </x:c>
      <x:c r="G661" s="40" t="n">
        <x:v>1</x:v>
      </x:c>
      <x:c r="H661" s="40" t="str">
        <x:v>Direct human-labeled/adjudicated</x:v>
      </x:c>
      <x:c r="I661" s="40" t="str">
        <x:v>Anmol, Prerana</x:v>
      </x:c>
      <x:c r="J661" s="40" t="str">
        <x:v>PAR-004</x:v>
      </x:c>
      <x:c r="K661" s="30" t="str">
        <x:v>Retained human/adjudicated label from the curated GPT Test after PyMuPDF source reconciliation.</x:v>
      </x:c>
      <x:c r="L661" s="30" t="str">
        <x:v>Identifies national response plan as problematic and long and indicates subtraction/consciness. Rejects govt led approach for more collaborataive approach.</x:v>
      </x:c>
      <x:c r="M661" s="40" t="str">
        <x:v>paragraph</x:v>
      </x:c>
      <x:c r="N661" s="40" t="str">
        <x:v>No</x:v>
      </x:c>
      <x:c r="O661" s="30"/>
      <x:c r="P661" s="30" t="str">
        <x:v>3:2</x:v>
      </x:c>
    </x:row>
    <x:row r="662" ht="45" customHeight="1">
      <x:c r="A662" s="30" t="str">
        <x:v>PAR-A015</x:v>
      </x:c>
      <x:c r="B662" s="30" t="str">
        <x:v>p 3</x:v>
      </x:c>
      <x:c r="C662" s="30" t="str">
        <x:v>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x:v>
      </x:c>
      <x:c r="D662" s="30" t="str">
        <x:v>PAR</x:v>
      </x:c>
      <x:c r="E662" s="30" t="str">
        <x:v>Public Administration Review - 2010 - McGuire - What if Hurricane Katrina Hit in 2020  The Need for Strategic Management of.pdf</x:v>
      </x:c>
      <x:c r="F662" s="40" t="str">
        <x:v>Yes</x:v>
      </x:c>
      <x:c r="G662" s="40" t="n">
        <x:v>1</x:v>
      </x:c>
      <x:c r="H662" s="40" t="str">
        <x:v>Direct human-labeled/adjudicated</x:v>
      </x:c>
      <x:c r="I662" s="40" t="str">
        <x:v>Prerana</x:v>
      </x:c>
      <x:c r="J662" s="40" t="str">
        <x:v>PAR-005</x:v>
      </x:c>
      <x:c r="K662" s="30" t="str">
        <x:v>Retained human/adjudicated label from the curated GPT Test after PyMuPDF source reconciliation.</x:v>
      </x:c>
      <x:c r="L662" s="30" t="str">
        <x:v>Prior framework identified as problematic; deliberate revision and replacement with a new framework.</x:v>
      </x:c>
      <x:c r="M662" s="40" t="str">
        <x:v>paragraph</x:v>
      </x:c>
      <x:c r="N662" s="40" t="str">
        <x:v>No</x:v>
      </x:c>
      <x:c r="O662" s="30"/>
      <x:c r="P662" s="30" t="str">
        <x:v>3:3</x:v>
      </x:c>
    </x:row>
    <x:row r="663" ht="45" customHeight="1">
      <x:c r="A663" s="30" t="str">
        <x:v>PAR-A016</x:v>
      </x:c>
      <x:c r="B663" s="30" t="str">
        <x:v>p 3</x:v>
      </x:c>
      <x:c r="C663" s="30" t="str">
        <x:v>The framework reflects the reality that all emergencies are essentially local, and it works hand in hand with the National Incident Management System, which was also updated and revised in 2008. The National Incident Management System provides the template for the management of incidents, while the National Response Framework provides the structure and mechanisms for nationallevel policy for incident management. Working together, they are intended to provide a systematic, proactive approach to guide departments and agencies in all three sectors to work seamlessly to respond to the effects of incidents. The issue of ineffective disaster response, as reflected in one of its fixes, has thus been exposed as a failure of public management.</x:v>
      </x:c>
      <x:c r="D663" s="30" t="str">
        <x:v>PAR</x:v>
      </x:c>
      <x:c r="E663" s="30" t="str">
        <x:v>Public Administration Review - 2010 - McGuire - What if Hurricane Katrina Hit in 2020  The Need for Strategic Management of.pdf</x:v>
      </x:c>
      <x:c r="F663" s="40" t="str">
        <x:v>No</x:v>
      </x:c>
      <x:c r="G663" s="40" t="n">
        <x:v>0</x:v>
      </x:c>
      <x:c r="H663" s="40" t="str">
        <x:v>Unlabeled</x:v>
      </x:c>
      <x:c r="I663" s="40"/>
      <x:c r="J663" s="40"/>
      <x:c r="K663" s="30" t="str">
        <x:v>Default No — no retained human paragraph-level label in the curated GPT Test</x:v>
      </x:c>
      <x:c r="L663" s="30"/>
      <x:c r="M663" s="40" t="str">
        <x:v>paragraph</x:v>
      </x:c>
      <x:c r="N663" s="40" t="str">
        <x:v>No</x:v>
      </x:c>
      <x:c r="O663" s="30"/>
      <x:c r="P663" s="30" t="str">
        <x:v>3:4</x:v>
      </x:c>
    </x:row>
    <x:row r="664" ht="45" customHeight="1">
      <x:c r="A664" s="30" t="str">
        <x:v>PAR-A017</x:v>
      </x:c>
      <x:c r="B664" s="30" t="str">
        <x:v>pp 3-4</x:v>
      </x:c>
      <x:c r="C664" s="30" t="str">
        <x:v>FEMA is also attempting to effectively address the strategic issue of recovery from disasters. The National Disaster Recovery Framework (in draft form at the time of this writing) is intended to move beyond the scope of the National Response Framework. The draft National Disaster Recovery Framework offers a spectrum of recovery actions that begins, in the ideal situation, before a disaster strikes. It states that postdisaster recovery activities should begin, or should be acknowledged as beginning, in the early stages of response, and that actions to support recovery activities should be built into governmental operations at all levels. Like the National Response Framework’s philosophy of response, the draft National Disaster Recovery Framework recognizes the role of the federal government as a partner, coordinator, and facilitator, and notes that tribal, state, and local governments have primary responsibility for the recovery of their communities and play the lead role in planning and authority for managing all aspects of community recovery.</x:v>
      </x:c>
      <x:c r="D664" s="30" t="str">
        <x:v>PAR</x:v>
      </x:c>
      <x:c r="E664" s="30" t="str">
        <x:v>Public Administration Review - 2010 - McGuire - What if Hurricane Katrina Hit in 2020  The Need for Strategic Management of.pdf</x:v>
      </x:c>
      <x:c r="F664" s="40" t="str">
        <x:v>No</x:v>
      </x:c>
      <x:c r="G664" s="40" t="n">
        <x:v>0</x:v>
      </x:c>
      <x:c r="H664" s="40" t="str">
        <x:v>Unlabeled</x:v>
      </x:c>
      <x:c r="I664" s="40"/>
      <x:c r="J664" s="40"/>
      <x:c r="K664" s="30" t="str">
        <x:v>Default No — no retained human paragraph-level label in the curated GPT Test</x:v>
      </x:c>
      <x:c r="L664" s="30"/>
      <x:c r="M664" s="40" t="str">
        <x:v>paragraph</x:v>
      </x:c>
      <x:c r="N664" s="40" t="str">
        <x:v>No</x:v>
      </x:c>
      <x:c r="O664" s="30"/>
      <x:c r="P664" s="30" t="str">
        <x:v>3:5;4:6</x:v>
      </x:c>
    </x:row>
    <x:row r="665" ht="45" customHeight="1">
      <x:c r="A665" s="30" t="str">
        <x:v>PAR-A018</x:v>
      </x:c>
      <x:c r="B665" s="30" t="str">
        <x:v>p 4</x:v>
      </x:c>
      <x:c r="C665" s="30" t="str">
        <x:v>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x:v>
      </x:c>
      <x:c r="D665" s="30" t="str">
        <x:v>PAR</x:v>
      </x:c>
      <x:c r="E665" s="30" t="str">
        <x:v>Public Administration Review - 2010 - McGuire - What if Hurricane Katrina Hit in 2020  The Need for Strategic Management of.pdf</x:v>
      </x:c>
      <x:c r="F665" s="40" t="str">
        <x:v>Yes</x:v>
      </x:c>
      <x:c r="G665" s="40" t="n">
        <x:v>1</x:v>
      </x:c>
      <x:c r="H665" s="40" t="str">
        <x:v>Direct human-labeled/adjudicated</x:v>
      </x:c>
      <x:c r="I665" s="40" t="str">
        <x:v>Anmol, Prerana</x:v>
      </x:c>
      <x:c r="J665" s="40" t="str">
        <x:v>PAR-006</x:v>
      </x:c>
      <x:c r="K665" s="30" t="str">
        <x:v>Retained human/adjudicated label from the curated GPT Test after PyMuPDF source reconciliation.</x:v>
      </x:c>
      <x:c r="L665" s="30" t="str">
        <x:v>It identifies a clear fault in NRP and assumptions around stakeholder communication, capacity and responsibility. It asks for a change in thinking of strategic capacity.</x:v>
      </x:c>
      <x:c r="M665" s="40" t="str">
        <x:v>paragraph</x:v>
      </x:c>
      <x:c r="N665" s="40" t="str">
        <x:v>No</x:v>
      </x:c>
      <x:c r="O665" s="30"/>
      <x:c r="P665" s="30" t="str">
        <x:v>4:7</x:v>
      </x:c>
    </x:row>
    <x:row r="666" ht="45" customHeight="1">
      <x:c r="A666" s="30" t="str">
        <x:v>PAR-A019</x:v>
      </x:c>
      <x:c r="B666" s="30" t="str">
        <x:v>p 4</x:v>
      </x:c>
      <x:c r="C666" s="30" t="str">
        <x:v>Disasters, by their very nature, typically exceed a single jurisdiction’s (or entity’s) ability or resources, and they almost never neatly contain themselves within a single city, county, or even state’s boundaries. Drabek and McEntire note that “disasters, by their very disruptive and dynamic nature, create such significant demands on the affected community that well-executed, multiorganizational responses become not only necessary, but essential... In addition, disasters often require the assistance of outsiders and multiple levels of government, thereby leading to multijurisdictional response operations” (2002, 206). Thus, the emergency management networks that characterize the field necessarily involve literally dozens of potential partners and sometimes thousands of volunteers. Petak explained long ago that, for emergency management, “understanding... the intergovernmental complexities may be of greater importance to the success of activities than scientific knowledge, technical remedies, or their associated economic cost and benefits” (1985, 4–5).</x:v>
      </x:c>
      <x:c r="D666" s="30" t="str">
        <x:v>PAR</x:v>
      </x:c>
      <x:c r="E666" s="30" t="str">
        <x:v>Public Administration Review - 2010 - McGuire - What if Hurricane Katrina Hit in 2020  The Need for Strategic Management of.pdf</x:v>
      </x:c>
      <x:c r="F666" s="40" t="str">
        <x:v>No</x:v>
      </x:c>
      <x:c r="G666" s="40" t="n">
        <x:v>0</x:v>
      </x:c>
      <x:c r="H666" s="40" t="str">
        <x:v>Unlabeled</x:v>
      </x:c>
      <x:c r="I666" s="40"/>
      <x:c r="J666" s="40"/>
      <x:c r="K666" s="30" t="str">
        <x:v>Default No — no retained human paragraph-level label in the curated GPT Test</x:v>
      </x:c>
      <x:c r="L666" s="30"/>
      <x:c r="M666" s="40" t="str">
        <x:v>paragraph</x:v>
      </x:c>
      <x:c r="N666" s="40" t="str">
        <x:v>No</x:v>
      </x:c>
      <x:c r="O666" s="30"/>
      <x:c r="P666" s="30" t="str">
        <x:v>4:8</x:v>
      </x:c>
    </x:row>
    <x:row r="667" ht="45" customHeight="1">
      <x:c r="A667" s="30" t="str">
        <x:v>PAR-A020</x:v>
      </x:c>
      <x:c r="B667" s="30" t="str">
        <x:v>p 4</x:v>
      </x:c>
      <x:c r="C667" s="30" t="str">
        <x:v>The National Response Framework provides a clear endorsement of the idea of locally led coordination in emergency management (DHS 2008). It defines the duties of local emergency managers as having the day-to-day authority and responsibility in their jurisdictions for overseeing emergency management programs and activities. The document states that the local emergency manager “coordinates all components of the local emergency management program,” and that includes coordinating the planning process; working collaboratively with other local agencies, which may include both nonprofit and for-profit organizations; and involving other organizations in planning, training, and exercises. Indeed, creating engaged partnerships is the first principle listed in the document. Even as local governments have often struggled to identify key local actors (Lindell et al. 1996), the National Response Framework emphasizes the idea that “communities, tribes, States, the Federal Government, [nongovernmental organizations], and the private sector should each understand their respective roles and responsibilities, and complement each other in achieving shared goals” (DHS 2008, 4).</x:v>
      </x:c>
      <x:c r="D667" s="30" t="str">
        <x:v>PAR</x:v>
      </x:c>
      <x:c r="E667" s="30" t="str">
        <x:v>Public Administration Review - 2010 - McGuire - What if Hurricane Katrina Hit in 2020  The Need for Strategic Management of.pdf</x:v>
      </x:c>
      <x:c r="F667" s="40" t="str">
        <x:v>No</x:v>
      </x:c>
      <x:c r="G667" s="40" t="n">
        <x:v>0</x:v>
      </x:c>
      <x:c r="H667" s="40" t="str">
        <x:v>Unlabeled</x:v>
      </x:c>
      <x:c r="I667" s="40"/>
      <x:c r="J667" s="40"/>
      <x:c r="K667" s="30" t="str">
        <x:v>Default No — no retained human paragraph-level label in the curated GPT Test</x:v>
      </x:c>
      <x:c r="L667" s="30"/>
      <x:c r="M667" s="40" t="str">
        <x:v>paragraph</x:v>
      </x:c>
      <x:c r="N667" s="40" t="str">
        <x:v>No</x:v>
      </x:c>
      <x:c r="O667" s="30"/>
      <x:c r="P667" s="30" t="str">
        <x:v>4:9;4:1</x:v>
      </x:c>
    </x:row>
    <x:row r="668" ht="45" customHeight="1">
      <x:c r="A668" s="30" t="str">
        <x:v>PAR-A021</x:v>
      </x:c>
      <x:c r="B668" s="30" t="str">
        <x:v>p 4</x:v>
      </x:c>
      <x:c r="C668" s="30" t="str">
        <x:v>Our understanding of how to lead such an all-encompassing, multiorganizational process in emergency management is emerging, but implementing such principles on the ground is still a work in progress (Kettl 2007). Although it may be extremely challenging to address hardware and software problems that create obstacles to interoperability in communications and to design a consistent and unifying solution, it is far more difficult to effectively address the timing, frequency, content, and scope of interorganizational and interpersonal collaboration. One recent study of U.S. counties demonstrated that only when emergency managers found themselves in situations in which the problems facing their organization were increasingly severe did they reach out to collaborate with other entities and agencies (McGuire and Silvia 2010). It was found that the extent and level of external management is a function not only of the severity of the problem faced by the county, but also the level of capacity possessed by the manager and his or her agency. Furthermore, leadership actions that mobilize external support for the emergency management network and facilitate interaction within the network were found to positively relate to network effectiveness (McGuire and Silvia 2009). Central to the perceived effectiveness of a network is its established legitimacy in the eyes of its stakeholders and a demonstrated commitment by local officials to make disaster preparedness its highest priority (McEntire and Myers 2004).</x:v>
      </x:c>
      <x:c r="D668" s="30" t="str">
        <x:v>PAR</x:v>
      </x:c>
      <x:c r="E668" s="30" t="str">
        <x:v>Public Administration Review - 2010 - McGuire - What if Hurricane Katrina Hit in 2020  The Need for Strategic Management of.pdf</x:v>
      </x:c>
      <x:c r="F668" s="40" t="str">
        <x:v>No</x:v>
      </x:c>
      <x:c r="G668" s="40" t="n">
        <x:v>0</x:v>
      </x:c>
      <x:c r="H668" s="40" t="str">
        <x:v>Unlabeled</x:v>
      </x:c>
      <x:c r="I668" s="40"/>
      <x:c r="J668" s="40"/>
      <x:c r="K668" s="30" t="str">
        <x:v>Default No — no retained human paragraph-level label in the curated GPT Test</x:v>
      </x:c>
      <x:c r="L668" s="30"/>
      <x:c r="M668" s="40" t="str">
        <x:v>paragraph</x:v>
      </x:c>
      <x:c r="N668" s="40" t="str">
        <x:v>No</x:v>
      </x:c>
      <x:c r="O668" s="30"/>
      <x:c r="P668" s="30" t="str">
        <x:v>4:2</x:v>
      </x:c>
    </x:row>
    <x:row r="669" ht="45" customHeight="1">
      <x:c r="A669" s="30" t="str">
        <x:v>PAR-A022</x:v>
      </x:c>
      <x:c r="B669" s="30" t="str">
        <x:v>p 4</x:v>
      </x:c>
      <x:c r="C669" s="30" t="str">
        <x:v>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x:v>
      </x:c>
      <x:c r="D669" s="30" t="str">
        <x:v>PAR</x:v>
      </x:c>
      <x:c r="E669" s="30" t="str">
        <x:v>Public Administration Review - 2010 - McGuire - What if Hurricane Katrina Hit in 2020  The Need for Strategic Management of.pdf</x:v>
      </x:c>
      <x:c r="F669" s="40" t="str">
        <x:v>Yes</x:v>
      </x:c>
      <x:c r="G669" s="40" t="n">
        <x:v>1</x:v>
      </x:c>
      <x:c r="H669" s="40" t="str">
        <x:v>Direct human-labeled/adjudicated</x:v>
      </x:c>
      <x:c r="I669" s="40" t="str">
        <x:v>Anmol</x:v>
      </x:c>
      <x:c r="J669" s="40" t="str">
        <x:v>PAR-007</x:v>
      </x:c>
      <x:c r="K669" s="30" t="str">
        <x:v>Retained human/adjudicated label from the curated GPT Test after PyMuPDF source reconciliation.</x:v>
      </x:c>
      <x:c r="L669" s="30" t="str">
        <x:v>It calls for abandoning or at least reforming top-down management for a more balanced and collborative networked approach.</x:v>
      </x:c>
      <x:c r="M669" s="40" t="str">
        <x:v>paragraph</x:v>
      </x:c>
      <x:c r="N669" s="40" t="str">
        <x:v>No</x:v>
      </x:c>
      <x:c r="O669" s="30"/>
      <x:c r="P669" s="30" t="str">
        <x:v>4:3</x:v>
      </x:c>
    </x:row>
    <x:row r="670" ht="45" customHeight="1">
      <x:c r="A670" s="30" t="str">
        <x:v>PAR-A023</x:v>
      </x:c>
      <x:c r="B670" s="30" t="str">
        <x:v>p 4</x:v>
      </x:c>
      <x:c r="C670" s="30" t="str">
        <x:v>As Moynihan (2005) shows, responses to man-made disasters can take place, paradoxically, through collaboration governed by command and control procedures. His case study of the outbreak of Exotic Newcastle Disease in the state of California describes the administrative capacity of a task force assigned with limiting and eliminating the disease. The task force operated much like a lateral, side-by-side collaborative arrangement, but it did so within the context of a top-down incident command system. The emergency response network was coordinated hierarchically, suggesting the existence of a “hierarchical network” (Moynihan 2008) or working “from the top down so that the system works from the bottom up” (Kettl 2006, 283). Such an external orientation is one of the pillars of strategic emergency management.</x:v>
      </x:c>
      <x:c r="D670" s="30" t="str">
        <x:v>PAR</x:v>
      </x:c>
      <x:c r="E670" s="30" t="str">
        <x:v>Public Administration Review - 2010 - McGuire - What if Hurricane Katrina Hit in 2020  The Need for Strategic Management of.pdf</x:v>
      </x:c>
      <x:c r="F670" s="40" t="str">
        <x:v>No</x:v>
      </x:c>
      <x:c r="G670" s="40" t="n">
        <x:v>0</x:v>
      </x:c>
      <x:c r="H670" s="40" t="str">
        <x:v>Unlabeled</x:v>
      </x:c>
      <x:c r="I670" s="40"/>
      <x:c r="J670" s="40"/>
      <x:c r="K670" s="30" t="str">
        <x:v>Default No — no retained human paragraph-level label in the curated GPT Test</x:v>
      </x:c>
      <x:c r="L670" s="30"/>
      <x:c r="M670" s="40" t="str">
        <x:v>paragraph</x:v>
      </x:c>
      <x:c r="N670" s="40" t="str">
        <x:v>No</x:v>
      </x:c>
      <x:c r="O670" s="30"/>
      <x:c r="P670" s="30" t="str">
        <x:v>4:4</x:v>
      </x:c>
    </x:row>
    <x:row r="671" ht="45" customHeight="1">
      <x:c r="A671" s="30" t="str">
        <x:v>PAR-A024</x:v>
      </x:c>
      <x:c r="B671" s="30" t="str">
        <x:v>pp 4-5</x:v>
      </x:c>
      <x:c r="C671" s="30" t="str">
        <x:v>Hurricane Katrina exposed severe weaknesses and disconnects within the emergency management infrastructure. Just as the strategic manager can attempt to remedy such weaknesses by looking toward the external environment and identifying specific strategic issues to be addressed, so, too, does strategic management entail the pursuit of opportunities for improved performance. Although born of death and devastation and yet to be tested, FEMA perceived the failures of Katrina as an opportunity to design new frameworks that empower (if not directly supply capacity for) nonfederal governments to assume greater responsibility during and after disaster events. Capitalizing on such opportunities embodies the philosophy of strategic management.</x:v>
      </x:c>
      <x:c r="D671" s="30" t="str">
        <x:v>PAR</x:v>
      </x:c>
      <x:c r="E671" s="30" t="str">
        <x:v>Public Administration Review - 2010 - McGuire - What if Hurricane Katrina Hit in 2020  The Need for Strategic Management of.pdf</x:v>
      </x:c>
      <x:c r="F671" s="40" t="str">
        <x:v>No</x:v>
      </x:c>
      <x:c r="G671" s="40" t="n">
        <x:v>0</x:v>
      </x:c>
      <x:c r="H671" s="40" t="str">
        <x:v>Unlabeled</x:v>
      </x:c>
      <x:c r="I671" s="40"/>
      <x:c r="J671" s="40"/>
      <x:c r="K671" s="30" t="str">
        <x:v>Default No — no retained human paragraph-level label in the curated GPT Test</x:v>
      </x:c>
      <x:c r="L671" s="30"/>
      <x:c r="M671" s="40" t="str">
        <x:v>paragraph</x:v>
      </x:c>
      <x:c r="N671" s="40" t="str">
        <x:v>No</x:v>
      </x:c>
      <x:c r="O671" s="30"/>
      <x:c r="P671" s="30" t="str">
        <x:v>4:5;5:6</x:v>
      </x:c>
    </x:row>
    <x:row r="672" ht="45" customHeight="1">
      <x:c r="A672" s="30" t="str">
        <x:v>PAR-A025</x:v>
      </x:c>
      <x:c r="B672" s="30" t="str">
        <x:v>p 5</x:v>
      </x:c>
      <x:c r="C672" s="30" t="str">
        <x:v>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x:v>
      </x:c>
      <x:c r="D672" s="30" t="str">
        <x:v>PAR</x:v>
      </x:c>
      <x:c r="E672" s="30" t="str">
        <x:v>Public Administration Review - 2010 - McGuire - What if Hurricane Katrina Hit in 2020  The Need for Strategic Management of.pdf</x:v>
      </x:c>
      <x:c r="F672" s="40" t="str">
        <x:v>Yes</x:v>
      </x:c>
      <x:c r="G672" s="40" t="n">
        <x:v>1</x:v>
      </x:c>
      <x:c r="H672" s="40" t="str">
        <x:v>Derived from human-labeled parent span</x:v>
      </x:c>
      <x:c r="I672" s="40" t="str">
        <x:v>Anmol</x:v>
      </x:c>
      <x:c r="J672" s="40" t="str">
        <x:v>PAR-008</x:v>
      </x:c>
      <x:c r="K672" s="30" t="str">
        <x:v>Paragraph-level label derived from the retained parent-span label and rationale using the revised paragraph-level codebook.</x:v>
      </x:c>
      <x:c r="L672" s="30" t="str">
        <x:v>The passage rejects treating network collaboration as merely a soft skill and replaces that assumption with information-technology-enabled management, including an evacuation-registration example.</x:v>
      </x:c>
      <x:c r="M672" s="40" t="str">
        <x:v>list_unit</x:v>
      </x:c>
      <x:c r="N672" s="40" t="str">
        <x:v>Yes</x:v>
      </x:c>
      <x:c r="O672" s="30" t="str">
        <x:v>The positive label is derived from the human-labeled parent span and depends on the old-versus-new 'soft skill' contrast; confirm during team adjudication.</x:v>
      </x:c>
      <x:c r="P672" s="30" t="str">
        <x:v>5:7;5:8</x:v>
      </x:c>
    </x:row>
    <x:row r="673" ht="45" customHeight="1">
      <x:c r="A673" s="30" t="str">
        <x:v>PAR-A026</x:v>
      </x:c>
      <x:c r="B673" s="30" t="str">
        <x:v>p 5</x:v>
      </x:c>
      <x:c r="C673" s="30" t="str">
        <x:v>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x:v>
      </x:c>
      <x:c r="D673" s="30" t="str">
        <x:v>PAR</x:v>
      </x:c>
      <x:c r="E673" s="30" t="str">
        <x:v>Public Administration Review - 2010 - McGuire - What if Hurricane Katrina Hit in 2020  The Need for Strategic Management of.pdf</x:v>
      </x:c>
      <x:c r="F673" s="40" t="str">
        <x:v>Yes</x:v>
      </x:c>
      <x:c r="G673" s="40" t="n">
        <x:v>1</x:v>
      </x:c>
      <x:c r="H673" s="40" t="str">
        <x:v>Derived from human-labeled parent span</x:v>
      </x:c>
      <x:c r="I673" s="40" t="str">
        <x:v>Anmol</x:v>
      </x:c>
      <x:c r="J673" s="40" t="str">
        <x:v>PAR-009</x:v>
      </x:c>
      <x:c r="K673" s="30" t="str">
        <x:v>Paragraph-level label derived from the retained parent-span label and rationale using the revised paragraph-level codebook.</x:v>
      </x:c>
      <x:c r="L673" s="30" t="str">
        <x:v>The paragraph contrasts the prior need for a specialized GIS laboratory with tools now accessible to ordinary responders and extends that changed technical assumption to supply-chain management.</x:v>
      </x:c>
      <x:c r="M673" s="40" t="str">
        <x:v>paragraph</x:v>
      </x:c>
      <x:c r="N673" s="40" t="str">
        <x:v>Yes</x:v>
      </x:c>
      <x:c r="O673" s="30" t="str">
        <x:v>The change is framed as a technology-accessibility shift rather than an explicit policy recommendation; confirm during team adjudication.</x:v>
      </x:c>
      <x:c r="P673" s="30" t="str">
        <x:v>5:9</x:v>
      </x:c>
    </x:row>
    <x:row r="674" ht="45" customHeight="1">
      <x:c r="A674" s="30" t="str">
        <x:v>PAR-A027</x:v>
      </x:c>
      <x:c r="B674" s="30" t="str">
        <x:v>p 5</x:v>
      </x:c>
      <x:c r="C674" s="30" t="str">
        <x:v>Several researchers are designing and attempting to implement information systems that can support large-scale collaboration. For example, the use of Web 2.0 technologies, including social networking sites such as Facebook and MySpace, and rapid communication systems, such as blogs and Twitter, offer an opportunity for “expert identification, resource aggregation and availability, and mass collaboration” on a scale not yet imagined or achieved (White et al. 2009, 7). One project, known as “Mega-Collaboration,” is based on a tool that “will surpass existing groupware and social networking applications, providing easy entry, categorization, and visualization of masses of critical data,” along with facilitating the creation of ad hoc teams and coordinating large scale activities (Newlon et al. 2009, 1).</x:v>
      </x:c>
      <x:c r="D674" s="30" t="str">
        <x:v>PAR</x:v>
      </x:c>
      <x:c r="E674" s="30" t="str">
        <x:v>Public Administration Review - 2010 - McGuire - What if Hurricane Katrina Hit in 2020  The Need for Strategic Management of.pdf</x:v>
      </x:c>
      <x:c r="F674" s="40" t="str">
        <x:v>No</x:v>
      </x:c>
      <x:c r="G674" s="40" t="n">
        <x:v>0</x:v>
      </x:c>
      <x:c r="H674" s="40" t="str">
        <x:v>Unlabeled</x:v>
      </x:c>
      <x:c r="I674" s="40"/>
      <x:c r="J674" s="40"/>
      <x:c r="K674" s="30" t="str">
        <x:v>Default No — no retained human paragraph-level label in the curated GPT Test</x:v>
      </x:c>
      <x:c r="L674" s="30"/>
      <x:c r="M674" s="40" t="str">
        <x:v>paragraph</x:v>
      </x:c>
      <x:c r="N674" s="40" t="str">
        <x:v>No</x:v>
      </x:c>
      <x:c r="O674" s="30"/>
      <x:c r="P674" s="30" t="str">
        <x:v>5:10;5:1</x:v>
      </x:c>
    </x:row>
    <x:row r="675" ht="45" customHeight="1">
      <x:c r="A675" s="30" t="str">
        <x:v>PAR-A028</x:v>
      </x:c>
      <x:c r="B675" s="30" t="str">
        <x:v>p 5</x:v>
      </x:c>
      <x:c r="C675" s="30" t="str">
        <x:v>Emergency management is a complex mix of individuals, organizations, and actions, some of which will not be necessary in many types of disasters and emergencies and others that will be singularly and perhaps unexpectedly important, with rules and expectations that are most times ambiguous, and which tends to be highly inter-disciplinary in nature. As a result, emergency managers and those who study the emerging field within public administration need to understand and appreciate a variety of disciplines. If viewed from one discipline or viewpoint, it is highly likely that important information, data, and insights will be missed, inhibiting our ability to completely understand individual catastrophes such as Katrina. For instance, it is important to understand not only the development and operation of bureaucratic organizations, but also interactions between organizations and networks within the organizations, communications, collective behavior, and individual social and psychological behavior in extreme environments (from the perspective of responders, and citizens and survivors alike).</x:v>
      </x:c>
      <x:c r="D675" s="30" t="str">
        <x:v>PAR</x:v>
      </x:c>
      <x:c r="E675" s="30" t="str">
        <x:v>Public Administration Review - 2010 - McGuire - What if Hurricane Katrina Hit in 2020  The Need for Strategic Management of.pdf</x:v>
      </x:c>
      <x:c r="F675" s="40" t="str">
        <x:v>No</x:v>
      </x:c>
      <x:c r="G675" s="40" t="n">
        <x:v>0</x:v>
      </x:c>
      <x:c r="H675" s="40" t="str">
        <x:v>Unlabeled</x:v>
      </x:c>
      <x:c r="I675" s="40"/>
      <x:c r="J675" s="40"/>
      <x:c r="K675" s="30" t="str">
        <x:v>Default No — no retained human paragraph-level label in the curated GPT Test</x:v>
      </x:c>
      <x:c r="L675" s="30"/>
      <x:c r="M675" s="40" t="str">
        <x:v>paragraph</x:v>
      </x:c>
      <x:c r="N675" s="40" t="str">
        <x:v>No</x:v>
      </x:c>
      <x:c r="O675" s="30"/>
      <x:c r="P675" s="30" t="str">
        <x:v>5:2</x:v>
      </x:c>
    </x:row>
    <x:row r="676" ht="45" customHeight="1">
      <x:c r="A676" s="30" t="str">
        <x:v>PAR-A029</x:v>
      </x:c>
      <x:c r="B676" s="30" t="str">
        <x:v>p 5</x:v>
      </x:c>
      <x:c r="C676" s="30" t="str">
        <x:v>Attempts to build strategic capacity are under way in the emergency management system, but such capacity is far from tested. Although imperfect, the responses to Hurricanes Gustav and Ike in 2008 provide some evidence that the United States is on the right track to respond to, and recover from, a disaster or catastrophe in 2020. These two hurricanes devastated communities along the Gulf Coast and forced the evacuation of more than 2 million people. Coordination among federal, state, and local governments was found to be far improved (Fowler 2008a), and state officials reported that the federal response was good (Fowler 2008b). Thus, some lessons have been learned, but they need to be supported and communicated with others.</x:v>
      </x:c>
      <x:c r="D676" s="30" t="str">
        <x:v>PAR</x:v>
      </x:c>
      <x:c r="E676" s="30" t="str">
        <x:v>Public Administration Review - 2010 - McGuire - What if Hurricane Katrina Hit in 2020  The Need for Strategic Management of.pdf</x:v>
      </x:c>
      <x:c r="F676" s="40" t="str">
        <x:v>No</x:v>
      </x:c>
      <x:c r="G676" s="40" t="n">
        <x:v>0</x:v>
      </x:c>
      <x:c r="H676" s="40" t="str">
        <x:v>Unlabeled</x:v>
      </x:c>
      <x:c r="I676" s="40"/>
      <x:c r="J676" s="40"/>
      <x:c r="K676" s="30" t="str">
        <x:v>Default No — no retained human paragraph-level label in the curated GPT Test</x:v>
      </x:c>
      <x:c r="L676" s="30"/>
      <x:c r="M676" s="40" t="str">
        <x:v>paragraph</x:v>
      </x:c>
      <x:c r="N676" s="40" t="str">
        <x:v>No</x:v>
      </x:c>
      <x:c r="O676" s="30"/>
      <x:c r="P676" s="30" t="str">
        <x:v>5:3</x:v>
      </x:c>
    </x:row>
    <x:row r="677" ht="45" customHeight="1">
      <x:c r="A677" s="30" t="str">
        <x:v>PAR-A030</x:v>
      </x:c>
      <x:c r="B677" s="30" t="str">
        <x:v>p 5</x:v>
      </x:c>
      <x:c r="C677" s="30" t="str">
        <x:v>Learning to manage actions supporting disaster response and recovery operations consistently and effectively requires strategic, not reactive, thinking. From some perspectives, developing the requisite capacity to manage disaster operations can appear to be equivalent to the fate of Sisyphus. There needs to be developed a common understanding of what adequate planning and preparedness looks like in a variety of situations, along with an always imperfect yet effective response and recovery. But how is this to be done, short of offering only speculative guidelines, standards, and measures? (Henstra 2010). What does competence look like? What are we expecting to see? What are the assumptions of government and expectations of the public? The answers to these questions can be derived only through strategic activity.</x:v>
      </x:c>
      <x:c r="D677" s="30" t="str">
        <x:v>PAR</x:v>
      </x:c>
      <x:c r="E677" s="30" t="str">
        <x:v>Public Administration Review - 2010 - McGuire - What if Hurricane Katrina Hit in 2020  The Need for Strategic Management of.pdf</x:v>
      </x:c>
      <x:c r="F677" s="40" t="str">
        <x:v>No</x:v>
      </x:c>
      <x:c r="G677" s="40" t="n">
        <x:v>0</x:v>
      </x:c>
      <x:c r="H677" s="40" t="str">
        <x:v>Unlabeled</x:v>
      </x:c>
      <x:c r="I677" s="40"/>
      <x:c r="J677" s="40"/>
      <x:c r="K677" s="30" t="str">
        <x:v>Default No — no retained human paragraph-level label in the curated GPT Test</x:v>
      </x:c>
      <x:c r="L677" s="30"/>
      <x:c r="M677" s="40" t="str">
        <x:v>paragraph</x:v>
      </x:c>
      <x:c r="N677" s="40" t="str">
        <x:v>No</x:v>
      </x:c>
      <x:c r="O677" s="30"/>
      <x:c r="P677" s="30" t="str">
        <x:v>5:4</x:v>
      </x:c>
    </x:row>
    <x:row r="678" ht="45" customHeight="1">
      <x:c r="A678" s="30" t="str">
        <x:v>PAR-A031</x:v>
      </x:c>
      <x:c r="B678" s="30" t="str">
        <x:v>pp 5-6</x:v>
      </x:c>
      <x:c r="C678" s="30" t="str">
        <x:v>We are encouraged by the strides made since August 2005 in the United States. However, success in emergency management is highly dependent on the continuation of time, funding, and the attention of the general public and media, as well as consistency in political leadership. It is possible to have competently designed emergency response facilities, plans, and procedures, engaged and trained professional personnel, appropriately mitigated hazards, and an adequate amount of resources and material to support a catastrophic response and recovery, yet still fail. There is always the possibility that human error and hubris over recent successes can envelop an agency and make it complacent. Furthermore, mitigation plans, emergency operations and response plans, evacuation plans, recovery plans, and continuity plans cannot possibly account for all possible contingencies. Thus, the effective emergency manager in 2020 will attempt to forge strategic capability and develop the capacity of his or her organization to respond to forces that are beyond the organization’s and the community’s control.</x:v>
      </x:c>
      <x:c r="D678" s="30" t="str">
        <x:v>PAR</x:v>
      </x:c>
      <x:c r="E678" s="30" t="str">
        <x:v>Public Administration Review - 2010 - McGuire - What if Hurricane Katrina Hit in 2020  The Need for Strategic Management of.pdf</x:v>
      </x:c>
      <x:c r="F678" s="40" t="str">
        <x:v>No</x:v>
      </x:c>
      <x:c r="G678" s="40" t="n">
        <x:v>0</x:v>
      </x:c>
      <x:c r="H678" s="40" t="str">
        <x:v>Unlabeled</x:v>
      </x:c>
      <x:c r="I678" s="40"/>
      <x:c r="J678" s="40"/>
      <x:c r="K678" s="30" t="str">
        <x:v>Default No — no retained human paragraph-level label in the curated GPT Test</x:v>
      </x:c>
      <x:c r="L678" s="30"/>
      <x:c r="M678" s="40" t="str">
        <x:v>paragraph</x:v>
      </x:c>
      <x:c r="N678" s="40" t="str">
        <x:v>No</x:v>
      </x:c>
      <x:c r="O678" s="30"/>
      <x:c r="P678" s="30" t="str">
        <x:v>5:5;6:1</x:v>
      </x:c>
    </x:row>
  </x:sheetData>
  <x:mergeCells>
    <x:mergeCell ref="R1:W1"/>
    <x:mergeCell ref="R18:W22"/>
  </x:mergeCells>
  <x:conditionalFormatting sqref="F2:F678">
    <x:cfRule type="expression" dxfId="3" priority="1">
      <x:formula>F2="Yes"</x:formula>
    </x:cfRule>
    <x:cfRule type="expression" dxfId="4" priority="2">
      <x:formula>F2="No"</x:formula>
    </x:cfRule>
  </x:conditionalFormatting>
  <x:conditionalFormatting sqref="N2:N678">
    <x:cfRule type="expression" dxfId="5" priority="3">
      <x:formula>N2="Yes"</x:formula>
    </x:cfRule>
  </x:conditionalFormatting>
  <x:conditionalFormatting sqref="H2:H678">
    <x:cfRule type="expression" dxfId="6" priority="4">
      <x:formula>H2="Unlabeled"</x:formula>
    </x:cfRule>
  </x:conditionalFormatting>
  <x:pageMargins left="0.7" right="0.7" top="0.75" bottom="0.75" header="0.3" footer="0.3"/>
  <x:tableParts count="1">
    <x:tablePart xmlns:r="http://schemas.openxmlformats.org/officeDocument/2006/relationships" r:id="R0a47fee0014d4fad"/>
  </x:tableParts>
</x:worksheet>
</file>

<file path=xl/worksheets/sheet4.xml><?xml version="1.0" encoding="utf-8"?>
<x:worksheet xmlns:x="http://schemas.openxmlformats.org/spreadsheetml/2006/main">
  <x:sheetFormatPr defaultRowHeight="15"/>
  <x:cols>
    <x:col min="1" max="1" width="18" hidden="0" customWidth="1"/>
    <x:col min="2" max="2" width="18" hidden="0" customWidth="1"/>
    <x:col min="3" max="3" width="25" hidden="0" customWidth="1"/>
    <x:col min="4" max="4" width="42" hidden="0" customWidth="1"/>
    <x:col min="5" max="5" width="11" hidden="0" customWidth="1"/>
    <x:col min="6" max="6" width="48" hidden="0" customWidth="1"/>
    <x:col min="7" max="7" width="35" hidden="0" customWidth="1"/>
    <x:col min="8" max="8" width="16" hidden="0" customWidth="1"/>
    <x:col min="9" max="9" width="14" hidden="0" customWidth="1"/>
    <x:col min="10" max="10" width="14" hidden="0" customWidth="1"/>
    <x:col min="11" max="11" width="58" hidden="0" customWidth="1"/>
    <x:col min="12" max="12" width="58" hidden="0" customWidth="1"/>
    <x:col min="13" max="13" width="48" hidden="0" customWidth="1"/>
    <x:col min="14" max="14" width="55" hidden="0" customWidth="1"/>
    <x:col min="15" max="15" width="18" hidden="0" customWidth="1"/>
    <x:col min="16" max="16" width="50" hidden="0" customWidth="1"/>
    <x:col min="17" max="17" width="18" hidden="0" customWidth="1"/>
    <x:col min="18" max="18" width="58" hidden="0" customWidth="1"/>
  </x:cols>
  <x:sheetData>
    <x:row r="1" ht="26" customHeight="1">
      <x:c r="A1" s="5" t="str">
        <x:v>PDF Alignment, Paragraph Splitting, and Manual-Review Audit</x:v>
      </x:c>
      <x:c r="B1" s="5"/>
      <x:c r="C1" s="5"/>
      <x:c r="D1" s="5"/>
      <x:c r="E1" s="5"/>
      <x:c r="F1" s="5"/>
      <x:c r="G1" s="5"/>
      <x:c r="H1" s="5"/>
      <x:c r="I1" s="5"/>
      <x:c r="J1" s="5"/>
      <x:c r="K1" s="5"/>
      <x:c r="L1" s="5"/>
      <x:c r="M1" s="5"/>
      <x:c r="N1" s="5"/>
      <x:c r="O1" s="5"/>
      <x:c r="P1" s="5"/>
      <x:c r="Q1" s="5"/>
      <x:c r="R1" s="5"/>
    </x:row>
    <x:row r="3">
      <x:c r="A3" s="14" t="str">
        <x:v>Metric</x:v>
      </x:c>
      <x:c r="B3" s="14" t="str">
        <x:v>Value</x:v>
      </x:c>
      <x:c r="D3" s="14" t="str">
        <x:v>Document</x:v>
      </x:c>
      <x:c r="E3" s="14" t="str">
        <x:v>Rows</x:v>
      </x:c>
      <x:c r="F3" s="14" t="str">
        <x:v>Yes</x:v>
      </x:c>
      <x:c r="G3" s="14" t="str">
        <x:v>No</x:v>
      </x:c>
      <x:c r="H3" s="14" t="str">
        <x:v>Source Verified</x:v>
      </x:c>
      <x:c r="I3" s="14" t="str">
        <x:v>Review</x:v>
      </x:c>
      <x:c r="K3" s="23" t="str">
        <x:v>Manual source gaps / exceptions:
1. GAO-001 to GAO-003 reference gao-06-365r.pdf, which was not supplied.
2. EPA-002 and EPA-003 appear to come from another EPA drinking-water report, not the supplied 2006-P-00033 report.
3. EPA-004 was aligned to the closest complete paragraph in the supplied EPA report, but the wording is not an exact match.
4. All other revised passages were matched to full PyMuPDF paragraph or grammatical list units.</x:v>
      </x:c>
      <x:c r="L3" s="23"/>
      <x:c r="M3" s="23"/>
      <x:c r="N3" s="23"/>
      <x:c r="O3" s="23"/>
      <x:c r="P3" s="23"/>
      <x:c r="Q3" s="23"/>
      <x:c r="R3" s="23"/>
    </x:row>
    <x:row r="4">
      <x:c r="A4" t="str">
        <x:v>Final GPT Test rows</x:v>
      </x:c>
      <x:c r="B4" t="n">
        <x:f>COUNTA(B14:B97)</x:f>
        <x:v>84</x:v>
      </x:c>
      <x:c r="D4" t="str">
        <x:v>ERP Report</x:v>
      </x:c>
      <x:c r="E4" t="n">
        <x:f>COUNTIF($C$14:$C$97,D4)</x:f>
        <x:v>39</x:v>
      </x:c>
      <x:c r="F4" t="n">
        <x:f>COUNTIFS($C$14:$C$97,D4,$J$14:$J$97,"Yes")</x:f>
        <x:v>22</x:v>
      </x:c>
      <x:c r="G4" t="n">
        <x:f>COUNTIFS($C$14:$C$97,D4,$J$14:$J$97,"No")</x:f>
        <x:v>17</x:v>
      </x:c>
      <x:c r="H4" t="n">
        <x:f>COUNTIFS($C$14:$C$97,D4,$H$14:$H$97,"&lt;&gt;Unverified")</x:f>
        <x:v>39</x:v>
      </x:c>
      <x:c r="I4" t="n">
        <x:f>COUNTIFS($C$14:$C$97,D4,$Q$14:$Q$97,"Yes")</x:f>
        <x:v>17</x:v>
      </x:c>
      <x:c r="K4" s="23"/>
      <x:c r="L4" s="23"/>
      <x:c r="M4" s="23"/>
      <x:c r="N4" s="23"/>
      <x:c r="O4" s="23"/>
      <x:c r="P4" s="23"/>
      <x:c r="Q4" s="23"/>
      <x:c r="R4" s="23"/>
    </x:row>
    <x:row r="5">
      <x:c r="A5" t="str">
        <x:v>Source verified (High/Medium)</x:v>
      </x:c>
      <x:c r="B5" t="n">
        <x:f>COUNTIF(H14:H97,"High")+COUNTIF(H14:H97,"Medium")</x:f>
        <x:v>79</x:v>
      </x:c>
      <x:c r="D5" t="str">
        <x:v>GAO</x:v>
      </x:c>
      <x:c r="E5" t="n">
        <x:f>COUNTIF($C$14:$C$97,D5)</x:f>
        <x:v>3</x:v>
      </x:c>
      <x:c r="F5" t="n">
        <x:f>COUNTIFS($C$14:$C$97,D5,$J$14:$J$97,"Yes")</x:f>
        <x:v>3</x:v>
      </x:c>
      <x:c r="G5" t="n">
        <x:f>COUNTIFS($C$14:$C$97,D5,$J$14:$J$97,"No")</x:f>
        <x:v>0</x:v>
      </x:c>
      <x:c r="H5" t="n">
        <x:f>COUNTIFS($C$14:$C$97,D5,$H$14:$H$97,"&lt;&gt;Unverified")</x:f>
        <x:v>0</x:v>
      </x:c>
      <x:c r="I5" t="n">
        <x:f>COUNTIFS($C$14:$C$97,D5,$Q$14:$Q$97,"Yes")</x:f>
        <x:v>3</x:v>
      </x:c>
      <x:c r="K5" s="23"/>
      <x:c r="L5" s="23"/>
      <x:c r="M5" s="23"/>
      <x:c r="N5" s="23"/>
      <x:c r="O5" s="23"/>
      <x:c r="P5" s="23"/>
      <x:c r="Q5" s="23"/>
      <x:c r="R5" s="23"/>
    </x:row>
    <x:row r="6">
      <x:c r="A6" t="str">
        <x:v>Source PDF not supplied</x:v>
      </x:c>
      <x:c r="B6" t="n">
        <x:f>COUNTIF(H14:H97,"Unverified")</x:f>
        <x:v>5</x:v>
      </x:c>
      <x:c r="D6" t="str">
        <x:v>EPA</x:v>
      </x:c>
      <x:c r="E6" t="n">
        <x:f>COUNTIF($C$14:$C$97,D6)</x:f>
        <x:v>22</x:v>
      </x:c>
      <x:c r="F6" t="n">
        <x:f>COUNTIFS($C$14:$C$97,D6,$J$14:$J$97,"Yes")</x:f>
        <x:v>3</x:v>
      </x:c>
      <x:c r="G6" t="n">
        <x:f>COUNTIFS($C$14:$C$97,D6,$J$14:$J$97,"No")</x:f>
        <x:v>19</x:v>
      </x:c>
      <x:c r="H6" t="n">
        <x:f>COUNTIFS($C$14:$C$97,D6,$H$14:$H$97,"&lt;&gt;Unverified")</x:f>
        <x:v>20</x:v>
      </x:c>
      <x:c r="I6" t="n">
        <x:f>COUNTIFS($C$14:$C$97,D6,$Q$14:$Q$97,"Yes")</x:f>
        <x:v>9</x:v>
      </x:c>
      <x:c r="K6" s="23"/>
      <x:c r="L6" s="23"/>
      <x:c r="M6" s="23"/>
      <x:c r="N6" s="23"/>
      <x:c r="O6" s="23"/>
      <x:c r="P6" s="23"/>
      <x:c r="Q6" s="23"/>
      <x:c r="R6" s="23"/>
    </x:row>
    <x:row r="7">
      <x:c r="A7" t="str">
        <x:v>Rows from split parent spans</x:v>
      </x:c>
      <x:c r="B7" t="n">
        <x:f>COUNTIF(G14:G97,"Parent span split to source paragraph")+COUNTIF(G14:G97,"Parent span split to source list unit")+COUNTIF(G14:G97,"Parent span split to source quotation unit")</x:f>
        <x:v>25</x:v>
      </x:c>
      <x:c r="D7" t="str">
        <x:v>Hurricane Katrina</x:v>
      </x:c>
      <x:c r="E7" t="n">
        <x:f>COUNTIF($C$14:$C$97,D7)</x:f>
        <x:v>11</x:v>
      </x:c>
      <x:c r="F7" t="n">
        <x:f>COUNTIFS($C$14:$C$97,D7,$J$14:$J$97,"Yes")</x:f>
        <x:v>5</x:v>
      </x:c>
      <x:c r="G7" t="n">
        <x:f>COUNTIFS($C$14:$C$97,D7,$J$14:$J$97,"No")</x:f>
        <x:v>6</x:v>
      </x:c>
      <x:c r="H7" t="n">
        <x:f>COUNTIFS($C$14:$C$97,D7,$H$14:$H$97,"&lt;&gt;Unverified")</x:f>
        <x:v>11</x:v>
      </x:c>
      <x:c r="I7" t="n">
        <x:f>COUNTIFS($C$14:$C$97,D7,$Q$14:$Q$97,"Yes")</x:f>
        <x:v>1</x:v>
      </x:c>
      <x:c r="K7" s="23"/>
      <x:c r="L7" s="23"/>
      <x:c r="M7" s="23"/>
      <x:c r="N7" s="23"/>
      <x:c r="O7" s="23"/>
      <x:c r="P7" s="23"/>
      <x:c r="Q7" s="23"/>
      <x:c r="R7" s="23"/>
    </x:row>
    <x:row r="8">
      <x:c r="A8" t="str">
        <x:v>Manual-review flags</x:v>
      </x:c>
      <x:c r="B8" t="n">
        <x:f>COUNTIF(Q14:Q97,"Yes")</x:f>
        <x:v>32</x:v>
      </x:c>
      <x:c r="D8" t="str">
        <x:v>PAR</x:v>
      </x:c>
      <x:c r="E8" t="n">
        <x:f>COUNTIF($C$14:$C$97,D8)</x:f>
        <x:v>9</x:v>
      </x:c>
      <x:c r="F8" t="n">
        <x:f>COUNTIFS($C$14:$C$97,D8,$J$14:$J$97,"Yes")</x:f>
        <x:v>9</x:v>
      </x:c>
      <x:c r="G8" t="n">
        <x:f>COUNTIFS($C$14:$C$97,D8,$J$14:$J$97,"No")</x:f>
        <x:v>0</x:v>
      </x:c>
      <x:c r="H8" t="n">
        <x:f>COUNTIFS($C$14:$C$97,D8,$H$14:$H$97,"&lt;&gt;Unverified")</x:f>
        <x:v>9</x:v>
      </x:c>
      <x:c r="I8" t="n">
        <x:f>COUNTIFS($C$14:$C$97,D8,$Q$14:$Q$97,"Yes")</x:f>
        <x:v>2</x:v>
      </x:c>
      <x:c r="K8" s="23"/>
      <x:c r="L8" s="23"/>
      <x:c r="M8" s="23"/>
      <x:c r="N8" s="23"/>
      <x:c r="O8" s="23"/>
      <x:c r="P8" s="23"/>
      <x:c r="Q8" s="23"/>
      <x:c r="R8" s="23"/>
    </x:row>
    <x:row r="9">
      <x:c r="A9" t="str">
        <x:v>Final Gold Yes</x:v>
      </x:c>
      <x:c r="B9" t="n">
        <x:f>COUNTIF(J14:J97,"Yes")</x:f>
        <x:v>42</x:v>
      </x:c>
      <x:c r="K9" s="23"/>
      <x:c r="L9" s="23"/>
      <x:c r="M9" s="23"/>
      <x:c r="N9" s="23"/>
      <x:c r="O9" s="23"/>
      <x:c r="P9" s="23"/>
      <x:c r="Q9" s="23"/>
      <x:c r="R9" s="23"/>
    </x:row>
    <x:row r="13" ht="36" customHeight="1">
      <x:c r="A13" s="35" t="str">
        <x:v>Original_Passage_ID</x:v>
      </x:c>
      <x:c r="B13" s="35" t="str">
        <x:v>Final_Passage_ID</x:v>
      </x:c>
      <x:c r="C13" s="35" t="str">
        <x:v>Document</x:v>
      </x:c>
      <x:c r="D13" s="35" t="str">
        <x:v>Source_File</x:v>
      </x:c>
      <x:c r="E13" s="35" t="str">
        <x:v>Reference</x:v>
      </x:c>
      <x:c r="F13" s="35" t="str">
        <x:v>Action</x:v>
      </x:c>
      <x:c r="G13" s="35" t="str">
        <x:v>Source_Match_Status</x:v>
      </x:c>
      <x:c r="H13" s="35" t="str">
        <x:v>Match_Confidence</x:v>
      </x:c>
      <x:c r="I13" s="35" t="str">
        <x:v>Original_Gold</x:v>
      </x:c>
      <x:c r="J13" s="35" t="str">
        <x:v>Final_Gold</x:v>
      </x:c>
      <x:c r="K13" s="35" t="str">
        <x:v>Original_Text</x:v>
      </x:c>
      <x:c r="L13" s="35" t="str">
        <x:v>Final_Text</x:v>
      </x:c>
      <x:c r="M13" s="35" t="str">
        <x:v>Original_Rationale</x:v>
      </x:c>
      <x:c r="N13" s="35" t="str">
        <x:v>Final_Rationale</x:v>
      </x:c>
      <x:c r="O13" s="35" t="str">
        <x:v>Source_Unit_ID</x:v>
      </x:c>
      <x:c r="P13" s="35" t="str">
        <x:v>Source_Raw_IDs</x:v>
      </x:c>
      <x:c r="Q13" s="35" t="str">
        <x:v>Manual_Review_Flag</x:v>
      </x:c>
      <x:c r="R13" s="35" t="str">
        <x:v>Manual_Review_Reason</x:v>
      </x:c>
    </x:row>
    <x:row r="14" ht="60" customHeight="1">
      <x:c r="A14" s="30" t="str">
        <x:v>ERP-001</x:v>
      </x:c>
      <x:c r="B14" s="30" t="str">
        <x:v>ERP-001</x:v>
      </x:c>
      <x:c r="C14" s="30" t="str">
        <x:v>ERP Report</x:v>
      </x:c>
      <x:c r="D14" s="30" t="str">
        <x:v>erpreport.pdf</x:v>
      </x:c>
      <x:c r="E14" s="30" t="str">
        <x:v>p 6</x:v>
      </x:c>
      <x:c r="F14" s="30" t="str">
        <x:v>Aligned to full PyMuPDF paragraph/list item</x:v>
      </x:c>
      <x:c r="G14" s="30" t="str">
        <x:v>Exact full paragraph/list item</x:v>
      </x:c>
      <x:c r="H14" s="40" t="str">
        <x:v>High</x:v>
      </x:c>
      <x:c r="I14" s="40" t="str">
        <x:v>Yes</x:v>
      </x:c>
      <x:c r="J14" s="40" t="str">
        <x:v>Yes</x:v>
      </x:c>
      <x:c r="K14" s="30" t="str">
        <x:v>Some overtopping of levees is to be expected in a major storm. However, the levees were not armored or protected against erosion—an engineering choice of catastrophic consequences because this allowed the levees, some constructed of highly erodible soil, to be scoured away, allowing water to pour into New Orleans.</x:v>
      </x:c>
      <x:c r="L14" s="30" t="str">
        <x:v>Some overtopping of levees is to be expected in a major storm. However, the levees were not armored or protected against erosion — an engineering choice of catastrophic consequences because this allowed the levees, some constructed of highly erodible soil, to be scoured away, allowing water to pour into New Orleans.</x:v>
      </x:c>
      <x:c r="M14" s="30" t="str">
        <x:v>It identifies an engineering problem and implicitly calls for armouring and a change in construction practice.</x:v>
      </x:c>
      <x:c r="N14" s="30" t="str">
        <x:v>It identifies an engineering problem and implicitly calls for armouring and a change in construction practice.</x:v>
      </x:c>
      <x:c r="O14" s="30" t="str">
        <x:v>ERP-A008</x:v>
      </x:c>
      <x:c r="P14" s="30" t="str">
        <x:v>6:8:0;6:9:0;6:10:0;6:11:0;6:12:0</x:v>
      </x:c>
      <x:c r="Q14" s="40" t="str">
        <x:v>No</x:v>
      </x:c>
      <x:c r="R14" s="30"/>
    </x:row>
    <x:row r="15" ht="60" customHeight="1">
      <x:c r="A15" s="30" t="str">
        <x:v>ERP-002</x:v>
      </x:c>
      <x:c r="B15" s="30" t="str">
        <x:v>ERP-002</x:v>
      </x:c>
      <x:c r="C15" s="30" t="str">
        <x:v>ERP Report</x:v>
      </x:c>
      <x:c r="D15" s="30" t="str">
        <x:v>erpreport.pdf</x:v>
      </x:c>
      <x:c r="E15" s="30" t="str">
        <x:v>p 6</x:v>
      </x:c>
      <x:c r="F15" s="30" t="str">
        <x:v>Aligned to full PyMuPDF paragraph/list item</x:v>
      </x:c>
      <x:c r="G15" s="30" t="str">
        <x:v>Exact full paragraph/list item</x:v>
      </x:c>
      <x:c r="H15" s="40" t="str">
        <x:v>High</x:v>
      </x:c>
      <x:c r="I15" s="40" t="str">
        <x:v>Yes</x:v>
      </x:c>
      <x:c r="J15" s="40" t="str">
        <x:v>Yes</x:v>
      </x:c>
      <x:c r="K15" s="30" t="str">
        <x:v>The hurricane protection system was constructed as individual pieces—not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x:v>
      </x:c>
      <x:c r="L15" s="30" t="str">
        <x:v>• The hurricane protection system was constructed as individual pieces — not as an interconnected system — with strong portions built adjacent to weak portions, some pump stations that could not withstand the hurricane forces, and many penetrations through the levees for roads, railroads, and utilities. Furthermore, the levees were not designed to withstand overtopping.</x:v>
      </x:c>
      <x:c r="M15" s="30" t="str">
        <x:v>It identifies an engineering problem and calls for an inter-connected system.</x:v>
      </x:c>
      <x:c r="N15" s="30" t="str">
        <x:v>It identifies an engineering problem and calls for an inter-connected system.</x:v>
      </x:c>
      <x:c r="O15" s="30" t="str">
        <x:v>ERP-A011</x:v>
      </x:c>
      <x:c r="P15" s="30" t="str">
        <x:v>6:22:0;6:23:0;6:24:0;6:25:0;6:26:0;6:27:0</x:v>
      </x:c>
      <x:c r="Q15" s="40" t="str">
        <x:v>No</x:v>
      </x:c>
      <x:c r="R15" s="30"/>
    </x:row>
    <x:row r="16" ht="60" customHeight="1">
      <x:c r="A16" s="30" t="str">
        <x:v>ERP-003</x:v>
      </x:c>
      <x:c r="B16" s="30" t="str">
        <x:v>ERP-003</x:v>
      </x:c>
      <x:c r="C16" s="30" t="str">
        <x:v>ERP Report</x:v>
      </x:c>
      <x:c r="D16" s="30" t="str">
        <x:v>erpreport.pdf</x:v>
      </x:c>
      <x:c r="E16" s="30" t="str">
        <x:v>p 7</x:v>
      </x:c>
      <x:c r="F16" s="30" t="str">
        <x:v>Aligned to full PyMuPDF paragraph/list item</x:v>
      </x:c>
      <x:c r="G16" s="30" t="str">
        <x:v>Exact full paragraph/list item</x:v>
      </x:c>
      <x:c r="H16" s="40" t="str">
        <x:v>High</x:v>
      </x:c>
      <x:c r="I16" s="40" t="str">
        <x:v>Yes</x:v>
      </x:c>
      <x:c r="J16" s="40" t="str">
        <x:v>Yes</x:v>
      </x:c>
      <x:c r="K16" s="30" t="str">
        <x:v>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x:v>
      </x:c>
      <x:c r="L16" s="30" t="str">
        <x:v>• No single agency was in charge of hurricane protection in New Orleans. Rather, responsibility for the maintenance and operation of the levees and pump stations was spread over many federal, state, parish, and local agencies. This lack of inter-agency coordination led to many adverse consequences from Hurricane Katrina.</x:v>
      </x:c>
      <x:c r="M16" s="30" t="str">
        <x:v>it identifies inter-agency coordination as a problem and implicitly calls for change.</x:v>
      </x:c>
      <x:c r="N16" s="30" t="str">
        <x:v>it identifies inter-agency coordination as a problem and implicitly calls for change.</x:v>
      </x:c>
      <x:c r="O16" s="30" t="str">
        <x:v>ERP-A014</x:v>
      </x:c>
      <x:c r="P16" s="30" t="str">
        <x:v>7:1:0;7:2:0;7:3:0;7:4:0;7:5:0;7:6:0</x:v>
      </x:c>
      <x:c r="Q16" s="40" t="str">
        <x:v>No</x:v>
      </x:c>
      <x:c r="R16" s="30"/>
    </x:row>
    <x:row r="17" ht="60" customHeight="1">
      <x:c r="A17" s="30" t="str">
        <x:v>ERP-004</x:v>
      </x:c>
      <x:c r="B17" s="30" t="str">
        <x:v>ERP-004</x:v>
      </x:c>
      <x:c r="C17" s="30" t="str">
        <x:v>ERP Report</x:v>
      </x:c>
      <x:c r="D17" s="30" t="str">
        <x:v>erpreport.pdf</x:v>
      </x:c>
      <x:c r="E17" s="30" t="str">
        <x:v>p 7</x:v>
      </x:c>
      <x:c r="F17" s="30" t="str">
        <x:v>Aligned to full PyMuPDF paragraph/list item</x:v>
      </x:c>
      <x:c r="G17" s="30" t="str">
        <x:v>Exact full paragraph/list item</x:v>
      </x:c>
      <x:c r="H17" s="40" t="str">
        <x:v>High</x:v>
      </x:c>
      <x:c r="I17" s="40" t="str">
        <x:v>Yes</x:v>
      </x:c>
      <x:c r="J17" s="40" t="str">
        <x:v>Yes</x:v>
      </x:c>
      <x:c r="K17" s="30" t="str">
        <x:v>The hurricane protection system was funded on a project-by-project basis over many years. As a result, the system was constructed in a piecemeal fashion. In addition, there were pressures for tradeoffs and low-cost solutions that compromised quality, safety, and reliability.</x:v>
      </x:c>
      <x:c r="L17" s="30" t="str">
        <x:v>• The hurricane protection system was funded on a project-by-project basis over many years. As a result, the system was constructed in a piecemeal fashion. In addition, there were pressures for tradeoffs and low-cost solutions that compromised quality, safety, and reliability.</x:v>
      </x:c>
      <x:c r="M17" s="30" t="str">
        <x:v>It identifies clear problems in project development and cost-cutting and implicitly calls for a fundamental change in the approach.</x:v>
      </x:c>
      <x:c r="N17" s="30" t="str">
        <x:v>It identifies clear problems in project development and cost-cutting and implicitly calls for a fundamental change in the approach.</x:v>
      </x:c>
      <x:c r="O17" s="30" t="str">
        <x:v>ERP-A015</x:v>
      </x:c>
      <x:c r="P17" s="30" t="str">
        <x:v>7:7:0;7:8:0;7:9:0;7:10:0;7:11:0</x:v>
      </x:c>
      <x:c r="Q17" s="40" t="str">
        <x:v>No</x:v>
      </x:c>
      <x:c r="R17" s="30"/>
    </x:row>
    <x:row r="18" ht="60" customHeight="1">
      <x:c r="A18" s="30" t="str">
        <x:v>ERP-005</x:v>
      </x:c>
      <x:c r="B18" s="30" t="str">
        <x:v>ERP-005</x:v>
      </x:c>
      <x:c r="C18" s="30" t="str">
        <x:v>ERP Report</x:v>
      </x:c>
      <x:c r="D18" s="30" t="str">
        <x:v>erpreport.pdf</x:v>
      </x:c>
      <x:c r="E18" s="30" t="str">
        <x:v>p 7</x:v>
      </x:c>
      <x:c r="F18" s="30" t="str">
        <x:v>Aligned to full PyMuPDF paragraph/list item</x:v>
      </x:c>
      <x:c r="G18" s="30" t="str">
        <x:v>Exact full paragraph/list item</x:v>
      </x:c>
      <x:c r="H18" s="40" t="str">
        <x:v>High</x:v>
      </x:c>
      <x:c r="I18" s="40" t="str">
        <x:v>Yes</x:v>
      </x:c>
      <x:c r="J18" s="40" t="str">
        <x:v>Yes</x:v>
      </x:c>
      <x:c r="K18" s="30" t="str">
        <x:v>The design of the New Orleans hurricane protection system was not subject to the rigorous external review by senior experts that is often conducted for similar life-safety structures and systems.</x:v>
      </x:c>
      <x:c r="L18" s="30" t="str">
        <x:v>• The design of the New Orleans hurricane protection system was not subject to the rigorous external review by senior experts that is often conducted for similar life-safety structures and systems.</x:v>
      </x:c>
      <x:c r="M18" s="30" t="str">
        <x:v>It identifies review mechanism as problemtaic and implicitly calls for external review system</x:v>
      </x:c>
      <x:c r="N18" s="30" t="str">
        <x:v>It identifies review mechanism as problemtaic and implicitly calls for external review system</x:v>
      </x:c>
      <x:c r="O18" s="30" t="str">
        <x:v>ERP-A016</x:v>
      </x:c>
      <x:c r="P18" s="30" t="str">
        <x:v>7:13:0;7:14:0;7:15:0</x:v>
      </x:c>
      <x:c r="Q18" s="40" t="str">
        <x:v>No</x:v>
      </x:c>
      <x:c r="R18" s="30"/>
    </x:row>
    <x:row r="19" ht="60" customHeight="1">
      <x:c r="A19" s="30" t="str">
        <x:v>ERP-006</x:v>
      </x:c>
      <x:c r="B19" s="30" t="str">
        <x:v>ERP-006</x:v>
      </x:c>
      <x:c r="C19" s="30" t="str">
        <x:v>ERP Report</x:v>
      </x:c>
      <x:c r="D19" s="30" t="str">
        <x:v>erpreport.pdf</x:v>
      </x:c>
      <x:c r="E19" s="30" t="str">
        <x:v>p 7</x:v>
      </x:c>
      <x:c r="F19" s="30" t="str">
        <x:v>Aligned to full PyMuPDF paragraph/list item</x:v>
      </x:c>
      <x:c r="G19" s="30" t="str">
        <x:v>Exact full paragraph/list item</x:v>
      </x:c>
      <x:c r="H19" s="40" t="str">
        <x:v>High</x:v>
      </x:c>
      <x:c r="I19" s="40" t="str">
        <x:v>No</x:v>
      </x:c>
      <x:c r="J19" s="40" t="str">
        <x:v>No</x:v>
      </x:c>
      <x:c r="K19" s="30" t="str">
        <x:v>Quantify and periodically update the assessment of risk. This approach should be extended to all areas in the United States that are vulnerable to major losses from hurricanes and flooding.</x:v>
      </x:c>
      <x:c r="L19" s="30" t="str">
        <x:v>• Quantify and periodically update the assessment of risk. This approach should be extended to all areas in the United States that are vulnerable to major losses from hurricanes and flooding.</x:v>
      </x:c>
      <x:c r="M19" s="30" t="str">
        <x:v>not unlearning. Its not about fundamental rethingk or abandongin,b ut more of updating and extending.</x:v>
      </x:c>
      <x:c r="N19" s="30" t="str">
        <x:v>not unlearning. Its not about fundamental rethingk or abandongin,b ut more of updating and extending.</x:v>
      </x:c>
      <x:c r="O19" s="30" t="str">
        <x:v>ERP-A020</x:v>
      </x:c>
      <x:c r="P19" s="30" t="str">
        <x:v>7:34:0;7:35:0;7:36:0</x:v>
      </x:c>
      <x:c r="Q19" s="40" t="str">
        <x:v>No</x:v>
      </x:c>
      <x:c r="R19" s="30"/>
    </x:row>
    <x:row r="20" ht="60" customHeight="1">
      <x:c r="A20" s="30" t="str">
        <x:v>ERP-007</x:v>
      </x:c>
      <x:c r="B20" s="30" t="str">
        <x:v>ERP-007</x:v>
      </x:c>
      <x:c r="C20" s="30" t="str">
        <x:v>ERP Report</x:v>
      </x:c>
      <x:c r="D20" s="30" t="str">
        <x:v>erpreport.pdf</x:v>
      </x:c>
      <x:c r="E20" s="30" t="str">
        <x:v>pp 7-8</x:v>
      </x:c>
      <x:c r="F20" s="30" t="str">
        <x:v>Aligned to full PyMuPDF paragraph/list item</x:v>
      </x:c>
      <x:c r="G20" s="30" t="str">
        <x:v>Exact full paragraph/list item</x:v>
      </x:c>
      <x:c r="H20" s="40" t="str">
        <x:v>High</x:v>
      </x:c>
      <x:c r="I20" s="40" t="str">
        <x:v>No</x:v>
      </x:c>
      <x:c r="J20" s="40" t="str">
        <x:v>No</x:v>
      </x:c>
      <x:c r="K20" s="30" t="str">
        <x:v>Determine the level of acceptable risk in the community through quality interactive public risk communication programs in New Orleans and other areas threatened by hurricanes and flooding. Once determined, manage the risks accordingly.</x:v>
      </x:c>
      <x:c r="L20" s="30" t="str">
        <x:v>• Determine the level of acceptable risk in the community through quality interactive public risk communication programs in New Orleans and other areas threatened by hurricanes and flooding. Once determined, manage the risks accordingly.</x:v>
      </x:c>
      <x:c r="M20" s="30" t="str">
        <x:v>Not unlearnign. This is a generic statement and doesnt identify what was broken and needs to be rethought.</x:v>
      </x:c>
      <x:c r="N20" s="30" t="str">
        <x:v>Not unlearnign. This is a generic statement and doesnt identify what was broken and needs to be rethought.</x:v>
      </x:c>
      <x:c r="O20" s="30" t="str">
        <x:v>ERP-A021</x:v>
      </x:c>
      <x:c r="P20" s="30" t="str">
        <x:v>7:37:0;7:38:0;8:1:0;8:2:0</x:v>
      </x:c>
      <x:c r="Q20" s="40" t="str">
        <x:v>No</x:v>
      </x:c>
      <x:c r="R20" s="30"/>
    </x:row>
    <x:row r="21" ht="60" customHeight="1">
      <x:c r="A21" s="30" t="str">
        <x:v>ERP-008</x:v>
      </x:c>
      <x:c r="B21" s="30" t="str">
        <x:v>ERP-008</x:v>
      </x:c>
      <x:c r="C21" s="30" t="str">
        <x:v>ERP Report</x:v>
      </x:c>
      <x:c r="D21" s="30" t="str">
        <x:v>erpreport.pdf</x:v>
      </x:c>
      <x:c r="E21" s="30" t="str">
        <x:v>p 8</x:v>
      </x:c>
      <x:c r="F21" s="30" t="str">
        <x:v>Aligned to full PyMuPDF paragraph/list item</x:v>
      </x:c>
      <x:c r="G21" s="30" t="str">
        <x:v>Exact full paragraph/list item</x:v>
      </x:c>
      <x:c r="H21" s="40" t="str">
        <x:v>High</x:v>
      </x:c>
      <x:c r="I21" s="40" t="str">
        <x:v>No</x:v>
      </x:c>
      <x:c r="J21" s="40" t="str">
        <x:v>No</x:v>
      </x:c>
      <x:c r="K21" s="30" t="str">
        <x:v>Correct the system’s deficiencies by establishing mechanisms to incorporate changing information, making the levees survivable if overtopped, strengthening the I-walls and levees, and upgrading the pumping stations</x:v>
      </x:c>
      <x:c r="L21" s="30" t="str">
        <x:v>• Correct the system’s deficiencies by establishing mechanisms to incorporate changing information, making the levees survivable if overtopped, strengthening the I-walls and levees, and upgrading the pumping stations.</x:v>
      </x:c>
      <x:c r="M21" s="30" t="str">
        <x:v>This is not unlearning. It speaks to upgrades and coorective measures, not fundamental rethink.</x:v>
      </x:c>
      <x:c r="N21" s="30" t="str">
        <x:v>This is not unlearning. It speaks to upgrades and coorective measures, not fundamental rethink.</x:v>
      </x:c>
      <x:c r="O21" s="30" t="str">
        <x:v>ERP-A022</x:v>
      </x:c>
      <x:c r="P21" s="30" t="str">
        <x:v>8:3:0;8:4:0;8:5:0;8:6:0</x:v>
      </x:c>
      <x:c r="Q21" s="40" t="str">
        <x:v>No</x:v>
      </x:c>
      <x:c r="R21" s="30"/>
    </x:row>
    <x:row r="22" ht="60" customHeight="1">
      <x:c r="A22" s="30" t="str">
        <x:v>ERP-009</x:v>
      </x:c>
      <x:c r="B22" s="30" t="str">
        <x:v>ERP-009</x:v>
      </x:c>
      <x:c r="C22" s="30" t="str">
        <x:v>ERP Report</x:v>
      </x:c>
      <x:c r="D22" s="30" t="str">
        <x:v>erpreport.pdf</x:v>
      </x:c>
      <x:c r="E22" s="30" t="str">
        <x:v>p 8</x:v>
      </x:c>
      <x:c r="F22" s="30" t="str">
        <x:v>Aligned to full PyMuPDF paragraph/list item</x:v>
      </x:c>
      <x:c r="G22" s="30" t="str">
        <x:v>Exact full paragraph/list item</x:v>
      </x:c>
      <x:c r="H22" s="40" t="str">
        <x:v>High</x:v>
      </x:c>
      <x:c r="I22" s="40" t="str">
        <x:v>Yes</x:v>
      </x:c>
      <x:c r="J22" s="40" t="str">
        <x:v>Yes</x:v>
      </x:c>
      <x:c r="K22" s="30" t="str">
        <x:v>Assign to a single entity or individual (a licensed engineer) the responsibility of managing critical hurricane and flood protection systems such as the one in New Orleans.</x:v>
      </x:c>
      <x:c r="L22" s="30" t="str">
        <x:v>• Assign to a single entity or individual (a licensed engineer) the responsibility of managing critical hurricane and flood protection systems such as the one in New Orleans.</x:v>
      </x:c>
      <x:c r="M22" s="30" t="str">
        <x:v>This is unlearning. It doesnt identify a clear problem, but calls for fundamental rethink by assigning a single entity responsible managing criticl huyrricane.</x:v>
      </x:c>
      <x:c r="N22" s="30" t="str">
        <x:v>This is unlearning. It doesnt identify a clear problem, but calls for fundamental rethink by assigning a single entity responsible managing criticl huyrricane.</x:v>
      </x:c>
      <x:c r="O22" s="30" t="str">
        <x:v>ERP-A023</x:v>
      </x:c>
      <x:c r="P22" s="30" t="str">
        <x:v>8:7:0;8:8:0;8:9:0</x:v>
      </x:c>
      <x:c r="Q22" s="40" t="str">
        <x:v>No</x:v>
      </x:c>
      <x:c r="R22" s="30"/>
    </x:row>
    <x:row r="23" ht="60" customHeight="1">
      <x:c r="A23" s="30" t="str">
        <x:v>ERP-010</x:v>
      </x:c>
      <x:c r="B23" s="30" t="str">
        <x:v>ERP-010</x:v>
      </x:c>
      <x:c r="C23" s="30" t="str">
        <x:v>ERP Report</x:v>
      </x:c>
      <x:c r="D23" s="30" t="str">
        <x:v>erpreport.pdf</x:v>
      </x:c>
      <x:c r="E23" s="30" t="str">
        <x:v>p 8</x:v>
      </x:c>
      <x:c r="F23" s="30" t="str">
        <x:v>Aligned to full PyMuPDF paragraph/list item</x:v>
      </x:c>
      <x:c r="G23" s="30" t="str">
        <x:v>Exact full paragraph/list item</x:v>
      </x:c>
      <x:c r="H23" s="40" t="str">
        <x:v>High</x:v>
      </x:c>
      <x:c r="I23" s="40" t="str">
        <x:v>No</x:v>
      </x:c>
      <x:c r="J23" s="40" t="str">
        <x:v>No</x:v>
      </x:c>
      <x:c r="K23" s="30" t="str">
        <x:v>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x:v>
      </x:c>
      <x:c r="L23" s="30" t="str">
        <x:v>• Implement more effective mechanisms for coordination and cooperation. (For example, those responsible for maintenance of the system must collaborate with system designers and must upgrade their inspection, repair, and operations processes to ensure that the system is hurricane- and flood-ready.)</x:v>
      </x:c>
      <x:c r="M23" s="30" t="str">
        <x:v>This is not unlearnign. It doesnt exolicitly identify a clear problem and asks for more additive changes related to upgrading.</x:v>
      </x:c>
      <x:c r="N23" s="30" t="str">
        <x:v>This is not unlearnign. It doesnt exolicitly identify a clear problem and asks for more additive changes related to upgrading.</x:v>
      </x:c>
      <x:c r="O23" s="30" t="str">
        <x:v>ERP-A024</x:v>
      </x:c>
      <x:c r="P23" s="30" t="str">
        <x:v>8:10:0;8:11:0;8:12:0;8:13:0;8:14:0</x:v>
      </x:c>
      <x:c r="Q23" s="40" t="str">
        <x:v>No</x:v>
      </x:c>
      <x:c r="R23" s="30"/>
    </x:row>
    <x:row r="24" ht="60" customHeight="1">
      <x:c r="A24" s="30" t="str">
        <x:v>ERP-011</x:v>
      </x:c>
      <x:c r="B24" s="30" t="str">
        <x:v>ERP-011</x:v>
      </x:c>
      <x:c r="C24" s="30" t="str">
        <x:v>ERP Report</x:v>
      </x:c>
      <x:c r="D24" s="30" t="str">
        <x:v>erpreport.pdf</x:v>
      </x:c>
      <x:c r="E24" s="30" t="str">
        <x:v>p 8</x:v>
      </x:c>
      <x:c r="F24" s="30" t="str">
        <x:v>Aligned to full PyMuPDF paragraph/list item</x:v>
      </x:c>
      <x:c r="G24" s="30" t="str">
        <x:v>Exact full paragraph/list item</x:v>
      </x:c>
      <x:c r="H24" s="40" t="str">
        <x:v>High</x:v>
      </x:c>
      <x:c r="I24" s="40" t="str">
        <x:v>Yes</x:v>
      </x:c>
      <x:c r="J24" s="40" t="str">
        <x:v>Yes</x:v>
      </x:c>
      <x:c r="K24" s="30" t="str">
        <x:v>Engage independent experts in high-level reviews of all critical life safety structures, including hurricane and flood-protection systems.</x:v>
      </x:c>
      <x:c r="L24" s="30" t="str">
        <x:v>• Engage independent experts in high-level reviews of all critical life-safety structures, including hurricane and flood-protection systems.</x:v>
      </x:c>
      <x:c r="M24" s="30" t="str">
        <x:v>This is unlearning. It doesn't identify the clear problem explicitly, but I can surmise that independent experts weren't part of the review, and it calls for a new approach where they are engaged.</x:v>
      </x:c>
      <x:c r="N24" s="30" t="str">
        <x:v>This is unlearning. It doesn't identify the clear problem explicitly, but I can surmise that independent experts weren't part of the review, and it calls for a new approach where they are engaged.</x:v>
      </x:c>
      <x:c r="O24" s="30" t="str">
        <x:v>ERP-A026</x:v>
      </x:c>
      <x:c r="P24" s="30" t="str">
        <x:v>8:17:0;8:18:0</x:v>
      </x:c>
      <x:c r="Q24" s="40" t="str">
        <x:v>No</x:v>
      </x:c>
      <x:c r="R24" s="30"/>
    </x:row>
    <x:row r="25" ht="60" customHeight="1">
      <x:c r="A25" s="30" t="str">
        <x:v>ERP-012</x:v>
      </x:c>
      <x:c r="B25" s="30" t="str">
        <x:v>ERP-012</x:v>
      </x:c>
      <x:c r="C25" s="30" t="str">
        <x:v>ERP Report</x:v>
      </x:c>
      <x:c r="D25" s="30" t="str">
        <x:v>erpreport.pdf</x:v>
      </x:c>
      <x:c r="E25" s="30" t="str">
        <x:v>p 56</x:v>
      </x:c>
      <x:c r="F25" s="30" t="str">
        <x:v>Aligned to full PyMuPDF paragraph/list item</x:v>
      </x:c>
      <x:c r="G25" s="30" t="str">
        <x:v>Exact full paragraph/list item</x:v>
      </x:c>
      <x:c r="H25" s="40" t="str">
        <x:v>High</x:v>
      </x:c>
      <x:c r="I25" s="40" t="str">
        <x:v>Yes</x:v>
      </x:c>
      <x:c r="J25" s="40" t="str">
        <x:v>Yes</x:v>
      </x:c>
      <x:c r="K25" s="30" t="str">
        <x:v>Figure 7.2 illustrates how the soil data were mis-interpreted. During a soil investigation, samples are obtained from drill holes and tested in a laboratory to determine soil properties. From a plot of the soil strength data, conservative values should be selected for design.</x:v>
      </x:c>
      <x:c r="L25" s="30" t="str">
        <x:v>Figure 7.2 illustrates how the soil data were mis-interpreted. During a soil investigation, samples are obtained from drill holes and tested in a laboratory to determine soil properties. From a plot of the soil strength data, conservative values should be selected for design.</x:v>
      </x:c>
      <x:c r="M25" s="30" t="str">
        <x:v>This identifies a engineering flaw in soil strength estimation and calls for adopting more conservative estimates.</x:v>
      </x:c>
      <x:c r="N25" s="30" t="str">
        <x:v>This identifies a engineering flaw in soil strength estimation and calls for adopting more conservative estimates.</x:v>
      </x:c>
      <x:c r="O25" s="30" t="str">
        <x:v>ERP-A181</x:v>
      </x:c>
      <x:c r="P25" s="30" t="str">
        <x:v>56:17:0;56:18:0;56:19:0;56:20:0</x:v>
      </x:c>
      <x:c r="Q25" s="40" t="str">
        <x:v>No</x:v>
      </x:c>
      <x:c r="R25" s="30"/>
    </x:row>
    <x:row r="26" ht="60" customHeight="1">
      <x:c r="A26" s="30" t="str">
        <x:v>ERP-013</x:v>
      </x:c>
      <x:c r="B26" s="30" t="str">
        <x:v>ERP-013</x:v>
      </x:c>
      <x:c r="C26" s="30" t="str">
        <x:v>ERP Report</x:v>
      </x:c>
      <x:c r="D26" s="30" t="str">
        <x:v>erpreport.pdf</x:v>
      </x:c>
      <x:c r="E26" s="30" t="str">
        <x:v>p 67</x:v>
      </x:c>
      <x:c r="F26" s="30" t="str">
        <x:v>Split the two-paragraph parent span; retained the design-and-role paragraph as a positive child</x:v>
      </x:c>
      <x:c r="G26" s="30" t="str">
        <x:v>Parent span split to source paragraph</x:v>
      </x:c>
      <x:c r="H26" s="40" t="str">
        <x:v>High</x:v>
      </x:c>
      <x:c r="I26" s="40" t="str">
        <x:v>Yes</x:v>
      </x:c>
      <x:c r="J26" s="40" t="str">
        <x:v>Yes</x:v>
      </x:c>
      <x:c r="K26" s="30" t="str">
        <x:v>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x:v>
      </x:c>
      <x:c r="L26" s="30" t="str">
        <x:v>The pumping stations throughout the New Orleans area could have been — but were not — 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x:v>
      </x:c>
      <x:c r="M26" s="30" t="str">
        <x:v>It identifies the design, location and role of pump stations as a findamental problem and implicitly calls for them to be redesigned to play a larger role lowering floodwater.</x:v>
      </x:c>
      <x:c r="N26" s="30" t="str">
        <x:v>The paragraph rejects the narrow conception of pump stations as routine drainage infrastructure and contrasts it with an integrated hurricane-protection role.</x:v>
      </x:c>
      <x:c r="O26" s="30" t="str">
        <x:v>ERP-A212</x:v>
      </x:c>
      <x:c r="P26" s="30" t="str">
        <x:v>67:5:0;67:6:0;67:7:0;67:8:0;67:9:0;67:10:0</x:v>
      </x:c>
      <x:c r="Q26" s="40" t="str">
        <x:v>Yes</x:v>
      </x:c>
      <x:c r="R26" s="30" t="str">
        <x:v>Paragraph-level Yes was derived from the human-labeled two-paragraph parent span and its rationale; confirm during team adjudication.</x:v>
      </x:c>
    </x:row>
    <x:row r="27" ht="60" customHeight="1">
      <x:c r="A27" s="30" t="str">
        <x:v>ERP-013</x:v>
      </x:c>
      <x:c r="B27" s="30" t="str">
        <x:v>ERP-014</x:v>
      </x:c>
      <x:c r="C27" s="30" t="str">
        <x:v>ERP Report</x:v>
      </x:c>
      <x:c r="D27" s="30" t="str">
        <x:v>erpreport.pdf</x:v>
      </x:c>
      <x:c r="E27" s="30" t="str">
        <x:v>p 67</x:v>
      </x:c>
      <x:c r="F27" s="30" t="str">
        <x:v>Split the two-paragraph parent span; retained the performance-and-location paragraph as a negative child</x:v>
      </x:c>
      <x:c r="G27" s="30" t="str">
        <x:v>Parent span split to source paragraph</x:v>
      </x:c>
      <x:c r="H27" s="40" t="str">
        <x:v>High</x:v>
      </x:c>
      <x:c r="I27" s="40" t="str">
        <x:v>Yes</x:v>
      </x:c>
      <x:c r="J27" s="40" t="str">
        <x:v>No</x:v>
      </x:c>
      <x:c r="K27" s="30" t="str">
        <x:v>The pumping stations throughout the New Orleans area could have been—but were not—an integral part of the hurricane protection system. Most hurricanes and tropical storms bring heavy rainfall, but the pump stations were designed only to remove stormwater runoff and routine seepage water from the interior drainage system and pump it into Lake Pontchartrain or other nearby bodies of water.
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x:v>
      </x:c>
      <x:c r="L27" s="30" t="str">
        <x:v>During Hurricane Katrina, more than 12 inches of rain fell on parts of New Orleans. During and after Hurricane Katrina, a few pump stations operated, but their output, approximately 18,000 cubic feet per second (about 16 percent of total pumping capacity for the region), played no significant role in lowering floodwaters because the pump stations were not located in the areas of worst flooding.</x:v>
      </x:c>
      <x:c r="M27" s="30" t="str">
        <x:v>It identifies the design, location and role of pump stations as a findamental problem and implicitly calls for them to be redesigned to play a larger role lowering floodwater.</x:v>
      </x:c>
      <x:c r="N27" s="30" t="str">
        <x:v>The paragraph documents that the operating pump stations had little effect because of their location, but it does not itself call for redesigning, relocating, or replacing the arrangement.</x:v>
      </x:c>
      <x:c r="O27" s="30" t="str">
        <x:v>ERP-A213</x:v>
      </x:c>
      <x:c r="P27" s="30" t="str">
        <x:v>67:11:0;67:12:0;67:13:0;67:14:0;67:15:0;67:16:0</x:v>
      </x:c>
      <x:c r="Q27" s="40" t="str">
        <x:v>Yes</x:v>
      </x:c>
      <x:c r="R27" s="30" t="str">
        <x:v>Paragraph-level No was derived from the human-labeled two-paragraph parent span and its rationale; confirm during team adjudication.</x:v>
      </x:c>
    </x:row>
    <x:row r="28" ht="60" customHeight="1">
      <x:c r="A28" s="30" t="str">
        <x:v>ERP-014</x:v>
      </x:c>
      <x:c r="B28" s="30" t="str">
        <x:v>ERP-015</x:v>
      </x:c>
      <x:c r="C28" s="30" t="str">
        <x:v>ERP Report</x:v>
      </x:c>
      <x:c r="D28" s="30" t="str">
        <x:v>erpreport.pdf</x:v>
      </x:c>
      <x:c r="E28" s="30" t="str">
        <x:v>p 68</x:v>
      </x:c>
      <x:c r="F28" s="30" t="str">
        <x:v>Aligned to full PyMuPDF paragraph/list item</x:v>
      </x:c>
      <x:c r="G28" s="30" t="str">
        <x:v>Exact full paragraph/list item</x:v>
      </x:c>
      <x:c r="H28" s="40" t="str">
        <x:v>High</x:v>
      </x:c>
      <x:c r="I28" s="40" t="str">
        <x:v>Yes</x:v>
      </x:c>
      <x:c r="J28" s="40" t="str">
        <x:v>Yes</x:v>
      </x:c>
      <x:c r="K28" s="30" t="str">
        <x:v>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x:v>
      </x:c>
      <x:c r="L28" s="30" t="str">
        <x:v>Unintended reverse flow through some pumps in Jefferson Parish even added to the flooding. While methods were available to prevent reverse flow, they depended on human operators and electrical power, neither of which were present at the time. In the absence of automatic backflow preventers within the pump stations, water in the canals flowed through some idle pumps back into the city.</x:v>
      </x:c>
      <x:c r="M28" s="30" t="str">
        <x:v>This idenfiies a clear flaw in the design of pump stations wherein there is no reverse flow mechanism and calls for redesign.</x:v>
      </x:c>
      <x:c r="N28" s="30" t="str">
        <x:v>This idenfiies a clear flaw in the design of pump stations wherein there is no reverse flow mechanism and calls for redesign.</x:v>
      </x:c>
      <x:c r="O28" s="30" t="str">
        <x:v>ERP-A216</x:v>
      </x:c>
      <x:c r="P28" s="30" t="str">
        <x:v>68:8:0;68:9:0;68:10:0;68:11:0;68:12:0;68:13:0</x:v>
      </x:c>
      <x:c r="Q28" s="40" t="str">
        <x:v>No</x:v>
      </x:c>
      <x:c r="R28" s="30"/>
    </x:row>
    <x:row r="29" ht="60" customHeight="1">
      <x:c r="A29" s="30" t="str">
        <x:v>ERP-015</x:v>
      </x:c>
      <x:c r="B29" s="30" t="str">
        <x:v>ERP-016</x:v>
      </x:c>
      <x:c r="C29" s="30" t="str">
        <x:v>ERP Report</x:v>
      </x:c>
      <x:c r="D29" s="30" t="str">
        <x:v>erpreport.pdf</x:v>
      </x:c>
      <x:c r="E29" s="30" t="str">
        <x:v>p 70</x:v>
      </x:c>
      <x:c r="F29" s="30" t="str">
        <x:v>Aligned to full PyMuPDF paragraph/list item</x:v>
      </x:c>
      <x:c r="G29" s="30" t="str">
        <x:v>Exact full paragraph/list item</x:v>
      </x:c>
      <x:c r="H29" s="40" t="str">
        <x:v>High</x:v>
      </x:c>
      <x:c r="I29" s="40" t="str">
        <x:v>Yes</x:v>
      </x:c>
      <x:c r="J29" s="40" t="str">
        <x:v>Yes</x:v>
      </x:c>
      <x:c r="K29" s="30" t="str">
        <x:v>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x:v>
      </x:c>
      <x:c r="L29" s="30" t="str">
        <x:v>One of the most glaring results of not taking risk into account in the design and construction of the hurricane protection system is this: the consequence of failure — catastrophic loss of life — did not seem to be acknowledged. If nothing else, understanding these risks could have led to a much more proactive and effective evacuation program for people to be removed from harm’s way.</x:v>
      </x:c>
      <x:c r="M29" s="30" t="str">
        <x:v>This identifies a clear flaw in reisk estimation related to loss of life and asks for a rethink in estimates.</x:v>
      </x:c>
      <x:c r="N29" s="30" t="str">
        <x:v>This identifies a clear flaw in reisk estimation related to loss of life and asks for a rethink in estimates.</x:v>
      </x:c>
      <x:c r="O29" s="30" t="str">
        <x:v>ERP-A224</x:v>
      </x:c>
      <x:c r="P29" s="30" t="str">
        <x:v>70:25:0;70:26:0;70:27:0;70:28:0;70:29:0;70:30:0</x:v>
      </x:c>
      <x:c r="Q29" s="40" t="str">
        <x:v>No</x:v>
      </x:c>
      <x:c r="R29" s="30"/>
    </x:row>
    <x:row r="30" ht="60" customHeight="1">
      <x:c r="A30" s="30" t="str">
        <x:v>ERP-016</x:v>
      </x:c>
      <x:c r="B30" s="30" t="str">
        <x:v>ERP-017</x:v>
      </x:c>
      <x:c r="C30" s="30" t="str">
        <x:v>ERP Report</x:v>
      </x:c>
      <x:c r="D30" s="30" t="str">
        <x:v>erpreport.pdf</x:v>
      </x:c>
      <x:c r="E30" s="30" t="str">
        <x:v>p 71</x:v>
      </x:c>
      <x:c r="F30" s="30" t="str">
        <x:v>Aligned to full PyMuPDF paragraph/list item</x:v>
      </x:c>
      <x:c r="G30" s="30" t="str">
        <x:v>Exact full paragraph/list item</x:v>
      </x:c>
      <x:c r="H30" s="40" t="str">
        <x:v>High</x:v>
      </x:c>
      <x:c r="I30" s="40" t="str">
        <x:v>No</x:v>
      </x:c>
      <x:c r="J30" s="40" t="str">
        <x:v>No</x:v>
      </x:c>
      <x:c r="K30" s="30" t="str">
        <x:v>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x:v>
      </x:c>
      <x:c r="L30" s="30" t="str">
        <x:v>Critical questions need to be answered about hurricane-induced levee and floodwall failure. What is the risk? How much risk is acceptable? How can this level of risk be effectively communicated? How should the hurricane protection system be designed based on risk? Work to define the frequency of hurricanes in New Orleans is on-going. It appears that Hurricane Katrina had a probability-based recurrence interval in the range of 50 to 500 years, meaning that, in the future, a storm such as Hurricane Katrina has 1 in 50 to 1 in 500 chance of occurring in any one year. Furthermore, work to define the probability that the hurricane protection system would fail from the hurricane forces is also on-going.</x:v>
      </x:c>
      <x:c r="M30" s="30" t="str">
        <x:v>Not unlearning. There is no clear policy failure and fundamental change being suggested.</x:v>
      </x:c>
      <x:c r="N30" s="30" t="str">
        <x:v>Not unlearning. There is no clear policy failure and fundamental change being suggested.</x:v>
      </x:c>
      <x:c r="O30" s="30" t="str">
        <x:v>ERP-A225</x:v>
      </x:c>
      <x:c r="P30" s="30" t="str">
        <x:v>71:1:0;71:2:0;71:3:0;71:4:0;71:5:0;71:6:0;71:7:0;71:8:0;71:9:0;71:10:0</x:v>
      </x:c>
      <x:c r="Q30" s="40" t="str">
        <x:v>No</x:v>
      </x:c>
      <x:c r="R30" s="30"/>
    </x:row>
    <x:row r="31" ht="60" customHeight="1">
      <x:c r="A31" s="30" t="str">
        <x:v>ERP-017</x:v>
      </x:c>
      <x:c r="B31" s="30" t="str">
        <x:v>ERP-018</x:v>
      </x:c>
      <x:c r="C31" s="30" t="str">
        <x:v>ERP Report</x:v>
      </x:c>
      <x:c r="D31" s="30" t="str">
        <x:v>erpreport.pdf</x:v>
      </x:c>
      <x:c r="E31" s="30" t="str">
        <x:v>p 73</x:v>
      </x:c>
      <x:c r="F31" s="30" t="str">
        <x:v>Split the definition from the following USACE-failures list</x:v>
      </x:c>
      <x:c r="G31" s="30" t="str">
        <x:v>Parent span split to source paragraph</x:v>
      </x:c>
      <x:c r="H31" s="40" t="str">
        <x:v>High</x:v>
      </x:c>
      <x:c r="I31" s="40" t="str">
        <x:v>Yes</x:v>
      </x:c>
      <x:c r="J31" s="40" t="str">
        <x:v>No</x:v>
      </x:c>
      <x:c r="K31" s="30" t="str">
        <x:v>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v>
      </x:c>
      <x:c r="L31" s="30" t="str">
        <x:v>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 — particularly when compared with the probable maximum hurricane (PMH), which the National Weather Service defines as “a combination of meteorological parameters that will give the highest sustained wind speed that can probably occur at a specified coastal location.”</x:v>
      </x:c>
      <x:c r="M31" s="30" t="str">
        <x:v>It identifies an engineering problem in hurricane estimation and ask for evluation for PMH storms.</x:v>
      </x:c>
      <x:c r="N31" s="30" t="str">
        <x:v>The paragraph defines and contrasts the SPH and PMH standards but does not independently reject an existing engineering approach or propose a revised one.</x:v>
      </x:c>
      <x:c r="O31" s="30" t="str">
        <x:v>ERP-A231</x:v>
      </x:c>
      <x:c r="P31" s="30" t="str">
        <x:v>73:6:0;73:7:0;73:8:0;73:9:0;73:10:0;73:11:0;73:12:0;73:13:0</x:v>
      </x:c>
      <x:c r="Q31" s="40" t="str">
        <x:v>Yes</x:v>
      </x:c>
      <x:c r="R31" s="30" t="str">
        <x:v>Paragraph-level No was derived from a human-labeled multi-unit parent span; confirm during team adjudication.</x:v>
      </x:c>
    </x:row>
    <x:row r="32" ht="60" customHeight="1">
      <x:c r="A32" s="30" t="str">
        <x:v>ERP-017</x:v>
      </x:c>
      <x:c r="B32" s="30" t="str">
        <x:v>ERP-019</x:v>
      </x:c>
      <x:c r="C32" s="30" t="str">
        <x:v>ERP Report</x:v>
      </x:c>
      <x:c r="D32" s="30" t="str">
        <x:v>erpreport.pdf</x:v>
      </x:c>
      <x:c r="E32" s="30" t="str">
        <x:v>pp 73-74</x:v>
      </x:c>
      <x:c r="F32" s="30" t="str">
        <x:v>Grouped the grammatical lead-in and its four bullets as one list unit after splitting the parent span</x:v>
      </x:c>
      <x:c r="G32" s="30" t="str">
        <x:v>Parent span split to source list unit</x:v>
      </x:c>
      <x:c r="H32" s="40" t="str">
        <x:v>High</x:v>
      </x:c>
      <x:c r="I32" s="40" t="str">
        <x:v>Yes</x:v>
      </x:c>
      <x:c r="J32" s="40" t="str">
        <x:v>Yes</x:v>
      </x:c>
      <x:c r="K32" s="30" t="str">
        <x:v>The USACE defines the standard project hurricane (SPH) as a hypothetical hurricane intended to represent the most severe combination of hurricane parameters that is reasonably characteristic of a specified region.
The definition “reasonably characteristic” implies that the SPH is not an extreme hurricane event—particularly when compared with the probable maximum hurricane (PMH), which the National Weather Service defines as “a combination of meteorological parameters that will give the highest sustained wind speed that can probably occur at a specified coastal location.” 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v>
      </x:c>
      <x:c r="L32" s="30" t="str">
        <x:v>The relationships between the meteorological parameters (central pressure index, forward speed, wind direction, and wind speed) are interrelated and complex. It appears that the USACE:
• Chose SPH meteorological parameters at the low end of the range of 101 to 111 mph listed by the USWB (now the National Weather Service) in 1959 as representative maximum wind speeds for a hurricane striking New Orleans
• Did not evaluate the hurricane protection system for the effects of a more severe storm such as the PMH,
• Did not update its SPH meteorological parameters when the National Weather Service issued revised numbers in 1979, and
• Did not improve previously designed and constructed components of the hurricane protection system to match updated design criteria.</x:v>
      </x:c>
      <x:c r="M32" s="30" t="str">
        <x:v>It identifies an engineering problem in hurricane estimation and ask for evluation for PMH storms.</x:v>
      </x:c>
      <x:c r="N32" s="30" t="str">
        <x:v>The list criticizes USACE’s reliance on low-end and outdated SPH parameters and implicitly calls for evaluating the system against more severe PMH conditions, updating design parameters, and upgrading existing components.</x:v>
      </x:c>
      <x:c r="O32" s="30" t="str">
        <x:v>ERP-A232</x:v>
      </x:c>
      <x:c r="P32" s="30" t="str">
        <x:v>73:14:0;73:15:0;73:16:0;73:17:0;73:18:0;73:19:0;73:20:0;74:1:0;74:2:0;74:3:0;74:4:0;74:5:0;74:6:0</x:v>
      </x:c>
      <x:c r="Q32" s="40" t="str">
        <x:v>Yes</x:v>
      </x:c>
      <x:c r="R32" s="30" t="str">
        <x:v>The departure is implicit in a list of actions USACE failed to take; paragraph-level Yes should be confirmed during team adjudication.</x:v>
      </x:c>
    </x:row>
    <x:row r="33" ht="60" customHeight="1">
      <x:c r="A33" s="30" t="str">
        <x:v>ERP-018</x:v>
      </x:c>
      <x:c r="B33" s="30" t="str">
        <x:v>ERP-020</x:v>
      </x:c>
      <x:c r="C33" s="30" t="str">
        <x:v>ERP Report</x:v>
      </x:c>
      <x:c r="D33" s="30" t="str">
        <x:v>erpreport.pdf</x:v>
      </x:c>
      <x:c r="E33" s="30" t="str">
        <x:v>p 74</x:v>
      </x:c>
      <x:c r="F33" s="30" t="str">
        <x:v>Expanded the cropped sentence to the complete source paragraph</x:v>
      </x:c>
      <x:c r="G33" s="30" t="str">
        <x:v>Partial passage expanded to full paragraph</x:v>
      </x:c>
      <x:c r="H33" s="40" t="str">
        <x:v>High</x:v>
      </x:c>
      <x:c r="I33" s="40" t="str">
        <x:v>Yes</x:v>
      </x:c>
      <x:c r="J33" s="40" t="str">
        <x:v>Yes</x:v>
      </x:c>
      <x:c r="K33" s="30" t="str">
        <x:v>The USACE’s apparent non-conservative selection of the design hurricane is inconsistent with that needed to protect public safety when an extreme natural force such as Hurricane Katrina strikes.</x:v>
      </x:c>
      <x:c r="L33" s="30" t="str">
        <x:v>While it is clear that using a stronger wind field would have led to a higher estimated surge level, without extensive modeling there is no way to predict how much higher the levees would have been had the PMH been used instead of the SPH. Regardless of the actual numbers, had the hurricane protection system been evaluated using PMH criteria, the consequences of a more severe storm could have been incorporated. For example, levees susceptible to overtopping and erosion could have been armored. Pump stations could have been strengthened. More comprehensive evacuation programs could have been instated. The USACE’s apparent non-conservative selection of the design hurricane is inconsistent with that needed to protect public safety when an extreme natural force such as Hurricane Katrina strikes.</x:v>
      </x:c>
      <x:c r="M33" s="30" t="str">
        <x:v>It identifies selection of non-conservation estimates and asks for its replacement.</x:v>
      </x:c>
      <x:c r="N33" s="30" t="str">
        <x:v>It identifies selection of non-conservation estimates and asks for its replacement.</x:v>
      </x:c>
      <x:c r="O33" s="30" t="str">
        <x:v>ERP-A234</x:v>
      </x:c>
      <x:c r="P33" s="30" t="str">
        <x:v>74:16:0;74:17:0;74:18:0;74:19:0;74:20:0;74:21:0;74:22:0;74:23:0;74:24:0;74:25:0;74:26:0</x:v>
      </x:c>
      <x:c r="Q33" s="40" t="str">
        <x:v>No</x:v>
      </x:c>
      <x:c r="R33" s="30"/>
    </x:row>
    <x:row r="34" ht="60" customHeight="1">
      <x:c r="A34" s="30" t="str">
        <x:v>ERP-019</x:v>
      </x:c>
      <x:c r="B34" s="30" t="str">
        <x:v>ERP-021</x:v>
      </x:c>
      <x:c r="C34" s="30" t="str">
        <x:v>ERP Report</x:v>
      </x:c>
      <x:c r="D34" s="30" t="str">
        <x:v>erpreport.pdf</x:v>
      </x:c>
      <x:c r="E34" s="30" t="str">
        <x:v>p 76</x:v>
      </x:c>
      <x:c r="F34" s="30" t="str">
        <x:v>Aligned to full PyMuPDF paragraph/list item</x:v>
      </x:c>
      <x:c r="G34" s="30" t="str">
        <x:v>Exact full paragraph/list item</x:v>
      </x:c>
      <x:c r="H34" s="40" t="str">
        <x:v>High</x:v>
      </x:c>
      <x:c r="I34" s="40" t="str">
        <x:v>Yes</x:v>
      </x:c>
      <x:c r="J34" s="40" t="str">
        <x:v>Yes</x:v>
      </x:c>
      <x:c r="K34" s="30" t="str">
        <x:v>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x:v>
      </x:c>
      <x:c r="L34" s="30" t="str">
        <x:v>As shown in Table 8.1, various federal, state, and local agencies are responsible for the construction, operation, and maintenance of segments of the hurricane protection system. No single agency or organization is empowered to provide the much-needed system-wide oversight or focus on the critical life-safety issues. No formal coalition of agencies is directed to provide strategic direction, definition of roles and responsibilities, and coordination of critical construction, maintenance, and operations. Indeed, it appears that no agency or group of agencies ever defined clear, mutually agreed-upon expectations of what the hurricane protection system was really intended to achieve.</x:v>
      </x:c>
      <x:c r="M34" s="30" t="str">
        <x:v>It identifies agency mandates, roles adn responsbilities as a clear area requiring rethink.</x:v>
      </x:c>
      <x:c r="N34" s="30" t="str">
        <x:v>It identifies agency mandates, roles adn responsbilities as a clear area requiring rethink.</x:v>
      </x:c>
      <x:c r="O34" s="30" t="str">
        <x:v>ERP-A242</x:v>
      </x:c>
      <x:c r="P34" s="30" t="str">
        <x:v>76:19:0;76:20:0;76:21:0;76:22:0;76:23:0;76:24:0;76:25:0;76:26:0;76:27:0;76:28:0</x:v>
      </x:c>
      <x:c r="Q34" s="40" t="str">
        <x:v>No</x:v>
      </x:c>
      <x:c r="R34" s="30"/>
    </x:row>
    <x:row r="35" ht="60" customHeight="1">
      <x:c r="A35" s="30" t="str">
        <x:v>ERP-020</x:v>
      </x:c>
      <x:c r="B35" s="30" t="str">
        <x:v>ERP-022</x:v>
      </x:c>
      <x:c r="C35" s="30" t="str">
        <x:v>ERP Report</x:v>
      </x:c>
      <x:c r="D35" s="30" t="str">
        <x:v>erpreport.pdf</x:v>
      </x:c>
      <x:c r="E35" s="30" t="str">
        <x:v>p 79</x:v>
      </x:c>
      <x:c r="F35" s="30" t="str">
        <x:v>Aligned to full PyMuPDF paragraph/list item</x:v>
      </x:c>
      <x:c r="G35" s="30" t="str">
        <x:v>Exact full paragraph/list item</x:v>
      </x:c>
      <x:c r="H35" s="40" t="str">
        <x:v>High</x:v>
      </x:c>
      <x:c r="I35" s="40" t="str">
        <x:v>Yes</x:v>
      </x:c>
      <x:c r="J35" s="40" t="str">
        <x:v>Yes</x:v>
      </x:c>
      <x:c r="K35" s="30" t="str">
        <x:v>The problems that led to poor decision-making—the root cause of the catastrophe in New Orleans—thus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x:v>
      </x:c>
      <x:c r="L35" s="30" t="str">
        <x:v>The problems that led to poor decision-making — the root cause of the catastrophe in New Orleans — thus lie within and amongst the cultures of key organizations. Protecting against life-threatening risk was put on the back burner of public priority. Perhaps no one truly realized how catastrophic levee failures would be. Perhaps no one was willing to pay the price necessary to build a reasonably safe levee system. Perhaps the levee boards became distracted by development projects, airports, parks, casinos, or other matters that were given priority above the primary task of caring for the levees. Perhaps the political will needed to implement a rationally based hurricane protection system was simply too great to be achieved. However, to achieve a different outcome in the future, these cultures must change, focusing more on protecting peoples’ lives and less on “business as usual.”</x:v>
      </x:c>
      <x:c r="M35" s="30" t="str">
        <x:v>It identifies culture, agency mandates, roles and responsibilities as a clear area requiring rethinking.</x:v>
      </x:c>
      <x:c r="N35" s="30" t="str">
        <x:v>It identifies culture, agency mandates, roles and responsibilities as a clear area requiring rethinking.</x:v>
      </x:c>
      <x:c r="O35" s="30" t="str">
        <x:v>ERP-A247</x:v>
      </x:c>
      <x:c r="P35" s="30" t="str">
        <x:v>79:3:3;79:3:4;79:3:5;79:3:6;79:3:7;79:3:8;79:3:9;79:3:10;79:3:11;79:3:12;79:4:0;79:5:0</x:v>
      </x:c>
      <x:c r="Q35" s="40" t="str">
        <x:v>No</x:v>
      </x:c>
      <x:c r="R35" s="30"/>
    </x:row>
    <x:row r="36" ht="60" customHeight="1">
      <x:c r="A36" s="30" t="str">
        <x:v>ERP-021</x:v>
      </x:c>
      <x:c r="B36" s="30" t="str">
        <x:v>ERP-023</x:v>
      </x:c>
      <x:c r="C36" s="30" t="str">
        <x:v>ERP Report</x:v>
      </x:c>
      <x:c r="D36" s="30" t="str">
        <x:v>erpreport.pdf</x:v>
      </x:c>
      <x:c r="E36" s="30" t="str">
        <x:v>p 79</x:v>
      </x:c>
      <x:c r="F36" s="30" t="str">
        <x:v>Split the two-paragraph parent span; retained the diagnostic paragraph as No</x:v>
      </x:c>
      <x:c r="G36" s="30" t="str">
        <x:v>Parent span split to source paragraph</x:v>
      </x:c>
      <x:c r="H36" s="40" t="str">
        <x:v>High</x:v>
      </x:c>
      <x:c r="I36" s="40" t="str">
        <x:v>Yes</x:v>
      </x:c>
      <x:c r="J36" s="40" t="str">
        <x:v>No</x:v>
      </x:c>
      <x:c r="K36" s="30" t="str">
        <x:v>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x:v>
      </x:c>
      <x:c r="L36" s="30" t="str">
        <x:v>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x:v>
      </x:c>
      <x:c r="M36" s="30" t="str">
        <x:v>It identifies clear deficiency in engineering chouices and asks for rethik of margins of safety, orgnizational culture and expternal peer review systems.</x:v>
      </x:c>
      <x:c r="N36" s="30" t="str">
        <x:v>The paragraph diagnoses weaknesses in USACE peer-review procedures and resulting engineering errors, but it does not itself state what practice should replace them.</x:v>
      </x:c>
      <x:c r="O36" s="30" t="str">
        <x:v>ERP-A250</x:v>
      </x:c>
      <x:c r="P36" s="30" t="str">
        <x:v>79:9:0;79:9:1;79:9:2;79:9:3;79:9:4;79:9:5;79:9:6</x:v>
      </x:c>
      <x:c r="Q36" s="40" t="str">
        <x:v>Yes</x:v>
      </x:c>
      <x:c r="R36" s="30" t="str">
        <x:v>Paragraph-level No was derived from the human-labeled parent span and rationale; confirm during team adjudication.</x:v>
      </x:c>
    </x:row>
    <x:row r="37" ht="60" customHeight="1">
      <x:c r="A37" s="30" t="str">
        <x:v>ERP-021</x:v>
      </x:c>
      <x:c r="B37" s="30" t="str">
        <x:v>ERP-024</x:v>
      </x:c>
      <x:c r="C37" s="30" t="str">
        <x:v>ERP Report</x:v>
      </x:c>
      <x:c r="D37" s="30" t="str">
        <x:v>erpreport.pdf</x:v>
      </x:c>
      <x:c r="E37" s="30" t="str">
        <x:v>p 79</x:v>
      </x:c>
      <x:c r="F37" s="30" t="str">
        <x:v>Split the two-paragraph parent span; retained the replacement-oriented paragraph as Yes</x:v>
      </x:c>
      <x:c r="G37" s="30" t="str">
        <x:v>Parent span split to source paragraph</x:v>
      </x:c>
      <x:c r="H37" s="40" t="str">
        <x:v>High</x:v>
      </x:c>
      <x:c r="I37" s="40" t="str">
        <x:v>Yes</x:v>
      </x:c>
      <x:c r="J37" s="40" t="str">
        <x:v>Yes</x:v>
      </x:c>
      <x:c r="K37" s="30" t="str">
        <x:v>The USACE’s peer reviews are discretionary, are not triggered by sound engineering principles, do not have a mechanism to gauge their fidelity, and contain vague processes for selecting reviewers. As a result, questionable engineering decisions were made for the New Orleans hurricane protection system. Margins of safety were too low in designing the levees. Improper datums were used in construction. The standard project hurricane was not updated.
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x:v>
      </x:c>
      <x:c r="L37" s="30" t="str">
        <x:v>The engineering decision-making process became “self-referential,” meaning that designers were forced to look to their own organizations to help guide decisions, not to the greater engineering community. Individuals within a self-referential organization can lose step with technological advances and alternative solutions. The organizational culture (for instance, “it’s how we’ve always done it”) influenced behavior over the many years that the hurricane protection system was under design and construction. Proper and effective external peer review could have prevented these errors of judgment from occurring.</x:v>
      </x:c>
      <x:c r="M37" s="30" t="str">
        <x:v>It identifies clear deficiency in engineering chouices and asks for rethik of margins of safety, orgnizational culture and expternal peer review systems.</x:v>
      </x:c>
      <x:c r="N37" s="30" t="str">
        <x:v>The paragraph identifies self-referential engineering decision-making and organizational habit as inadequate and presents effective external peer review as the alternative that could prevent such errors.</x:v>
      </x:c>
      <x:c r="O37" s="30" t="str">
        <x:v>ERP-A251</x:v>
      </x:c>
      <x:c r="P37" s="30" t="str">
        <x:v>79:10:0;79:10:1;79:11:0;79:12:0;79:13:0;79:14:0;79:15:0;79:16:0</x:v>
      </x:c>
      <x:c r="Q37" s="40" t="str">
        <x:v>Yes</x:v>
      </x:c>
      <x:c r="R37" s="30" t="str">
        <x:v>The recommendation is expressed partly through a counterfactual; confirm the paragraph-level Yes during team adjudication.</x:v>
      </x:c>
    </x:row>
    <x:row r="38" ht="60" customHeight="1">
      <x:c r="A38" s="30" t="str">
        <x:v>ERP-022</x:v>
      </x:c>
      <x:c r="B38" s="30" t="str">
        <x:v>ERP-025</x:v>
      </x:c>
      <x:c r="C38" s="30" t="str">
        <x:v>ERP Report</x:v>
      </x:c>
      <x:c r="D38" s="30" t="str">
        <x:v>erpreport.pdf</x:v>
      </x:c>
      <x:c r="E38" s="30" t="str">
        <x:v>p 80</x:v>
      </x:c>
      <x:c r="F38" s="30" t="str">
        <x:v>Split the six-paragraph funding parent span into paragraph 1 of 6</x:v>
      </x:c>
      <x:c r="G38" s="30" t="str">
        <x:v>Parent span split to source paragraph</x:v>
      </x:c>
      <x:c r="H38" s="40" t="str">
        <x:v>High</x:v>
      </x:c>
      <x:c r="I38" s="40" t="str">
        <x:v>Yes</x:v>
      </x:c>
      <x:c r="J38" s="40" t="str">
        <x:v>No</x:v>
      </x:c>
      <x:c r="K38"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L38"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x:v>
      </x:c>
      <x:c r="M38" s="30" t="str">
        <x:v>This identifies the funding mechanism and oversigh as an issue and calls for a fundamental rethink.</x:v>
      </x:c>
      <x:c r="N38" s="30" t="str">
        <x:v>The paragraph describes the ordinary federal and local funding process but does not identify it as inadequate or call for its replacement.</x:v>
      </x:c>
      <x:c r="O38" s="30" t="str">
        <x:v>ERP-A252</x:v>
      </x:c>
      <x:c r="P38" s="30" t="str">
        <x:v>80:2:0;80:3:0;80:4:0;80:5:0;80:6:0;80:7:0</x:v>
      </x:c>
      <x:c r="Q38" s="40" t="str">
        <x:v>Yes</x:v>
      </x:c>
      <x:c r="R38" s="30" t="str">
        <x:v>Paragraph-level No was derived from a human-labeled multi-paragraph parent span; confirm during team adjudication.</x:v>
      </x:c>
    </x:row>
    <x:row r="39" ht="60" customHeight="1">
      <x:c r="A39" s="30" t="str">
        <x:v>ERP-022</x:v>
      </x:c>
      <x:c r="B39" s="30" t="str">
        <x:v>ERP-026</x:v>
      </x:c>
      <x:c r="C39" s="30" t="str">
        <x:v>ERP Report</x:v>
      </x:c>
      <x:c r="D39" s="30" t="str">
        <x:v>erpreport.pdf</x:v>
      </x:c>
      <x:c r="E39" s="30" t="str">
        <x:v>p 80</x:v>
      </x:c>
      <x:c r="F39" s="30" t="str">
        <x:v>Split the six-paragraph funding parent span into paragraph 2 of 6</x:v>
      </x:c>
      <x:c r="G39" s="30" t="str">
        <x:v>Parent span split to source paragraph</x:v>
      </x:c>
      <x:c r="H39" s="40" t="str">
        <x:v>High</x:v>
      </x:c>
      <x:c r="I39" s="40" t="str">
        <x:v>Yes</x:v>
      </x:c>
      <x:c r="J39" s="40" t="str">
        <x:v>No</x:v>
      </x:c>
      <x:c r="K39"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L39" s="30" t="str">
        <x:v>Because of the Congressional budgeting process, the stream of funding for the New Orleans hurricane protection system was irregular, at best. If a project was not sufficiently funded, the USACE was often required to delay implementation or to scale back the project.</x:v>
      </x:c>
      <x:c r="M39" s="30" t="str">
        <x:v>This identifies the funding mechanism and oversigh as an issue and calls for a fundamental rethink.</x:v>
      </x:c>
      <x:c r="N39" s="30" t="str">
        <x:v>The paragraph documents irregular funding and resulting delay or project reduction, but it remains diagnostic and does not propose a fundamental replacement.</x:v>
      </x:c>
      <x:c r="O39" s="30" t="str">
        <x:v>ERP-A253</x:v>
      </x:c>
      <x:c r="P39" s="30" t="str">
        <x:v>80:8:0;80:9:0;80:10:0;80:11:0</x:v>
      </x:c>
      <x:c r="Q39" s="40" t="str">
        <x:v>Yes</x:v>
      </x:c>
      <x:c r="R39" s="30" t="str">
        <x:v>Paragraph-level No was derived from a human-labeled multi-paragraph parent span; confirm during team adjudication.</x:v>
      </x:c>
    </x:row>
    <x:row r="40" ht="60" customHeight="1">
      <x:c r="A40" s="30" t="str">
        <x:v>ERP-022</x:v>
      </x:c>
      <x:c r="B40" s="30" t="str">
        <x:v>ERP-027</x:v>
      </x:c>
      <x:c r="C40" s="30" t="str">
        <x:v>ERP Report</x:v>
      </x:c>
      <x:c r="D40" s="30" t="str">
        <x:v>erpreport.pdf</x:v>
      </x:c>
      <x:c r="E40" s="30" t="str">
        <x:v>p 80</x:v>
      </x:c>
      <x:c r="F40" s="30" t="str">
        <x:v>Split the six-paragraph funding parent span into paragraph 3 of 6</x:v>
      </x:c>
      <x:c r="G40" s="30" t="str">
        <x:v>Parent span split to source paragraph</x:v>
      </x:c>
      <x:c r="H40" s="40" t="str">
        <x:v>High</x:v>
      </x:c>
      <x:c r="I40" s="40" t="str">
        <x:v>Yes</x:v>
      </x:c>
      <x:c r="J40" s="40" t="str">
        <x:v>Yes</x:v>
      </x:c>
      <x:c r="K40"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L40" s="30" t="str">
        <x:v>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x:v>
      </x:c>
      <x:c r="M40" s="30" t="str">
        <x:v>This identifies the funding mechanism and oversigh as an issue and calls for a fundamental rethink.</x:v>
      </x:c>
      <x:c r="N40" s="30" t="str">
        <x:v>The paragraph explicitly identifies the push-pull funding mechanism for critical life-safety infrastructure as essentially flawed and calls, at least implicitly, for fundamental reconsideration of that allocation structure.</x:v>
      </x:c>
      <x:c r="O40" s="30" t="str">
        <x:v>ERP-A254</x:v>
      </x:c>
      <x:c r="P40" s="30" t="str">
        <x:v>80:12:0;80:13:0;80:14:0;80:15:0;80:16:0;80:17:0</x:v>
      </x:c>
      <x:c r="Q40" s="40" t="str">
        <x:v>Yes</x:v>
      </x:c>
      <x:c r="R40" s="30" t="str">
        <x:v>The Yes decision relies on the phrase 'essentially flawed' as an implicit call for fundamental rethinking; confirm during team adjudication.</x:v>
      </x:c>
    </x:row>
    <x:row r="41" ht="60" customHeight="1">
      <x:c r="A41" s="30" t="str">
        <x:v>ERP-022</x:v>
      </x:c>
      <x:c r="B41" s="30" t="str">
        <x:v>ERP-028</x:v>
      </x:c>
      <x:c r="C41" s="30" t="str">
        <x:v>ERP Report</x:v>
      </x:c>
      <x:c r="D41" s="30" t="str">
        <x:v>erpreport.pdf</x:v>
      </x:c>
      <x:c r="E41" s="30" t="str">
        <x:v>p 80</x:v>
      </x:c>
      <x:c r="F41" s="30" t="str">
        <x:v>Split the six-paragraph funding parent span into paragraph 4 of 6</x:v>
      </x:c>
      <x:c r="G41" s="30" t="str">
        <x:v>Parent span split to source paragraph</x:v>
      </x:c>
      <x:c r="H41" s="40" t="str">
        <x:v>High</x:v>
      </x:c>
      <x:c r="I41" s="40" t="str">
        <x:v>Yes</x:v>
      </x:c>
      <x:c r="J41" s="40" t="str">
        <x:v>No</x:v>
      </x:c>
      <x:c r="K41"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L41" s="30" t="str">
        <x:v>The project-by-project approach — in which projects are built over time based on the availability of funding — 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x:v>
      </x:c>
      <x:c r="M41" s="30" t="str">
        <x:v>This identifies the funding mechanism and oversigh as an issue and calls for a fundamental rethink.</x:v>
      </x:c>
      <x:c r="N41" s="30" t="str">
        <x:v>The paragraph diagnoses the project-by-project approach and reductionist thinking, but it does not itself state a replacement funding or management mechanism.</x:v>
      </x:c>
      <x:c r="O41" s="30" t="str">
        <x:v>ERP-A255</x:v>
      </x:c>
      <x:c r="P41" s="30" t="str">
        <x:v>80:18:0;80:19:0;80:20:0;80:21:0;80:22:0;80:23:0;80:24:0;80:25:0;80:26:0</x:v>
      </x:c>
      <x:c r="Q41" s="40" t="str">
        <x:v>Yes</x:v>
      </x:c>
      <x:c r="R41" s="30" t="str">
        <x:v>Paragraph-level No was derived from a human-labeled multi-paragraph parent span; confirm during team adjudication.</x:v>
      </x:c>
    </x:row>
    <x:row r="42" ht="60" customHeight="1">
      <x:c r="A42" s="30" t="str">
        <x:v>ERP-022</x:v>
      </x:c>
      <x:c r="B42" s="30" t="str">
        <x:v>ERP-029</x:v>
      </x:c>
      <x:c r="C42" s="30" t="str">
        <x:v>ERP Report</x:v>
      </x:c>
      <x:c r="D42" s="30" t="str">
        <x:v>erpreport.pdf</x:v>
      </x:c>
      <x:c r="E42" s="30" t="str">
        <x:v>p 80</x:v>
      </x:c>
      <x:c r="F42" s="30" t="str">
        <x:v>Split the six-paragraph funding parent span into paragraph 5 of 6</x:v>
      </x:c>
      <x:c r="G42" s="30" t="str">
        <x:v>Parent span split to source paragraph</x:v>
      </x:c>
      <x:c r="H42" s="40" t="str">
        <x:v>High</x:v>
      </x:c>
      <x:c r="I42" s="40" t="str">
        <x:v>Yes</x:v>
      </x:c>
      <x:c r="J42" s="40" t="str">
        <x:v>No</x:v>
      </x:c>
      <x:c r="K42"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L42" s="30" t="str">
        <x:v>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x:v>
      </x:c>
      <x:c r="M42" s="30" t="str">
        <x:v>This identifies the funding mechanism and oversigh as an issue and calls for a fundamental rethink.</x:v>
      </x:c>
      <x:c r="N42" s="30" t="str">
        <x:v>The paragraph describes a decision not to armor levees and a possible authority constraint, but it does not itself call for changing the governing practice.</x:v>
      </x:c>
      <x:c r="O42" s="30" t="str">
        <x:v>ERP-A256</x:v>
      </x:c>
      <x:c r="P42" s="30" t="str">
        <x:v>80:27:0;80:28:0;80:29:0;80:30:0;80:31:0;80:32:0;80:33:0</x:v>
      </x:c>
      <x:c r="Q42" s="40" t="str">
        <x:v>Yes</x:v>
      </x:c>
      <x:c r="R42" s="30" t="str">
        <x:v>Paragraph-level No was derived from a human-labeled multi-paragraph parent span; confirm during team adjudication.</x:v>
      </x:c>
    </x:row>
    <x:row r="43" ht="60" customHeight="1">
      <x:c r="A43" s="30" t="str">
        <x:v>ERP-022</x:v>
      </x:c>
      <x:c r="B43" s="30" t="str">
        <x:v>ERP-030</x:v>
      </x:c>
      <x:c r="C43" s="30" t="str">
        <x:v>ERP Report</x:v>
      </x:c>
      <x:c r="D43" s="30" t="str">
        <x:v>erpreport.pdf</x:v>
      </x:c>
      <x:c r="E43" s="30" t="str">
        <x:v>p 80</x:v>
      </x:c>
      <x:c r="F43" s="30" t="str">
        <x:v>Split the six-paragraph funding parent span into paragraph 6 of 6</x:v>
      </x:c>
      <x:c r="G43" s="30" t="str">
        <x:v>Parent span split to source paragraph</x:v>
      </x:c>
      <x:c r="H43" s="40" t="str">
        <x:v>High</x:v>
      </x:c>
      <x:c r="I43" s="40" t="str">
        <x:v>Yes</x:v>
      </x:c>
      <x:c r="J43" s="40" t="str">
        <x:v>No</x:v>
      </x:c>
      <x:c r="K43" s="30" t="str">
        <x:v>As a federal agency, the USACE and its projects are funded by the federal government, with a share of the costs borne by the local sponsor. Every year, the USACE requests funding. Through the federal budget-setting process, the Executive Branch (via the Office of Management and Budget) and the United States Congress authorize a project and allocate funding, but not necessarily at the same dollar amounts as requested or required.
Because of the Congressional budgeting process, the stream of funding for the New Orleans hurricane protection system was irregular, at best. If a project was not sufficiently funded, the USACE was often required to delay implementation or to scale back the project.
This “push-pull” mechanism for the funding of critical life-safety structures such as the New Orleans hurricane protection system is essentially flawed. The process creates a “disconnect” between those responsible for design and construction decisions and those responsible for managing the purse-strings. The pressure for tradeoffs and low-cost solutions likely compromised quality, safety, and reliability.
The project-by-project approach—in which projects are built over time based on the availability of funding—resulted in the hurricane protection system being constructed piecemeal, with an overall lack of attention to “system” issues. In effect, it appears that the project-by-project approach was associated with Congressional limitations. The USACE was forced into a “reductionist’s” way of thinking: reduce the problem into one that can be solved within the given authority and budget. Focusing only on the primary problem to be solved inevitably makes the issues of risk, redundancy, and resilience a lower priority.
Decisions were made, for example, not to armor the land-side of the floodwalls and levees in the high-risk areas; this armoring, if installed, could conceivably have limited the flood damage from an infrequent storm event such as Hurricane Katrina. It has been stated by some that the USACE may have considered this option to be outside of their Congressional authority, because to armor the levees would apparently concede that the USACE was designing for storm surges above the “authorized level.” 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L43" s="30" t="str">
        <x:v>The design and construction of critical life-safety systems is beyond the expertise of the Executive Branch or United States Congress. However, the Congress exercised tight control over spending and even over design criteria. The USACE accepted these controls without fully addressing the associated issues, risks, and tradeoffs. For whatever reason, the USACE and its local sponsors did not argue vigorously enough for adequate funding to provide a high level of assurance for the public safety of New Orleanians.</x:v>
      </x:c>
      <x:c r="M43" s="30" t="str">
        <x:v>This identifies the funding mechanism and oversigh as an issue and calls for a fundamental rethink.</x:v>
      </x:c>
      <x:c r="N43" s="30" t="str">
        <x:v>The paragraph criticizes congressional control and USACE’s acceptance of it, but its call for more vigorous advocacy and adequate funding is not a clear replacement of the funding structure.</x:v>
      </x:c>
      <x:c r="O43" s="30" t="str">
        <x:v>ERP-A257</x:v>
      </x:c>
      <x:c r="P43" s="30" t="str">
        <x:v>80:34:0;80:35:0;80:36:0;80:37:0;80:38:0;80:39:0;80:40:0</x:v>
      </x:c>
      <x:c r="Q43" s="40" t="str">
        <x:v>Yes</x:v>
      </x:c>
      <x:c r="R43" s="30" t="str">
        <x:v>Paragraph-level No was derived from a human-labeled multi-paragraph parent span; confirm during team adjudication.</x:v>
      </x:c>
    </x:row>
    <x:row r="44" ht="60" customHeight="1">
      <x:c r="A44" s="30" t="str">
        <x:v>ERP-023</x:v>
      </x:c>
      <x:c r="B44" s="30" t="str">
        <x:v>ERP-031</x:v>
      </x:c>
      <x:c r="C44" s="30" t="str">
        <x:v>ERP Report</x:v>
      </x:c>
      <x:c r="D44" s="30" t="str">
        <x:v>erpreport.pdf</x:v>
      </x:c>
      <x:c r="E44" s="30" t="str">
        <x:v>p 82</x:v>
      </x:c>
      <x:c r="F44" s="30" t="str">
        <x:v>Aligned to full PyMuPDF paragraph/list item</x:v>
      </x:c>
      <x:c r="G44" s="30" t="str">
        <x:v>Exact full paragraph/list item</x:v>
      </x:c>
      <x:c r="H44" s="40" t="str">
        <x:v>High</x:v>
      </x:c>
      <x:c r="I44" s="40" t="str">
        <x:v>Yes</x:v>
      </x:c>
      <x:c r="J44" s="40" t="str">
        <x:v>Yes</x:v>
      </x:c>
      <x:c r="K44" s="30" t="str">
        <x:v>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components—in New Orleans and throughout the country—receive the level of attention needed for critical lifesafety systems</x:v>
      </x:c>
      <x:c r="L44" s="30" t="str">
        <x:v>Consistent inspection, maintenance, and repair of the hurricane protection system are essential. We cannot afford to permit our hurricane and flood protection systems to deteriorate. The United States Congress should establish and fund a program for nationwide levee safety and rehabilitation, much as we do for major dams. The levee safety program will help ensure that levee structures and components — in New Orleans and throughout the country — receive the level of attention needed for critical life-safety systems.</x:v>
      </x:c>
      <x:c r="M44" s="30" t="str">
        <x:v>This is unlearning. They identify a lack of consistency as a problem and identify establishing a fund for leveee safety as a new way of solving this problem.</x:v>
      </x:c>
      <x:c r="N44" s="30" t="str">
        <x:v>This is unlearning. They identify a lack of consistency as a problem and identify establishing a fund for leveee safety as a new way of solving this problem.</x:v>
      </x:c>
      <x:c r="O44" s="30" t="str">
        <x:v>ERP-A267</x:v>
      </x:c>
      <x:c r="P44" s="30" t="str">
        <x:v>82:21:0;82:22:0;82:23:0;82:24:0;82:25:0;82:26:0;82:27:0;82:28:0</x:v>
      </x:c>
      <x:c r="Q44" s="40" t="str">
        <x:v>No</x:v>
      </x:c>
      <x:c r="R44" s="30"/>
    </x:row>
    <x:row r="45" ht="60" customHeight="1">
      <x:c r="A45" s="30" t="str">
        <x:v>ERP-024</x:v>
      </x:c>
      <x:c r="B45" s="30" t="str">
        <x:v>ERP-032</x:v>
      </x:c>
      <x:c r="C45" s="30" t="str">
        <x:v>ERP Report</x:v>
      </x:c>
      <x:c r="D45" s="30" t="str">
        <x:v>erpreport.pdf</x:v>
      </x:c>
      <x:c r="E45" s="30" t="str">
        <x:v>p 84</x:v>
      </x:c>
      <x:c r="F45" s="30" t="str">
        <x:v>Aligned to full PyMuPDF paragraph/list item</x:v>
      </x:c>
      <x:c r="G45" s="30" t="str">
        <x:v>Exact full paragraph/list item</x:v>
      </x:c>
      <x:c r="H45" s="40" t="str">
        <x:v>High</x:v>
      </x:c>
      <x:c r="I45" s="40" t="str">
        <x:v>Yes</x:v>
      </x:c>
      <x:c r="J45" s="40" t="str">
        <x:v>Yes</x:v>
      </x:c>
      <x:c r="K45" s="30" t="str">
        <x:v>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x:v>
      </x:c>
      <x:c r="L45" s="30" t="str">
        <x:v>Not only did the hurricane protection system have many weak links— in the form of penetrations, low points, and gaps—but it lacked “redundancy.” If one component failed, there was no back-up component or strategy to take its place to reduce the damage. Internal levees were not used as much as they could have been to isolate various sub-sections of the city and prevent floodwaters from spreading. The pump stations, which might have removed water from the city more quickly, were not designed to function in a major hurricane or mitigate flooding if the levees were overtopped or breached. The “system” was not a system.</x:v>
      </x:c>
      <x:c r="M45" s="30" t="str">
        <x:v>They identify a clear set of engineering and design problems. And calls for a more systmeic approach.</x:v>
      </x:c>
      <x:c r="N45" s="30" t="str">
        <x:v>They identify a clear set of engineering and design problems. And calls for a more systmeic approach.</x:v>
      </x:c>
      <x:c r="O45" s="30" t="str">
        <x:v>ERP-A279</x:v>
      </x:c>
      <x:c r="P45" s="30" t="str">
        <x:v>84:23:0;84:24:0;84:25:0;84:26:0;84:27:0;84:28:0;84:29:0;84:30:0;84:31:0</x:v>
      </x:c>
      <x:c r="Q45" s="40" t="str">
        <x:v>No</x:v>
      </x:c>
      <x:c r="R45" s="30"/>
    </x:row>
    <x:row r="46" ht="60" customHeight="1">
      <x:c r="A46" s="30" t="str">
        <x:v>ERP-025</x:v>
      </x:c>
      <x:c r="B46" s="30" t="str">
        <x:v>ERP-033</x:v>
      </x:c>
      <x:c r="C46" s="30" t="str">
        <x:v>ERP Report</x:v>
      </x:c>
      <x:c r="D46" s="30" t="str">
        <x:v>erpreport.pdf</x:v>
      </x:c>
      <x:c r="E46" s="30" t="str">
        <x:v>p 85</x:v>
      </x:c>
      <x:c r="F46" s="30" t="str">
        <x:v>Aligned to full PyMuPDF paragraph/list item</x:v>
      </x:c>
      <x:c r="G46" s="30" t="str">
        <x:v>Exact full paragraph/list item</x:v>
      </x:c>
      <x:c r="H46" s="40" t="str">
        <x:v>High</x:v>
      </x:c>
      <x:c r="I46" s="40" t="str">
        <x:v>Yes</x:v>
      </x:c>
      <x:c r="J46" s="40" t="str">
        <x:v>Yes</x:v>
      </x:c>
      <x:c r="K46" s="30" t="str">
        <x:v>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x:v>
      </x:c>
      <x:c r="L46" s="30" t="str">
        <x:v>The future system will incorporate existing infrastructure (such as levees and pump stations) but must include other appropriate tools and strategies as well. Prudent land-use decisions (for example, limiting development in the most flood-prone areas, or establishing minimum first-floor elevations) can put fewer people and less property at risk. More rigorous building requirements can reduce the impact of flooding on structures. A more effective hurricane warning, response, and evacuation protocol can be instituted and practiced in regular training exercises. Pre-planning can expedite recovery and reconstruction after a major hurricane.</x:v>
      </x:c>
      <x:c r="M46" s="30" t="str">
        <x:v>This calls for fundamental reforms that take into account land use decisions adn various other reforms that discard old thinking and practices.</x:v>
      </x:c>
      <x:c r="N46" s="30" t="str">
        <x:v>This calls for fundamental reforms that take into account land use decisions adn various other reforms that discard old thinking and practices.</x:v>
      </x:c>
      <x:c r="O46" s="30" t="str">
        <x:v>ERP-A283</x:v>
      </x:c>
      <x:c r="P46" s="30" t="str">
        <x:v>85:15:0;85:16:0;85:17:0;85:18:0;85:19:0;85:20:0;85:21:0;85:22:0;85:23:0</x:v>
      </x:c>
      <x:c r="Q46" s="40" t="str">
        <x:v>No</x:v>
      </x:c>
      <x:c r="R46" s="30"/>
    </x:row>
    <x:row r="47" ht="60" customHeight="1">
      <x:c r="A47" s="30" t="str">
        <x:v>ERP-026</x:v>
      </x:c>
      <x:c r="B47" s="30" t="str">
        <x:v>ERP-034</x:v>
      </x:c>
      <x:c r="C47" s="30" t="str">
        <x:v>ERP Report</x:v>
      </x:c>
      <x:c r="D47" s="30" t="str">
        <x:v>erpreport.pdf</x:v>
      </x:c>
      <x:c r="E47" s="30" t="str">
        <x:v>p 86</x:v>
      </x:c>
      <x:c r="F47" s="30" t="str">
        <x:v>Aligned to full PyMuPDF paragraph/list item</x:v>
      </x:c>
      <x:c r="G47" s="30" t="str">
        <x:v>Exact full paragraph/list item</x:v>
      </x:c>
      <x:c r="H47" s="40" t="str">
        <x:v>High</x:v>
      </x:c>
      <x:c r="I47" s="40" t="str">
        <x:v>No</x:v>
      </x:c>
      <x:c r="J47" s="40" t="str">
        <x:v>No</x:v>
      </x:c>
      <x:c r="K47" s="30" t="str">
        <x:v>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x:v>
      </x:c>
      <x:c r="L47" s="30" t="str">
        <x:v>• Upgrade the pumping stations. Not only was the pumping system not fully integrated into the hurricane protection system, but many of the pump stations were not strong enough to withstand the forces of a hurricane. The pump stations need to be made survivable from flooding caused by hurricanes and unanticipated levee breaches. If this is not done, New Orleans will remain unnecessarily vulnerable.</x:v>
      </x:c>
      <x:c r="M47" s="30" t="str">
        <x:v>Not unlearning. It calls for upgrade and reinforcement, not a fundamental rethink of the system.</x:v>
      </x:c>
      <x:c r="N47" s="30" t="str">
        <x:v>Not unlearning. It calls for upgrade and reinforcement, not a fundamental rethink of the system.</x:v>
      </x:c>
      <x:c r="O47" s="30" t="str">
        <x:v>ERP-A290</x:v>
      </x:c>
      <x:c r="P47" s="30" t="str">
        <x:v>86:30:0;86:31:0;86:32:0;86:33:0;86:34:0;86:35:0;86:36:0</x:v>
      </x:c>
      <x:c r="Q47" s="40" t="str">
        <x:v>No</x:v>
      </x:c>
      <x:c r="R47" s="30"/>
    </x:row>
    <x:row r="48" ht="60" customHeight="1">
      <x:c r="A48" s="30" t="str">
        <x:v>ERP-027</x:v>
      </x:c>
      <x:c r="B48" s="30" t="str">
        <x:v>ERP-035</x:v>
      </x:c>
      <x:c r="C48" s="30" t="str">
        <x:v>ERP Report</x:v>
      </x:c>
      <x:c r="D48" s="30" t="str">
        <x:v>erpreport.pdf</x:v>
      </x:c>
      <x:c r="E48" s="30" t="str">
        <x:v>p 87</x:v>
      </x:c>
      <x:c r="F48" s="30" t="str">
        <x:v>Split the two-paragraph management parent span; retained the diagnosis as No</x:v>
      </x:c>
      <x:c r="G48" s="30" t="str">
        <x:v>Parent span split to source paragraph</x:v>
      </x:c>
      <x:c r="H48" s="40" t="str">
        <x:v>High</x:v>
      </x:c>
      <x:c r="I48" s="40" t="str">
        <x:v>Yes</x:v>
      </x:c>
      <x:c r="J48" s="40" t="str">
        <x:v>No</x:v>
      </x:c>
      <x:c r="K48" s="30" t="str">
        <x:v>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x:v>
      </x:c>
      <x:c r="L48" s="30" t="str">
        <x:v>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x:v>
      </x:c>
      <x:c r="M48" s="30" t="str">
        <x:v>It identifies a problem and calls for change in governing structure where one agency or person takes charge over spread out responsbility.</x:v>
      </x:c>
      <x:c r="N48" s="30" t="str">
        <x:v>The paragraph diagnoses fragmented and dysfunctional management but does not itself specify the replacement governance arrangement.</x:v>
      </x:c>
      <x:c r="O48" s="30" t="str">
        <x:v>ERP-A291</x:v>
      </x:c>
      <x:c r="P48" s="30" t="str">
        <x:v>87:2:0;87:3:0;87:4:0;87:5:0;87:6:0</x:v>
      </x:c>
      <x:c r="Q48" s="40" t="str">
        <x:v>Yes</x:v>
      </x:c>
      <x:c r="R48" s="30" t="str">
        <x:v>Paragraph-level No was derived from the human-labeled parent span; confirm during team adjudication.</x:v>
      </x:c>
    </x:row>
    <x:row r="49" ht="60" customHeight="1">
      <x:c r="A49" s="30" t="str">
        <x:v>ERP-027</x:v>
      </x:c>
      <x:c r="B49" s="30" t="str">
        <x:v>ERP-036</x:v>
      </x:c>
      <x:c r="C49" s="30" t="str">
        <x:v>ERP Report</x:v>
      </x:c>
      <x:c r="D49" s="30" t="str">
        <x:v>erpreport.pdf</x:v>
      </x:c>
      <x:c r="E49" s="30" t="str">
        <x:v>p 87</x:v>
      </x:c>
      <x:c r="F49" s="30" t="str">
        <x:v>Split the two-paragraph management parent span; retained the replacement-oriented paragraph as Yes</x:v>
      </x:c>
      <x:c r="G49" s="30" t="str">
        <x:v>Parent span split to source paragraph</x:v>
      </x:c>
      <x:c r="H49" s="40" t="str">
        <x:v>High</x:v>
      </x:c>
      <x:c r="I49" s="40" t="str">
        <x:v>Yes</x:v>
      </x:c>
      <x:c r="J49" s="40" t="str">
        <x:v>Yes</x:v>
      </x:c>
      <x:c r="K49" s="30" t="str">
        <x:v>The management of New Orleans’s hurricane protection system was dysfunctional because there were too many organizations involved in managing individual pieces of the system. No one entity or person was in charge. Many agencies had partially overlapping roles, yet there was no effective coordination between agencies.
The members of the ASCE Hurricane Katrina External Review Panel believe that correcting the management deficiencies of the hurricane protection system is just as important as correcting the physical deficiencies.
With effective management comes a more unified approach to hurricane protection—which is greatly needed in New Orleans.</x:v>
      </x:c>
      <x:c r="L49" s="30" t="str">
        <x:v>The members of the ASCE Hurricane Katrina External Review Panel believe that correcting the management deficiencies of the hurricane protection system is just as important as correcting the physical deficiencies. Witheffective management comes a more unified approach to hurricane protection — which is greatly needed in New Orleans.</x:v>
      </x:c>
      <x:c r="M49" s="30" t="str">
        <x:v>It identifies a problem and calls for change in governing structure where one agency or person takes charge over spread out responsbility.</x:v>
      </x:c>
      <x:c r="N49" s="30" t="str">
        <x:v>The paragraph calls for correcting management deficiencies through a more unified approach to hurricane protection, providing the departure from fragmented management.</x:v>
      </x:c>
      <x:c r="O49" s="30" t="str">
        <x:v>ERP-A292</x:v>
      </x:c>
      <x:c r="P49" s="30" t="str">
        <x:v>87:7:0;87:8:0;87:9:0;87:10:0;87:11:0</x:v>
      </x:c>
      <x:c r="Q49" s="40" t="str">
        <x:v>Yes</x:v>
      </x:c>
      <x:c r="R49" s="30" t="str">
        <x:v>The alternative is stated generally as a unified approach; confirm the paragraph-level Yes during team adjudication.</x:v>
      </x:c>
    </x:row>
    <x:row r="50" ht="60" customHeight="1">
      <x:c r="A50" s="30" t="str">
        <x:v>ERP-028</x:v>
      </x:c>
      <x:c r="B50" s="30" t="str">
        <x:v>ERP-037</x:v>
      </x:c>
      <x:c r="C50" s="30" t="str">
        <x:v>ERP Report</x:v>
      </x:c>
      <x:c r="D50" s="30" t="str">
        <x:v>erpreport.pdf</x:v>
      </x:c>
      <x:c r="E50" s="30" t="str">
        <x:v>p 89</x:v>
      </x:c>
      <x:c r="F50" s="30" t="str">
        <x:v>Split the three-paragraph external-review parent span; policy background coded No</x:v>
      </x:c>
      <x:c r="G50" s="30" t="str">
        <x:v>Parent span split to source paragraph</x:v>
      </x:c>
      <x:c r="H50" s="40" t="str">
        <x:v>High</x:v>
      </x:c>
      <x:c r="I50" s="40" t="str">
        <x:v>Yes</x:v>
      </x:c>
      <x:c r="J50" s="40" t="str">
        <x:v>No</x:v>
      </x:c>
      <x:c r="K50" s="30" t="str">
        <x:v>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x:v>
      </x:c>
      <x:c r="L50" s="30" t="str">
        <x:v>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x:v>
      </x:c>
      <x:c r="M50" s="30" t="str">
        <x:v>This identifies a clear problem in not engaging independent experts and asks for independent high-level engineering review.</x:v>
      </x:c>
      <x:c r="N50" s="30" t="str">
        <x:v>The paragraph states ASCE’s existing peer-review policy but does not identify a prior practice in this case as inadequate or call for a new departure.</x:v>
      </x:c>
      <x:c r="O50" s="30" t="str">
        <x:v>ERP-A302</x:v>
      </x:c>
      <x:c r="P50" s="30" t="str">
        <x:v>89:16:0;89:17:0;89:18:0;89:19:0;89:20:0;89:21:0</x:v>
      </x:c>
      <x:c r="Q50" s="40" t="str">
        <x:v>Yes</x:v>
      </x:c>
      <x:c r="R50" s="30" t="str">
        <x:v>Paragraph-level No was derived from the human-labeled parent span; confirm during team adjudication.</x:v>
      </x:c>
    </x:row>
    <x:row r="51" ht="60" customHeight="1">
      <x:c r="A51" s="30" t="str">
        <x:v>ERP-028</x:v>
      </x:c>
      <x:c r="B51" s="30" t="str">
        <x:v>ERP-038</x:v>
      </x:c>
      <x:c r="C51" s="30" t="str">
        <x:v>ERP Report</x:v>
      </x:c>
      <x:c r="D51" s="30" t="str">
        <x:v>erpreport.pdf</x:v>
      </x:c>
      <x:c r="E51" s="30" t="str">
        <x:v>p 89</x:v>
      </x:c>
      <x:c r="F51" s="30" t="str">
        <x:v>Split the three-paragraph external-review parent span; counterfactual paragraph coded No</x:v>
      </x:c>
      <x:c r="G51" s="30" t="str">
        <x:v>Parent span split to source paragraph</x:v>
      </x:c>
      <x:c r="H51" s="40" t="str">
        <x:v>High</x:v>
      </x:c>
      <x:c r="I51" s="40" t="str">
        <x:v>Yes</x:v>
      </x:c>
      <x:c r="J51" s="40" t="str">
        <x:v>No</x:v>
      </x:c>
      <x:c r="K51" s="30" t="str">
        <x:v>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x:v>
      </x:c>
      <x:c r="L51" s="30" t="str">
        <x:v>The ASCE Hurricane Katrina External Review Panel believes that many of the major deficiencies in New Orleans’s hurricane protection system could have been avoided if the engineering plans and designs had undergone high-level, independent engineering review by external experts.</x:v>
      </x:c>
      <x:c r="M51" s="30" t="str">
        <x:v>This identifies a clear problem in not engaging independent experts and asks for independent high-level engineering review.</x:v>
      </x:c>
      <x:c r="N51" s="30" t="str">
        <x:v>The paragraph states that external review could have prevented deficiencies, but it remains a retrospective counterfactual rather than a direct call to replace a practice.</x:v>
      </x:c>
      <x:c r="O51" s="30" t="str">
        <x:v>ERP-A303</x:v>
      </x:c>
      <x:c r="P51" s="30" t="str">
        <x:v>89:22:0;89:23:0;89:24:0;89:25:0</x:v>
      </x:c>
      <x:c r="Q51" s="40" t="str">
        <x:v>Yes</x:v>
      </x:c>
      <x:c r="R51" s="30" t="str">
        <x:v>Strong boundary case: the counterfactual implies a different practice but does not directly recommend it; confirm during team adjudication.</x:v>
      </x:c>
    </x:row>
    <x:row r="52" ht="60" customHeight="1">
      <x:c r="A52" s="30" t="str">
        <x:v>ERP-028</x:v>
      </x:c>
      <x:c r="B52" s="30" t="str">
        <x:v>ERP-039</x:v>
      </x:c>
      <x:c r="C52" s="30" t="str">
        <x:v>ERP Report</x:v>
      </x:c>
      <x:c r="D52" s="30" t="str">
        <x:v>erpreport.pdf</x:v>
      </x:c>
      <x:c r="E52" s="30" t="str">
        <x:v>p 89</x:v>
      </x:c>
      <x:c r="F52" s="30" t="str">
        <x:v>Split the three-paragraph external-review parent span; direct recommendation coded Yes</x:v>
      </x:c>
      <x:c r="G52" s="30" t="str">
        <x:v>Parent span split to source paragraph</x:v>
      </x:c>
      <x:c r="H52" s="40" t="str">
        <x:v>High</x:v>
      </x:c>
      <x:c r="I52" s="40" t="str">
        <x:v>Yes</x:v>
      </x:c>
      <x:c r="J52" s="40" t="str">
        <x:v>Yes</x:v>
      </x:c>
      <x:c r="K52" s="30" t="str">
        <x:v>ASCE has a long-standing policy that recommends independent external peer review for all public works projects where performance is critical to public safety, health, and welfare; where reliability of performance under emergency conditions is critical; that use innovative materials or techniques; that lack redundancy in design; or that have unique construction sequencing or a short/ overlapping design-construction schedule.
The ASCE Hurricane Katrina External Review Panel believes that many of the major deficiencies in New Orleans’s hurricane protection system could have been avoided if the engineering plans and designs had undergone highlevel, independent engineering review by external experts.
Agencies responsible for design of hurricane and flood protection systems and other critical life-safety structures should engage independent experts in high-level review of every project.</x:v>
      </x:c>
      <x:c r="L52" s="30" t="str">
        <x:v>Agencies responsible for design of hurricane and flood protection systems and other critical life-safety structures should engage independent experts in high-level review of every project.</x:v>
      </x:c>
      <x:c r="M52" s="30" t="str">
        <x:v>This identifies a clear problem in not engaging independent experts and asks for independent high-level engineering review.</x:v>
      </x:c>
      <x:c r="N52" s="30" t="str">
        <x:v>The paragraph directly calls on responsible agencies to engage independent experts in high-level review of every project, replacing the absence of systematic external review.</x:v>
      </x:c>
      <x:c r="O52" s="30" t="str">
        <x:v>ERP-A304</x:v>
      </x:c>
      <x:c r="P52" s="30" t="str">
        <x:v>89:26:0;89:27:0;89:28:0</x:v>
      </x:c>
      <x:c r="Q52" s="40" t="str">
        <x:v>Yes</x:v>
      </x:c>
      <x:c r="R52" s="30" t="str">
        <x:v>Paragraph-level Yes was derived from the human-labeled parent span and rationale; confirm during team adjudication.</x:v>
      </x:c>
    </x:row>
    <x:row r="53" ht="60" customHeight="1">
      <x:c r="A53" s="30" t="str">
        <x:v>GAO-001</x:v>
      </x:c>
      <x:c r="B53" s="30" t="str">
        <x:v>GAO-001</x:v>
      </x:c>
      <x:c r="C53" s="30" t="str">
        <x:v>GAO</x:v>
      </x:c>
      <x:c r="D53" s="30" t="str">
        <x:v>gao-06-365r.pdf</x:v>
      </x:c>
      <x:c r="E53" s="30" t="str">
        <x:v>p 5</x:v>
      </x:c>
      <x:c r="F53" s="30" t="str">
        <x:v>Source PDF not supplied; retained existing passage</x:v>
      </x:c>
      <x:c r="G53" s="30" t="str">
        <x:v>Source PDF not supplied</x:v>
      </x:c>
      <x:c r="H53" s="40" t="str">
        <x:v>Unverified</x:v>
      </x:c>
      <x:c r="I53" s="40" t="str">
        <x:v>Yes</x:v>
      </x:c>
      <x:c r="J53" s="40" t="str">
        <x:v>Yes</x:v>
      </x:c>
      <x:c r="K53" s="30" t="str">
        <x:v>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x:v>
      </x:c>
      <x:c r="L53" s="30" t="str">
        <x:v>Second, to best position the nation to prepare for, respond to, and recover from major catastrophes like Hurricane Katrina, there must be strong advance planning, both within and among responder organizations, as well as robust training and exercise programs to test these plans in advance of a real disaster. Although the NRP framework envisions a proactive national response in the event of a catastrophe, the nation does not yet have the types of detailed plans needed to better delineate capabilities that might be required and how such assistance will be provided and coordinated. In addition, we observed that the training and exercises necessary to carry out these plans were not always developed or completed among the first responder community. The leadership to ensure these plans and exercises are in place must come from DHS in conjunction with other federal agencies, state and local authorities, and involved nongovernmental organizations.</x:v>
      </x:c>
      <x:c r="M53" s="30" t="str">
        <x:v>Unlearning. It identifies the lack of plans as a problem and makes a case for detailed plans that delineate capabilities as well as training exercises/</x:v>
      </x:c>
      <x:c r="N53" s="30" t="str">
        <x:v>Unlearning. It identifies the lack of plans as a problem and makes a case for detailed plans that delineate capabilities as well as training exercises/</x:v>
      </x:c>
      <x:c r="O53" s="30"/>
      <x:c r="P53" s="30"/>
      <x:c r="Q53" s="40" t="str">
        <x:v>Yes</x:v>
      </x:c>
      <x:c r="R53" s="30" t="str">
        <x:v>The referenced source file gao-06-365r.pdf was not among the five supplied PDFs, so paragraph boundaries and text could not be verified with PyMuPDF. Source PDF was not supplied.</x:v>
      </x:c>
    </x:row>
    <x:row r="54" ht="60" customHeight="1">
      <x:c r="A54" s="30" t="str">
        <x:v>GAO-002</x:v>
      </x:c>
      <x:c r="B54" s="30" t="str">
        <x:v>GAO-002</x:v>
      </x:c>
      <x:c r="C54" s="30" t="str">
        <x:v>GAO</x:v>
      </x:c>
      <x:c r="D54" s="30" t="str">
        <x:v>gao-06-365r.pdf</x:v>
      </x:c>
      <x:c r="E54" s="30" t="str">
        <x:v>p 6</x:v>
      </x:c>
      <x:c r="F54" s="30" t="str">
        <x:v>Source PDF not supplied; retained existing passage</x:v>
      </x:c>
      <x:c r="G54" s="30" t="str">
        <x:v>Source PDF not supplied</x:v>
      </x:c>
      <x:c r="H54" s="40" t="str">
        <x:v>Unverified</x:v>
      </x:c>
      <x:c r="I54" s="40" t="str">
        <x:v>Yes</x:v>
      </x:c>
      <x:c r="J54" s="40" t="str">
        <x:v>Yes</x:v>
      </x:c>
      <x:c r="K54" s="30" t="str">
        <x:v>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x:v>
      </x:c>
      <x:c r="L54" s="30" t="str">
        <x:v>Response and recovery capabilities needed during a major catastrophic event differ significantly from those required to respond to and recover from a “normal disaster.” Key capabilities such as emergency communications, continuity of essential government services, and logistics and distribution systems underpin citizen safety and security. In addition, as these capabilities are brought to bear, streamlining, simplifying, and expediting decision making must quickly replace “business as usual” approaches to doing business. The following provides examples of capabilities we have identified in our preliminary work. All of these areas require better contingency plans and the resources to carry them out.</x:v>
      </x:c>
      <x:c r="M54" s="30" t="str">
        <x:v>Unlearning, as it makes a case for removing the business-as-usual approach for catastrophic events inlcuding emergency communications, continuity adn logistics and distributions.</x:v>
      </x:c>
      <x:c r="N54" s="30" t="str">
        <x:v>Unlearning, as it makes a case for removing the business-as-usual approach for catastrophic events inlcuding emergency communications, continuity adn logistics and distributions.</x:v>
      </x:c>
      <x:c r="O54" s="30"/>
      <x:c r="P54" s="30"/>
      <x:c r="Q54" s="40" t="str">
        <x:v>Yes</x:v>
      </x:c>
      <x:c r="R54" s="30" t="str">
        <x:v>The referenced source file gao-06-365r.pdf was not among the five supplied PDFs, so paragraph boundaries and text could not be verified with PyMuPDF. Source PDF was not supplied.</x:v>
      </x:c>
    </x:row>
    <x:row r="55" ht="60" customHeight="1">
      <x:c r="A55" s="30" t="str">
        <x:v>GAO-003</x:v>
      </x:c>
      <x:c r="B55" s="30" t="str">
        <x:v>GAO-003</x:v>
      </x:c>
      <x:c r="C55" s="30" t="str">
        <x:v>GAO</x:v>
      </x:c>
      <x:c r="D55" s="30" t="str">
        <x:v>gao-06-365r.pdf</x:v>
      </x:c>
      <x:c r="E55" s="30" t="str">
        <x:v>pp 7-8</x:v>
      </x:c>
      <x:c r="F55" s="30" t="str">
        <x:v>Source PDF not supplied; retained existing passage</x:v>
      </x:c>
      <x:c r="G55" s="30" t="str">
        <x:v>Source PDF not supplied</x:v>
      </x:c>
      <x:c r="H55" s="40" t="str">
        <x:v>Unverified</x:v>
      </x:c>
      <x:c r="I55" s="40" t="str">
        <x:v>Yes</x:v>
      </x:c>
      <x:c r="J55" s="40" t="str">
        <x:v>Yes</x:v>
      </x:c>
      <x:c r="K55" s="30" t="str">
        <x:v>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x:v>
      </x:c>
      <x:c r="L55" s="30" t="str">
        <x:v>The magnitude of the affected population in a major catastrophe also calls for greater capabilities in several areas. For example, evacuation capabilities must include evacuating special needs populations such as those in hospitals and nursing homes, coordinating transportation assets, and ensuring that receiving shelters are not overwhelmed.
Search and rescue and mass care should work together in a seamless transition so that victims are not just rescued, but can be taken to a place of shelter.</x:v>
      </x:c>
      <x:c r="M55" s="30" t="str">
        <x:v>Unlearning as it identifies departure from past practices of disaster response wherein evucation capabilities include special needs population.</x:v>
      </x:c>
      <x:c r="N55" s="30" t="str">
        <x:v>Unlearning as it identifies departure from past practices of disaster response wherein evucation capabilities include special needs population.</x:v>
      </x:c>
      <x:c r="O55" s="30"/>
      <x:c r="P55" s="30"/>
      <x:c r="Q55" s="40" t="str">
        <x:v>Yes</x:v>
      </x:c>
      <x:c r="R55" s="30" t="str">
        <x:v>The referenced source file gao-06-365r.pdf was not among the five supplied PDFs, so paragraph boundaries and text could not be verified with PyMuPDF. Source PDF was not supplied.</x:v>
      </x:c>
    </x:row>
    <x:row r="56" ht="60" customHeight="1">
      <x:c r="A56" s="30" t="str">
        <x:v>EPA-001</x:v>
      </x:c>
      <x:c r="B56" s="30" t="str">
        <x:v>EPA-001</x:v>
      </x:c>
      <x:c r="C56" s="30" t="str">
        <x:v>EPA</x:v>
      </x:c>
      <x:c r="D56" s="30" t="str">
        <x:v>EPA 20060914-2006-p-00033.pdf</x:v>
      </x:c>
      <x:c r="E56" s="30" t="str">
        <x:v>p 3</x:v>
      </x:c>
      <x:c r="F56" s="30" t="str">
        <x:v>Aligned to the full overview bullet on page 3</x:v>
      </x:c>
      <x:c r="G56" s="30" t="str">
        <x:v>Exact full bullet</x:v>
      </x:c>
      <x:c r="H56" s="40" t="str">
        <x:v>High</x:v>
      </x:c>
      <x:c r="I56" s="40" t="str">
        <x:v>No</x:v>
      </x:c>
      <x:c r="J56" s="40" t="str">
        <x:v>No</x:v>
      </x:c>
      <x:c r="K56" s="30" t="str">
        <x:v>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L56" s="30" t="str">
        <x:v>• Coordination within EPA, with State and local officials, and with the U.S. Army Corps of Engineers (USACE) could have been better. In some instances, coordination problems resulted in duplicative work being completed by EPA and Louisiana officials. EPA Region 4 and USACE officials confirmed the need for more interaction between USACE and EPA before the next emergency.</x:v>
      </x:c>
      <x:c r="M56" s="30" t="str">
        <x:v>I woudng classify this as unlearning. I identifies a problem but doesnt call for abandoning anything. It ask for additiv change or improved coordination.</x:v>
      </x:c>
      <x:c r="N56" s="30" t="str">
        <x:v>I woudng classify this as unlearning. I identifies a problem but doesnt call for abandoning anything. It ask for additiv change or improved coordination.</x:v>
      </x:c>
      <x:c r="O56" s="30" t="str">
        <x:v>EPA-A004</x:v>
      </x:c>
      <x:c r="P56" s="30" t="str">
        <x:v>3:13</x:v>
      </x:c>
      <x:c r="Q56" s="40" t="str">
        <x:v>No</x:v>
      </x:c>
      <x:c r="R56" s="30"/>
    </x:row>
    <x:row r="57" ht="60" customHeight="1">
      <x:c r="A57" s="30" t="str">
        <x:v>EPA-002</x:v>
      </x:c>
      <x:c r="B57" s="30" t="str">
        <x:v>EPA-002</x:v>
      </x:c>
      <x:c r="C57" s="30" t="str">
        <x:v>EPA</x:v>
      </x:c>
      <x:c r="D57" s="30" t="str">
        <x:v>EPA</x:v>
      </x:c>
      <x:c r="E57" s="30" t="str">
        <x:v>p 4</x:v>
      </x:c>
      <x:c r="F57" s="30" t="str">
        <x:v>Source PDF not supplied; retained existing passage</x:v>
      </x:c>
      <x:c r="G57" s="30" t="str">
        <x:v>Source PDF not supplied</x:v>
      </x:c>
      <x:c r="H57" s="40" t="str">
        <x:v>Unverified</x:v>
      </x:c>
      <x:c r="I57" s="40" t="str">
        <x:v>No</x:v>
      </x:c>
      <x:c r="J57" s="40" t="str">
        <x:v>No</x:v>
      </x:c>
      <x:c r="K57" s="30" t="str">
        <x:v>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x:v>
      </x:c>
      <x:c r="L57" s="30" t="str">
        <x:v>The number of samples required to lift the boil water notice was conveyed to each affected system when the State contacted them after the event. For Katrina, two consecutive days of 100-percent clean samples had to be obtained before a boil water notice was lifted. In this regard, the criterion used after Katrina was stricter than the TCR, which allows for 5 percent or less of the samples to test positive.</x:v>
      </x:c>
      <x:c r="M57" s="30" t="str">
        <x:v>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x:v>
      </x:c>
      <x:c r="N57" s="30" t="str">
        <x:v>This is a strong boundary case. Katrina applied a stricter sampling criterion than the ordinary TCR threshold, which may suggest reconsideration of whether the prior criterion was sufficient under catastrophic conditions. However, the passage does not explicitly state that the earlier criterion was inadequate or abandoned, so Prerana's latest label is Not Unlearning.</x:v>
      </x:c>
      <x:c r="O57" s="30"/>
      <x:c r="P57" s="30"/>
      <x:c r="Q57" s="40" t="str">
        <x:v>Yes</x:v>
      </x:c>
      <x:c r="R57" s="30" t="str">
        <x:v>This passage appears to come from a different EPA drinking-water report; the corresponding source PDF was not supplied, so it could not be verified with PyMuPDF. Source PDF was not supplied.</x:v>
      </x:c>
    </x:row>
    <x:row r="58" ht="60" customHeight="1">
      <x:c r="A58" s="30" t="str">
        <x:v>EPA-003</x:v>
      </x:c>
      <x:c r="B58" s="30" t="str">
        <x:v>EPA-003</x:v>
      </x:c>
      <x:c r="C58" s="30" t="str">
        <x:v>EPA</x:v>
      </x:c>
      <x:c r="D58" s="30" t="str">
        <x:v>EPA</x:v>
      </x:c>
      <x:c r="E58" s="30" t="str">
        <x:v>p 5</x:v>
      </x:c>
      <x:c r="F58" s="30" t="str">
        <x:v>Source PDF not supplied; retained existing passage</x:v>
      </x:c>
      <x:c r="G58" s="30" t="str">
        <x:v>Source PDF not supplied</x:v>
      </x:c>
      <x:c r="H58" s="40" t="str">
        <x:v>Unverified</x:v>
      </x:c>
      <x:c r="I58" s="40" t="str">
        <x:v>Yes</x:v>
      </x:c>
      <x:c r="J58" s="40" t="str">
        <x:v>Yes</x:v>
      </x:c>
      <x:c r="K58" s="30" t="str">
        <x:v>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x:v>
      </x:c>
      <x:c r="L58" s="30" t="str">
        <x:v>The procedures discussed above were not designed to detect the presence of chemicals or other contaminants in the water that could cause health problems from drinking water over a longer period. However, Mississippi and EPA public water officials told us they were not concerned about potential long-term health risks resulting from chemical or other contamination in Mississippi’s drinking water after Katrina for three reasons.</x:v>
      </x:c>
      <x:c r="M58" s="30" t="str">
        <x:v>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x:v>
      </x:c>
      <x:c r="N58" s="30" t="str">
        <x:v>The passage identifies that existing procedures were not designed to detect contaminants associated with longer-term health risks. Prerana coded this as a possible weak Unlearning signal targeting capabilities. Because her rationale also notes that the passage does not explicitly call for replacing or fundamentally revising the procedure, this positive label is retained but flagged for team adjudication.</x:v>
      </x:c>
      <x:c r="O58" s="30"/>
      <x:c r="P58" s="30"/>
      <x:c r="Q58" s="40" t="str">
        <x:v>Yes</x:v>
      </x:c>
      <x:c r="R58" s="30" t="str">
        <x:v>This passage appears to come from a different EPA drinking-water report; the corresponding source PDF was not supplied, so it could not be verified with PyMuPDF. Source PDF was not supplied.</x:v>
      </x:c>
    </x:row>
    <x:row r="59" ht="60" customHeight="1">
      <x:c r="A59" s="30" t="str">
        <x:v>EPA-004</x:v>
      </x:c>
      <x:c r="B59" s="30" t="str">
        <x:v>EPA-004</x:v>
      </x:c>
      <x:c r="C59" s="30" t="str">
        <x:v>EPA</x:v>
      </x:c>
      <x:c r="D59" s="30" t="str">
        <x:v>EPA 20060914-2006-p-00033.pdf</x:v>
      </x:c>
      <x:c r="E59" s="30" t="str">
        <x:v>p 7</x:v>
      </x:c>
      <x:c r="F59" s="30" t="str">
        <x:v>Expanded the question-like excerpt to the closest complete source paragraph on page 7</x:v>
      </x:c>
      <x:c r="G59" s="30" t="str">
        <x:v>Approximate source match expanded to full paragraph</x:v>
      </x:c>
      <x:c r="H59" s="40" t="str">
        <x:v>Medium</x:v>
      </x:c>
      <x:c r="I59" s="40" t="str">
        <x:v>No</x:v>
      </x:c>
      <x:c r="J59" s="40" t="str">
        <x:v>No</x:v>
      </x:c>
      <x:c r="K59" s="30" t="str">
        <x:v>Did EPA follow its emergency response protocols, including those lessons learned from the World Trade Center and its responsibilities, as delineated in the National Response Plan, to ensure the public had access to safe drinking water?</x:v>
      </x:c>
      <x:c r="L59" s="30" t="str">
        <x:v>This memorandum addresses the fifth and final question of our drinking water evaluation – whether EPA followed its emergency response protocols, including those lessons learned from the World Trade Center collapse and its responsibilities as delineated in the National Response Plan (NRP), in responding to the Katrina disaster. Although this objective was not included in the scope of our other Katrina-related evaluations, this report includes relevant observations from those evaluations regarding our objective. In addition, this report presents lessons learned identified from all three Katrina-related evaluations.</x:v>
      </x:c>
      <x:c r="M59" s="30" t="str">
        <x:v>This passage evaluates whether EPA followed existing emergency-response protocols and previously learned lessons. It does not identify those protocols or their underlying assumptions as inadequate, nor call for their abandonment, replacement, or fundamental revision.</x:v>
      </x:c>
      <x:c r="N59" s="30" t="str">
        <x:v>This passage evaluates whether EPA followed existing emergency-response protocols and previously learned lessons. It does not identify those protocols or their underlying assumptions as inadequate, nor call for their abandonment, replacement, or fundamental revision.</x:v>
      </x:c>
      <x:c r="O59" s="30" t="str">
        <x:v>EPA-A013</x:v>
      </x:c>
      <x:c r="P59" s="30" t="str">
        <x:v>7:5</x:v>
      </x:c>
      <x:c r="Q59" s="40" t="str">
        <x:v>Yes</x:v>
      </x:c>
      <x:c r="R59" s="30" t="str">
        <x:v>The supplied excerpt and the attached page-7 paragraph share the same evaluation question but have different final wording; verify that this is the intended source paragraph. Approximate source match; verify manually.</x:v>
      </x:c>
    </x:row>
    <x:row r="60" ht="60" customHeight="1">
      <x:c r="A60" s="30" t="str">
        <x:v>EPA-005</x:v>
      </x:c>
      <x:c r="B60" s="30" t="str">
        <x:v>EPA-005</x:v>
      </x:c>
      <x:c r="C60" s="30" t="str">
        <x:v>EPA</x:v>
      </x:c>
      <x:c r="D60" s="30" t="str">
        <x:v>EPA 20060914-2006-p-00033.pdf</x:v>
      </x:c>
      <x:c r="E60" s="30" t="str">
        <x:v>p 9</x:v>
      </x:c>
      <x:c r="F60" s="30" t="str">
        <x:v>Removed the section heading and split the four-paragraph parent span into paragraph 1 of 4</x:v>
      </x:c>
      <x:c r="G60" s="30" t="str">
        <x:v>Parent span split to source paragraph</x:v>
      </x:c>
      <x:c r="H60" s="40" t="str">
        <x:v>High</x:v>
      </x:c>
      <x:c r="I60" s="40" t="str">
        <x:v>No</x:v>
      </x:c>
      <x:c r="J60" s="40" t="str">
        <x:v>No</x:v>
      </x:c>
      <x:c r="K60" s="30"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L60" s="30" t="str">
        <x:v>EPA officials told us that, in some instances, coordination could be improved for future disaster responses. Areas where coordination could be improved occurred with respect to both the drinking water and wastewater responses.</x:v>
      </x:c>
      <x:c r="M60" s="30" t="str">
        <x:v>It identifies specific areas that dont work namely driking water response and limited understanding of each others work and asks for better coodination. however, it doesnt mention a specific aspect that needs abandonging or rethink.</x:v>
      </x:c>
      <x:c r="N60" s="30" t="str">
        <x:v>The paragraph says coordination could be improved, but it only identifies a broad problem area and does not call for discarding or replacing a prior practice.</x:v>
      </x:c>
      <x:c r="O60" s="30" t="str">
        <x:v>EPA-A027</x:v>
      </x:c>
      <x:c r="P60" s="30" t="str">
        <x:v>9:11</x:v>
      </x:c>
      <x:c r="Q60" s="40" t="str">
        <x:v>Yes</x:v>
      </x:c>
      <x:c r="R60" s="30" t="str">
        <x:v>Paragraph-level No was derived from a human-labeled multi-paragraph parent span; confirm during team adjudication.</x:v>
      </x:c>
    </x:row>
    <x:row r="61" ht="60" customHeight="1">
      <x:c r="A61" s="30" t="str">
        <x:v>EPA-005</x:v>
      </x:c>
      <x:c r="B61" s="30" t="str">
        <x:v>EPA-006</x:v>
      </x:c>
      <x:c r="C61" s="30" t="str">
        <x:v>EPA</x:v>
      </x:c>
      <x:c r="D61" s="30" t="str">
        <x:v>EPA 20060914-2006-p-00033.pdf</x:v>
      </x:c>
      <x:c r="E61" s="30" t="str">
        <x:v>p 9</x:v>
      </x:c>
      <x:c r="F61" s="30" t="str">
        <x:v>Removed the section heading and split the four-paragraph parent span into paragraph 2 of 4</x:v>
      </x:c>
      <x:c r="G61" s="30" t="str">
        <x:v>Parent span split to source paragraph</x:v>
      </x:c>
      <x:c r="H61" s="40" t="str">
        <x:v>High</x:v>
      </x:c>
      <x:c r="I61" s="40" t="str">
        <x:v>No</x:v>
      </x:c>
      <x:c r="J61" s="40" t="str">
        <x:v>No</x:v>
      </x:c>
      <x:c r="K61" s="30"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L61" s="30" t="str">
        <x:v>EPA regional officials and USACE district officials informed us of coordination problems between the EPA and USACE at the beginning of the response.</x:v>
      </x:c>
      <x:c r="M61" s="30" t="str">
        <x:v>It identifies specific areas that dont work namely driking water response and limited understanding of each others work and asks for better coodination. however, it doesnt mention a specific aspect that needs abandonging or rethink.</x:v>
      </x:c>
      <x:c r="N61" s="30" t="str">
        <x:v>The paragraph reports coordination problems at the beginning of the response but does not state a replacement practice.</x:v>
      </x:c>
      <x:c r="O61" s="30" t="str">
        <x:v>EPA-A028</x:v>
      </x:c>
      <x:c r="P61" s="30" t="str">
        <x:v>9:13</x:v>
      </x:c>
      <x:c r="Q61" s="40" t="str">
        <x:v>Yes</x:v>
      </x:c>
      <x:c r="R61" s="30" t="str">
        <x:v>Paragraph-level No was derived from a human-labeled multi-paragraph parent span; confirm during team adjudication.</x:v>
      </x:c>
    </x:row>
    <x:row r="62" ht="60" customHeight="1">
      <x:c r="A62" s="30" t="str">
        <x:v>EPA-005</x:v>
      </x:c>
      <x:c r="B62" s="30" t="str">
        <x:v>EPA-007</x:v>
      </x:c>
      <x:c r="C62" s="30" t="str">
        <x:v>EPA</x:v>
      </x:c>
      <x:c r="D62" s="30" t="str">
        <x:v>EPA 20060914-2006-p-00033.pdf</x:v>
      </x:c>
      <x:c r="E62" s="30" t="str">
        <x:v>p 10</x:v>
      </x:c>
      <x:c r="F62" s="30" t="str">
        <x:v>Removed the section heading and split the four-paragraph parent span into paragraph 3 of 4</x:v>
      </x:c>
      <x:c r="G62" s="30" t="str">
        <x:v>Parent span split to source paragraph</x:v>
      </x:c>
      <x:c r="H62" s="40" t="str">
        <x:v>High</x:v>
      </x:c>
      <x:c r="I62" s="40" t="str">
        <x:v>No</x:v>
      </x:c>
      <x:c r="J62" s="40" t="str">
        <x:v>No</x:v>
      </x:c>
      <x:c r="K62" s="30"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L62" s="30" t="str">
        <x:v>USACE has lead responsibility for administering the NRP’s Emergency Support Function (ESF)-3. This ESF provides Federal support to address public works and infrastructure damage, including public drinking water systems, in an emergency. EPA has a support role under this ESF.</x:v>
      </x:c>
      <x:c r="M62" s="30" t="str">
        <x:v>It identifies specific areas that dont work namely driking water response and limited understanding of each others work and asks for better coodination. however, it doesnt mention a specific aspect that needs abandonging or rethink.</x:v>
      </x:c>
      <x:c r="N62" s="30" t="str">
        <x:v>The paragraph describes the existing ESF-3 division of responsibilities and contains no rejection or replacement of that arrangement.</x:v>
      </x:c>
      <x:c r="O62" s="30" t="str">
        <x:v>EPA-A029</x:v>
      </x:c>
      <x:c r="P62" s="30" t="str">
        <x:v>10:0</x:v>
      </x:c>
      <x:c r="Q62" s="40" t="str">
        <x:v>Yes</x:v>
      </x:c>
      <x:c r="R62" s="30" t="str">
        <x:v>Paragraph-level No was derived from a human-labeled multi-paragraph parent span; confirm during team adjudication.</x:v>
      </x:c>
    </x:row>
    <x:row r="63" ht="60" customHeight="1">
      <x:c r="A63" s="30" t="str">
        <x:v>EPA-005</x:v>
      </x:c>
      <x:c r="B63" s="30" t="str">
        <x:v>EPA-008</x:v>
      </x:c>
      <x:c r="C63" s="30" t="str">
        <x:v>EPA</x:v>
      </x:c>
      <x:c r="D63" s="30" t="str">
        <x:v>EPA 20060914-2006-p-00033.pdf</x:v>
      </x:c>
      <x:c r="E63" s="30" t="str">
        <x:v>p 10</x:v>
      </x:c>
      <x:c r="F63" s="30" t="str">
        <x:v>Removed the section heading and split the four-paragraph parent span into paragraph 4 of 4</x:v>
      </x:c>
      <x:c r="G63" s="30" t="str">
        <x:v>Parent span split to source paragraph</x:v>
      </x:c>
      <x:c r="H63" s="40" t="str">
        <x:v>High</x:v>
      </x:c>
      <x:c r="I63" s="40" t="str">
        <x:v>No</x:v>
      </x:c>
      <x:c r="J63" s="40" t="str">
        <x:v>No</x:v>
      </x:c>
      <x:c r="K63" s="30" t="str">
        <x:v>EPA officials told us that, in some instances, coordination could be improved for future disaster responses. Areas where coordination could be improved occurred with respect to both the drinking water and wastewater responses.
Drinking Water Response
EPA regional officials and USACE district officials informed us of coordination problems between the EPA and USACE at the beginning of the response.
USACE has lead responsibility for administering the NRP’s Emergency Support Function (ESF)-3. This ESF provides Federal support to address public works and infrastructure damage, including public drinking water systems, in an emergency. EPA has a support role under this ESF.
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L63" s="30" t="str">
        <x:v>EPA Region 6 officials said initial attempts to coordinate their drinking water-related work with the responsible USACE district were unsuccessful in part due to all of the parties’ limited understanding of each other’s roles in providing assistance under ESF-3. Region 4 officials noted the USACE district running the response in Mississippi was not aware of Region 4’s scientific and engineering expertise in problem-solving for drinking water and wastewater facilities damaged by a hurricane. Consequently, EPA Region 4 officials had to aggressively assert themselves into the process.</x:v>
      </x:c>
      <x:c r="M63" s="30" t="str">
        <x:v>It identifies specific areas that dont work namely driking water response and limited understanding of each others work and asks for better coodination. however, it doesnt mention a specific aspect that needs abandonging or rethink.</x:v>
      </x:c>
      <x:c r="N63" s="30" t="str">
        <x:v>The paragraph diagnoses limited mutual understanding and awareness of EPA expertise, but it does not itself call for a fundamental replacement of a policy or practice.</x:v>
      </x:c>
      <x:c r="O63" s="30" t="str">
        <x:v>EPA-A030</x:v>
      </x:c>
      <x:c r="P63" s="30" t="str">
        <x:v>10:1</x:v>
      </x:c>
      <x:c r="Q63" s="40" t="str">
        <x:v>Yes</x:v>
      </x:c>
      <x:c r="R63" s="30" t="str">
        <x:v>Paragraph-level No was derived from a human-labeled multi-paragraph parent span; confirm during team adjudication.</x:v>
      </x:c>
    </x:row>
    <x:row r="64" ht="60" customHeight="1">
      <x:c r="A64" s="30" t="str">
        <x:v>EPA-006</x:v>
      </x:c>
      <x:c r="B64" s="30" t="str">
        <x:v>EPA-009</x:v>
      </x:c>
      <x:c r="C64" s="30" t="str">
        <x:v>EPA</x:v>
      </x:c>
      <x:c r="D64" s="30" t="str">
        <x:v>EPA 20060914-2006-p-00033.pdf</x:v>
      </x:c>
      <x:c r="E64" s="30" t="str">
        <x:v>pp 8-9</x:v>
      </x:c>
      <x:c r="F64" s="30" t="str">
        <x:v>Expanded the cropped ending to the complete source paragraph</x:v>
      </x:c>
      <x:c r="G64" s="30" t="str">
        <x:v>Partial passage expanded to full paragraph</x:v>
      </x:c>
      <x:c r="H64" s="40" t="str">
        <x:v>High</x:v>
      </x:c>
      <x:c r="I64" s="40" t="str">
        <x:v>No</x:v>
      </x:c>
      <x:c r="J64" s="40" t="str">
        <x:v>No</x:v>
      </x:c>
      <x:c r="K64" s="30" t="str">
        <x:v>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L64" s="30" t="str">
        <x:v>Regional officials told us that the primary reasons the response to restoring drinking water supplies worked well were the good working relationships and collaborative planning between the State agencies and EPA regions prior to Hurricane Katrina. As a result of this planning, EPA staff were deployed to the impacted areas during the early stages of the hurricane response. This deployment included staff from other EPA regions who volunteered to assist State drinking water programs. Other factors that contributed to an effective response included the use of common reporting protocols for tracking water system status, the deployment of EPA mobile laboratories and an EPA mobile command center, and the existence of protocols to notify the public about the boil water notices though various media outlets.</x:v>
      </x:c>
      <x:c r="M64" s="30" t="str">
        <x:v>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x:v>
      </x:c>
      <x:c r="N64" s="30" t="str">
        <x:v>Prerana re-evaluated her EPA annotation(s) 1:7, 1:8, 1:9 under the revised codebook and concluded that the passage does not meet the binary Unlearning threshold. The earlier coding did not establish the required combination of explicit problematization and abandonment, replacement, or fundamental rethinking.</x:v>
      </x:c>
      <x:c r="O64" s="30" t="str">
        <x:v>EPA-A020</x:v>
      </x:c>
      <x:c r="P64" s="30" t="str">
        <x:v>8:6;9:0</x:v>
      </x:c>
      <x:c r="Q64" s="40" t="str">
        <x:v>No</x:v>
      </x:c>
      <x:c r="R64" s="30"/>
    </x:row>
    <x:row r="65" ht="60" customHeight="1">
      <x:c r="A65" s="30" t="str">
        <x:v>EPA-007</x:v>
      </x:c>
      <x:c r="B65" s="30" t="str">
        <x:v>EPA-010</x:v>
      </x:c>
      <x:c r="C65" s="30" t="str">
        <x:v>EPA</x:v>
      </x:c>
      <x:c r="D65" s="30" t="str">
        <x:v>EPA 20060914-2006-p-00033.pdf</x:v>
      </x:c>
      <x:c r="E65" s="30" t="str">
        <x:v>p 9</x:v>
      </x:c>
      <x:c r="F65" s="30" t="str">
        <x:v>Aligned to the complete source bullet</x:v>
      </x:c>
      <x:c r="G65" s="30" t="str">
        <x:v>Exact full bullet</x:v>
      </x:c>
      <x:c r="H65" s="40" t="str">
        <x:v>High</x:v>
      </x:c>
      <x:c r="I65" s="40" t="str">
        <x:v>No</x:v>
      </x:c>
      <x:c r="J65" s="40" t="str">
        <x:v>No</x:v>
      </x:c>
      <x:c r="K65" s="30" t="str">
        <x:v>Coordination within EPA, as well as EPA’s coordination with State and local officials and the USACE, could have been better. In some instances, coordination problems resulted in duplicative work being completed by EPA and Louisiana officials.</x:v>
      </x:c>
      <x:c r="L65" s="30" t="str">
        <x:v>• Coordination within EPA, as well as EPA’s coordination with State and local officials and the USACE, could have been better. In some instances, coordination problems resulted in duplicative work being completed by EPA and Louisiana officials.</x:v>
      </x:c>
      <x:c r="M65" s="30" t="str">
        <x:v>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x:v>
      </x:c>
      <x:c r="N65" s="30" t="str">
        <x:v>Prerana re-evaluated her EPA annotation(s) 1:10 under the revised codebook and concluded that the passage does not meet the binary Unlearning threshold. The earlier coding did not establish the required combination of explicit problematization and abandonment, replacement, or fundamental rethinking.</x:v>
      </x:c>
      <x:c r="O65" s="30" t="str">
        <x:v>EPA-A023</x:v>
      </x:c>
      <x:c r="P65" s="30" t="str">
        <x:v>9:3;9:4</x:v>
      </x:c>
      <x:c r="Q65" s="40" t="str">
        <x:v>No</x:v>
      </x:c>
      <x:c r="R65" s="30"/>
    </x:row>
    <x:row r="66" ht="60" customHeight="1">
      <x:c r="A66" s="30" t="str">
        <x:v>EPA-008</x:v>
      </x:c>
      <x:c r="B66" s="30" t="str">
        <x:v>EPA-011</x:v>
      </x:c>
      <x:c r="C66" s="30" t="str">
        <x:v>EPA</x:v>
      </x:c>
      <x:c r="D66" s="30" t="str">
        <x:v>EPA 20060914-2006-p-00033.pdf</x:v>
      </x:c>
      <x:c r="E66" s="30" t="str">
        <x:v>p 9</x:v>
      </x:c>
      <x:c r="F66" s="30" t="str">
        <x:v>Restored the omitted opening word 'Initially' and aligned to the complete source bullet</x:v>
      </x:c>
      <x:c r="G66" s="30" t="str">
        <x:v>Partial passage expanded to full bullet</x:v>
      </x:c>
      <x:c r="H66" s="40" t="str">
        <x:v>High</x:v>
      </x:c>
      <x:c r="I66" s="40" t="str">
        <x:v>No</x:v>
      </x:c>
      <x:c r="J66" s="40" t="str">
        <x:v>No</x:v>
      </x:c>
      <x:c r="K66" s="30" t="str">
        <x:v>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 effects were identified.</x:v>
      </x:c>
      <x:c r="L66" s="30" t="str">
        <x:v>• Initially, there were problems in New Orleans with the transport of drinking water in potentially hazardous tanker trucks. The Louisiana Department of Health and Hospitals, with assistance from EPA Region 6, established procedures and EPA issued an administrative order to correct this situation in early October 2005. No adverse healtheffects were identified.</x:v>
      </x:c>
      <x:c r="M66" s="30" t="str">
        <x:v>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x:v>
      </x:c>
      <x:c r="N66" s="30" t="str">
        <x:v>Prerana re-evaluated her EPA annotation(s) 1:11 under the revised codebook and concluded that the passage does not meet the binary Unlearning threshold. The earlier coding did not establish the required combination of explicit problematization and abandonment, replacement, or fundamental rethinking.</x:v>
      </x:c>
      <x:c r="O66" s="30" t="str">
        <x:v>EPA-A024</x:v>
      </x:c>
      <x:c r="P66" s="30" t="str">
        <x:v>9:5;9:6</x:v>
      </x:c>
      <x:c r="Q66" s="40" t="str">
        <x:v>No</x:v>
      </x:c>
      <x:c r="R66" s="30"/>
    </x:row>
    <x:row r="67" ht="60" customHeight="1">
      <x:c r="A67" s="30" t="str">
        <x:v>EPA-009</x:v>
      </x:c>
      <x:c r="B67" s="30" t="str">
        <x:v>EPA-012</x:v>
      </x:c>
      <x:c r="C67" s="30" t="str">
        <x:v>EPA</x:v>
      </x:c>
      <x:c r="D67" s="30" t="str">
        <x:v>EPA 20060914-2006-p-00033.pdf</x:v>
      </x:c>
      <x:c r="E67" s="30" t="str">
        <x:v>p 10</x:v>
      </x:c>
      <x:c r="F67" s="30" t="str">
        <x:v>Replaced the mid-word extraction error with the complete source paragraph</x:v>
      </x:c>
      <x:c r="G67" s="30" t="str">
        <x:v>Extraction error corrected and full paragraph restored</x:v>
      </x:c>
      <x:c r="H67" s="40" t="str">
        <x:v>High</x:v>
      </x:c>
      <x:c r="I67" s="40" t="str">
        <x:v>No</x:v>
      </x:c>
      <x:c r="J67" s="40" t="str">
        <x:v>No</x:v>
      </x:c>
      <x:c r="K67" s="30" t="str">
        <x:v>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L67" s="30" t="str">
        <x:v>We found no evidence that hurricane response activities were negatively impacted by these coordination issues. For example, EPA Regions 4 and 6 used ESF-10 to obtain the necessary funding to get their personnel into the field. According to EPA Region 4 officials, ESF-10 (which EPA leads and involves responding to Oil and Hazardous Materials emergencies) was modified after prior hurricanes to provide initial response funding to allow EPA to quickly assess drinking water conditions after a hurricane.</x:v>
      </x:c>
      <x:c r="M67" s="30" t="str">
        <x:v>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x:v>
      </x:c>
      <x:c r="N67" s="30" t="str">
        <x:v>Prerana re-evaluated her EPA annotation(s) 1:13 under the revised codebook and concluded that the passage does not meet the binary Unlearning threshold. The earlier coding did not establish the required combination of explicit problematization and abandonment, replacement, or fundamental rethinking.</x:v>
      </x:c>
      <x:c r="O67" s="30" t="str">
        <x:v>EPA-A032</x:v>
      </x:c>
      <x:c r="P67" s="30" t="str">
        <x:v>10:3</x:v>
      </x:c>
      <x:c r="Q67" s="40" t="str">
        <x:v>No</x:v>
      </x:c>
      <x:c r="R67" s="30"/>
    </x:row>
    <x:row r="68" ht="60" customHeight="1">
      <x:c r="A68" s="30" t="str">
        <x:v>EPA-010</x:v>
      </x:c>
      <x:c r="B68" s="30" t="str">
        <x:v>EPA-013</x:v>
      </x:c>
      <x:c r="C68" s="30" t="str">
        <x:v>EPA</x:v>
      </x:c>
      <x:c r="D68" s="30" t="str">
        <x:v>EPA 20060914-2006-p-00033.pdf</x:v>
      </x:c>
      <x:c r="E68" s="30" t="str">
        <x:v>p 11</x:v>
      </x:c>
      <x:c r="F68" s="30" t="str">
        <x:v>Aligned to the complete source paragraph</x:v>
      </x:c>
      <x:c r="G68" s="30" t="str">
        <x:v>Exact full paragraph</x:v>
      </x:c>
      <x:c r="H68" s="40" t="str">
        <x:v>High</x:v>
      </x:c>
      <x:c r="I68" s="40" t="str">
        <x:v>No</x:v>
      </x:c>
      <x:c r="J68" s="40" t="str">
        <x:v>No</x:v>
      </x:c>
      <x:c r="K68" s="30"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 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L68" s="30" t="str">
        <x:v>From our review of wastewater issues, we found at times that parts of EPA were not communicating. We also found that EPA could coordinate its work better with the States and with local wastewater facilities. According to LDEQ officials, parts of EPA – Region 6 National Pollutant Discharge Elimination System (NPDES) Permits and Region 6 Water Enforcement Branches – were not always talking or working together, and had asked for similar information from the State instead of coordinating witheach other to get the information. According to LDEQ officials, there was also some duplication of effort in collecting information on the status of wastewater treatment facilities. EPA was primarily calling wastewater treatment facilities and Louisiana to determine the status of facilities. Louisiana was visiting facilities and flying aerial reconnaissance to determine the status of wastewater treatment facilities. However, the two agencies did not coordinate their efforts.</x:v>
      </x:c>
      <x:c r="M68" s="30" t="str">
        <x:v>I wouldn't classify this as unlearning. It identifies coordination and dialogue as a problem, however doesnt call for discarding anything. It also doesnt make a case for any fundamental shift.</x:v>
      </x:c>
      <x:c r="N68" s="30" t="str">
        <x:v>I wouldn't classify this as unlearning. It identifies coordination and dialogue as a problem, however doesnt call for discarding anything. It also doesnt make a case for any fundamental shift.</x:v>
      </x:c>
      <x:c r="O68" s="30" t="str">
        <x:v>EPA-A036</x:v>
      </x:c>
      <x:c r="P68" s="30" t="str">
        <x:v>11:3</x:v>
      </x:c>
      <x:c r="Q68" s="40" t="str">
        <x:v>No</x:v>
      </x:c>
      <x:c r="R68" s="30"/>
    </x:row>
    <x:row r="69" ht="60" customHeight="1">
      <x:c r="A69" s="30" t="str">
        <x:v>EPA-011</x:v>
      </x:c>
      <x:c r="B69" s="30" t="str">
        <x:v>EPA-014</x:v>
      </x:c>
      <x:c r="C69" s="30" t="str">
        <x:v>EPA</x:v>
      </x:c>
      <x:c r="D69" s="30" t="str">
        <x:v>EPA 20060914-2006-p-00033.pdf</x:v>
      </x:c>
      <x:c r="E69" s="30" t="str">
        <x:v>p 11</x:v>
      </x:c>
      <x:c r="F69" s="30" t="str">
        <x:v>Aligned to the complete source paragraph</x:v>
      </x:c>
      <x:c r="G69" s="30" t="str">
        <x:v>Exact full paragraph</x:v>
      </x:c>
      <x:c r="H69" s="40" t="str">
        <x:v>High</x:v>
      </x:c>
      <x:c r="I69" s="40" t="str">
        <x:v>No</x:v>
      </x:c>
      <x:c r="J69" s="40" t="str">
        <x:v>No</x:v>
      </x:c>
      <x:c r="K69" s="30"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L69" s="30" t="str">
        <x:v>Region 4 officials concurred that there is a need for EPA to play a more direct role in responding with USACE to water issues under ESF-3, similar to what is currently done with the U.S. Coast Guard support to EPA under ESF-10. Region 4 suggested a coordinated EPA effort, including headquarters support, to work with USACE to address mission assignments and interagency agreements. As it has done in the past for other hurricanes, Region 4 has started a lessons learned review that it plans to share with other EPA regions.</x:v>
      </x:c>
      <x:c r="M69" s="30" t="str">
        <x:v>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x:v>
      </x:c>
      <x:c r="N69" s="30" t="str">
        <x:v>Prerana re-evaluated her EPA annotation(s) 1:15 under the revised codebook and concluded that the passage does not meet the binary Unlearning threshold. The earlier coding did not establish the required combination of explicit problematization and abandonment, replacement, or fundamental rethinking.</x:v>
      </x:c>
      <x:c r="O69" s="30" t="str">
        <x:v>EPA-A035</x:v>
      </x:c>
      <x:c r="P69" s="30" t="str">
        <x:v>11:1</x:v>
      </x:c>
      <x:c r="Q69" s="40" t="str">
        <x:v>No</x:v>
      </x:c>
      <x:c r="R69" s="30"/>
    </x:row>
    <x:row r="70" ht="60" customHeight="1">
      <x:c r="A70" s="30" t="str">
        <x:v>EPA-012</x:v>
      </x:c>
      <x:c r="B70" s="30" t="str">
        <x:v>EPA-015</x:v>
      </x:c>
      <x:c r="C70" s="30" t="str">
        <x:v>EPA</x:v>
      </x:c>
      <x:c r="D70" s="30" t="str">
        <x:v>EPA 20060914-2006-p-00033.pdf</x:v>
      </x:c>
      <x:c r="E70" s="30" t="str">
        <x:v>p 11</x:v>
      </x:c>
      <x:c r="F70" s="30" t="str">
        <x:v>Expanded the cropped excerpt to the complete source paragraph</x:v>
      </x:c>
      <x:c r="G70" s="30" t="str">
        <x:v>Partial passage expanded to full paragraph</x:v>
      </x:c>
      <x:c r="H70" s="40" t="str">
        <x:v>High</x:v>
      </x:c>
      <x:c r="I70" s="40" t="str">
        <x:v>No</x:v>
      </x:c>
      <x:c r="J70" s="40" t="str">
        <x:v>No</x:v>
      </x:c>
      <x:c r="K70" s="30" t="str">
        <x:v>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L70" s="30" t="str">
        <x:v>According to Region 6 officials, the NPDES Permits and Water Enforcement Branches were jointly charged with putting together an assessment of the wastewater facilities in Louisiana. Region 6 noted that in the first few days there was a huge gap in the information available, and that staff were unable to contact the facilities themselves. As a result, EPA staff charged with getting the information utilized all the resources available to them, which included trying different points of contact. Region 6 officials believe these efforts may have led to some appearance of duplication of efforts. Region 6 officials further explained that within a week, as information became clearer, EPA assigned separate and specific followup tasks to personnel in the branches. Region 6 officials noted that both LDEQ and EPA had a statutory role in implementing the program. Both staffs were co-located in LDEQ offices in Baton Rouge, Louisiana, and staff freely shared information. With respect to both coordination issues discussed, Region 6 informed us that, to the extent there was any duplication of effort, it was only a result of an attempt to ensure that all wastewater facilities were reached, evaluated, and assisted as quickly as possible.</x:v>
      </x:c>
      <x:c r="M70" s="30" t="str">
        <x:v>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x:v>
      </x:c>
      <x:c r="N70" s="30" t="str">
        <x:v>Prerana re-evaluated her EPA annotation(s) 1:16 under the revised codebook and concluded that the passage does not meet the binary Unlearning threshold. The earlier coding did not establish the required combination of explicit problematization and abandonment, replacement, or fundamental rethinking.</x:v>
      </x:c>
      <x:c r="O70" s="30" t="str">
        <x:v>EPA-A037</x:v>
      </x:c>
      <x:c r="P70" s="30" t="str">
        <x:v>11:4</x:v>
      </x:c>
      <x:c r="Q70" s="40" t="str">
        <x:v>No</x:v>
      </x:c>
      <x:c r="R70" s="30"/>
    </x:row>
    <x:row r="71" ht="60" customHeight="1">
      <x:c r="A71" s="30" t="str">
        <x:v>EPA-013</x:v>
      </x:c>
      <x:c r="B71" s="30" t="str">
        <x:v>EPA-016</x:v>
      </x:c>
      <x:c r="C71" s="30" t="str">
        <x:v>EPA</x:v>
      </x:c>
      <x:c r="D71" s="30" t="str">
        <x:v>EPA 20060914-2006-p-00033.pdf</x:v>
      </x:c>
      <x:c r="E71" s="30" t="str">
        <x:v>pp 10-11</x:v>
      </x:c>
      <x:c r="F71" s="30" t="str">
        <x:v>Expanded the cropped quotation to the complete displayed quotation paragraph</x:v>
      </x:c>
      <x:c r="G71" s="30" t="str">
        <x:v>Partial passage expanded to full paragraph</x:v>
      </x:c>
      <x:c r="H71" s="40" t="str">
        <x:v>High</x:v>
      </x:c>
      <x:c r="I71" s="40" t="str">
        <x:v>No</x:v>
      </x:c>
      <x:c r="J71" s="40" t="str">
        <x:v>No</x:v>
      </x:c>
      <x:c r="K71" s="30" t="str">
        <x:v>ESF and support annex should develop a detailed operations plan on how they will become operational and coordinate with other annexes and ESF’s during a major incident</x:v>
      </x:c>
      <x:c r="L71" s="30" t="str">
        <x:v>... develop integrated operational plans, procedures and capabilities for their support to the base NRP and all ESFs and Support Annexes.... Each primary department or Agency for each ESF and support annex should develop a detailed operations plan on how they will become operational and coordinate with other annexes and ESF’s during a major incident.</x:v>
      </x:c>
      <x:c r="M71" s="30" t="str">
        <x:v>This is not unlearning. It doesn't identify a problem area or show a departure from past practice. It is an additive change.</x:v>
      </x:c>
      <x:c r="N71" s="30" t="str">
        <x:v>This is not unlearning. It doesn't identify a problem area or show a departure from past practice. It is an additive change.</x:v>
      </x:c>
      <x:c r="O71" s="30" t="str">
        <x:v>EPA-A034</x:v>
      </x:c>
      <x:c r="P71" s="30" t="str">
        <x:v>10:5;11:0</x:v>
      </x:c>
      <x:c r="Q71" s="40" t="str">
        <x:v>No</x:v>
      </x:c>
      <x:c r="R71" s="30"/>
    </x:row>
    <x:row r="72" ht="60" customHeight="1">
      <x:c r="A72" s="30" t="str">
        <x:v>EPA-014</x:v>
      </x:c>
      <x:c r="B72" s="30" t="str">
        <x:v>EPA-017</x:v>
      </x:c>
      <x:c r="C72" s="30" t="str">
        <x:v>EPA</x:v>
      </x:c>
      <x:c r="D72" s="30" t="str">
        <x:v>EPA 20060914-2006-p-00033.pdf</x:v>
      </x:c>
      <x:c r="E72" s="30" t="str">
        <x:v>p 12</x:v>
      </x:c>
      <x:c r="F72" s="30" t="str">
        <x:v>Split the parent span; generator-delivery paragraph coded No</x:v>
      </x:c>
      <x:c r="G72" s="30" t="str">
        <x:v>Parent span split to source paragraph</x:v>
      </x:c>
      <x:c r="H72" s="40" t="str">
        <x:v>High</x:v>
      </x:c>
      <x:c r="I72" s="40" t="str">
        <x:v>Yes</x:v>
      </x:c>
      <x:c r="J72" s="40" t="str">
        <x:v>No</x:v>
      </x:c>
      <x:c r="K72" s="30"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L72" s="30"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x:v>
      </x:c>
      <x:c r="M72" s="30" t="str">
        <x:v>This is unlearning. It identifies communication and coordination as problems. it goes on to share specific solutions which seem to present fundamental change.</x:v>
      </x:c>
      <x:c r="N72" s="30" t="str">
        <x:v>The paragraph documents generator-delivery failures and a master-list workaround, but it does not reject or fundamentally replace an existing practice.</x:v>
      </x:c>
      <x:c r="O72" s="30" t="str">
        <x:v>EPA-A038</x:v>
      </x:c>
      <x:c r="P72" s="30" t="str">
        <x:v>12:0</x:v>
      </x:c>
      <x:c r="Q72" s="40" t="str">
        <x:v>Yes</x:v>
      </x:c>
      <x:c r="R72" s="30" t="str">
        <x:v>Paragraph-level No was derived from the human-labeled multi-paragraph parent span; confirm during team adjudication.</x:v>
      </x:c>
    </x:row>
    <x:row r="73" ht="60" customHeight="1">
      <x:c r="A73" s="30" t="str">
        <x:v>EPA-014</x:v>
      </x:c>
      <x:c r="B73" s="30" t="str">
        <x:v>EPA-018</x:v>
      </x:c>
      <x:c r="C73" s="30" t="str">
        <x:v>EPA</x:v>
      </x:c>
      <x:c r="D73" s="30" t="str">
        <x:v>EPA 20060914-2006-p-00033.pdf</x:v>
      </x:c>
      <x:c r="E73" s="30" t="str">
        <x:v>p 12</x:v>
      </x:c>
      <x:c r="F73" s="30" t="str">
        <x:v>Grouped the lead-in and five bullets as one list unit after splitting the parent span</x:v>
      </x:c>
      <x:c r="G73" s="30" t="str">
        <x:v>Parent span split to source list unit</x:v>
      </x:c>
      <x:c r="H73" s="40" t="str">
        <x:v>High</x:v>
      </x:c>
      <x:c r="I73" s="40" t="str">
        <x:v>Yes</x:v>
      </x:c>
      <x:c r="J73" s="40" t="str">
        <x:v>Yes</x:v>
      </x:c>
      <x:c r="K73" s="30" t="str">
        <x:v>Communication is a key component of emergency response. In two instances brought to our attention, EPA visited two municipal wastewater facilities, asked if their facilities needed assistance, and were told that they needed generators. One facility never received the generators and the other received the generators too late to provide assistance. EPA officials informed us that they worked with USACE and Mississippi to develop a master list of needs that gave appropriate priority to water and wastewater services, and that the Army 249th Prime Power group that supports the USACE in providing generators for critical infrastructures used the master list. The EPA officials believe that the 249th power group used the master list to provide as timely service as possible to high and low priority facilities when scheduling daily site visits.
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L73" s="30" t="str">
        <x:v>EPA regional officials concurred that coordination issues existed following Hurricane Katrina. EPA Region 4 and 6 officials said that they have been proactive in taking steps to improve coordination for potential future disasters. According to Region 4 officials, Region 4 has or will be doing the following:
• Providing training to senior officials on their roles and responsibilities in the incident command structure system
• Ensuring that additional resources are available for future disasters
• Establishing teams comprised of both drinking water and wastewater experts, which will be pre-deployed with the on-scene coordinators in future disasters
• Working with public health specialists who play a prominent role in national emergency situations; and • Working with its State partners to better document and define each agency's responsibilities and expectations for future disasters.</x:v>
      </x:c>
      <x:c r="M73" s="30" t="str">
        <x:v>This is unlearning. It identifies communication and coordination as problems. it goes on to share specific solutions which seem to present fundamental change.</x:v>
      </x:c>
      <x:c r="N73" s="30" t="str">
        <x:v>The list identifies coordination problems and replaces an ad hoc response with structural changes: incident-command training, added resources, pre-deployed joint expert teams, public-health integration, and clearer interagency responsibilities.</x:v>
      </x:c>
      <x:c r="O73" s="30" t="str">
        <x:v>EPA-A039</x:v>
      </x:c>
      <x:c r="P73" s="30" t="str">
        <x:v>12:1;12:2</x:v>
      </x:c>
      <x:c r="Q73" s="40" t="str">
        <x:v>Yes</x:v>
      </x:c>
      <x:c r="R73" s="30" t="str">
        <x:v>The changes may also be read as additive capacity-building; confirm the paragraph-level Yes during team adjudication.</x:v>
      </x:c>
    </x:row>
    <x:row r="74" ht="60" customHeight="1">
      <x:c r="A74" s="30" t="str">
        <x:v>EPA-015</x:v>
      </x:c>
      <x:c r="B74" s="30" t="str">
        <x:v>EPA-019</x:v>
      </x:c>
      <x:c r="C74" s="30" t="str">
        <x:v>EPA</x:v>
      </x:c>
      <x:c r="D74" s="30" t="str">
        <x:v>EPA 20060914-2006-p-00033.pdf</x:v>
      </x:c>
      <x:c r="E74" s="30" t="str">
        <x:v>p 12</x:v>
      </x:c>
      <x:c r="F74" s="30" t="str">
        <x:v>Aligned to the complete source paragraph</x:v>
      </x:c>
      <x:c r="G74" s="30" t="str">
        <x:v>Exact full paragraph</x:v>
      </x:c>
      <x:c r="H74" s="40" t="str">
        <x:v>High</x:v>
      </x:c>
      <x:c r="I74" s="40" t="str">
        <x:v>No</x:v>
      </x:c>
      <x:c r="J74" s="40" t="str">
        <x:v>No</x:v>
      </x:c>
      <x:c r="K74" s="30" t="str">
        <x:v>Region 6 officials said they have established a senior liaison position between Region 6 and Louisiana, defined roles and responsibilities between EPA and the States, and developed a DVD that addresses emergency response activities.</x:v>
      </x:c>
      <x:c r="L74" s="30" t="str">
        <x:v>Region 6 officials said they have established a senior liaison position between Region 6 and Louisiana, defined roles and responsibilities between EPA and the States, and developed a DVD that addresses emergency response activities.</x:v>
      </x:c>
      <x:c r="M74" s="30" t="str">
        <x:v>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x:v>
      </x:c>
      <x:c r="N74" s="30" t="str">
        <x:v>Prerana re-evaluated her EPA annotation(s) 1:17 under the revised codebook and concluded that the passage does not meet the binary Unlearning threshold. The earlier coding did not establish the required combination of explicit problematization and abandonment, replacement, or fundamental rethinking.</x:v>
      </x:c>
      <x:c r="O74" s="30" t="str">
        <x:v>EPA-A040</x:v>
      </x:c>
      <x:c r="P74" s="30" t="str">
        <x:v>12:3</x:v>
      </x:c>
      <x:c r="Q74" s="40" t="str">
        <x:v>No</x:v>
      </x:c>
      <x:c r="R74" s="30"/>
    </x:row>
    <x:row r="75" ht="60" customHeight="1">
      <x:c r="A75" s="30" t="str">
        <x:v>EPA-016</x:v>
      </x:c>
      <x:c r="B75" s="30" t="str">
        <x:v>EPA-020</x:v>
      </x:c>
      <x:c r="C75" s="30" t="str">
        <x:v>EPA</x:v>
      </x:c>
      <x:c r="D75" s="30" t="str">
        <x:v>EPA 20060914-2006-p-00033.pdf</x:v>
      </x:c>
      <x:c r="E75" s="30" t="str">
        <x:v>pp 13-14</x:v>
      </x:c>
      <x:c r="F75" s="30" t="str">
        <x:v>Merged the page-break continuation into one complete source paragraph</x:v>
      </x:c>
      <x:c r="G75" s="30" t="str">
        <x:v>Cross-page paragraph reconstructed</x:v>
      </x:c>
      <x:c r="H75" s="40" t="str">
        <x:v>High</x:v>
      </x:c>
      <x:c r="I75" s="40" t="str">
        <x:v>Yes</x:v>
      </x:c>
      <x:c r="J75" s="40" t="str">
        <x:v>Yes</x:v>
      </x:c>
      <x:c r="K75" s="30"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L75" s="30" t="str">
        <x:v>EPA regional officials concurred that tremendous communication issues existed following Hurricane Katrina. Both Regions 4 and 6 indicated they have taken a number of steps to improve communication during future disasters, including upgrading the current telecommunications equipment, planning to deploy additional staff during the next disaster, and reevaluating current communication standard operating procedures.</x:v>
      </x:c>
      <x:c r="M75" s="30" t="str">
        <x:v>This is unlearning. They are specifically using keyword reevaluation, which speaks to departure from past practices. They identify specific problems regarding communication, equipment and data</x:v>
      </x:c>
      <x:c r="N75" s="30" t="str">
        <x:v>This is unlearning. They are specifically using keyword reevaluation, which speaks to departure from past practices. They identify specific problems regarding communication, equipment and data</x:v>
      </x:c>
      <x:c r="O75" s="30" t="str">
        <x:v>EPA-A048</x:v>
      </x:c>
      <x:c r="P75" s="30" t="str">
        <x:v>13:8;14:0</x:v>
      </x:c>
      <x:c r="Q75" s="40" t="str">
        <x:v>No</x:v>
      </x:c>
      <x:c r="R75" s="30"/>
    </x:row>
    <x:row r="76" ht="60" customHeight="1">
      <x:c r="A76" s="30" t="str">
        <x:v>EPA-017</x:v>
      </x:c>
      <x:c r="B76" s="30" t="str">
        <x:v>EPA-021</x:v>
      </x:c>
      <x:c r="C76" s="30" t="str">
        <x:v>EPA</x:v>
      </x:c>
      <x:c r="D76" s="30" t="str">
        <x:v>EPA 20060914-2006-p-00033.pdf</x:v>
      </x:c>
      <x:c r="E76" s="30" t="str">
        <x:v>p 13</x:v>
      </x:c>
      <x:c r="F76" s="30" t="str">
        <x:v>Aligned to the complete source paragraph</x:v>
      </x:c>
      <x:c r="G76" s="30" t="str">
        <x:v>Exact full paragraph</x:v>
      </x:c>
      <x:c r="H76" s="40" t="str">
        <x:v>High</x:v>
      </x:c>
      <x:c r="I76" s="40" t="str">
        <x:v>No</x:v>
      </x:c>
      <x:c r="J76" s="40" t="str">
        <x:v>No</x:v>
      </x:c>
      <x:c r="K76" s="30"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L76" s="30" t="str">
        <x:v>During emergencies such as Hurricane Katrina, there is an immediate need for decision makers at various levels of government to have reliable water quality data. One of the databases used by EPA to store floodwater data is the SCRIBE database.2 EPA provided access to the data to officials at the State level and New Orleans parishes. However, Louisiana officials had trouble querying the database due to a lack of training and had trouble verifying the quality of data due to inconsistent data entry. Set protocols would address these types of issues.</x:v>
      </x:c>
      <x:c r="M76" s="30" t="str">
        <x:v>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x:v>
      </x:c>
      <x:c r="N76" s="30" t="str">
        <x:v>Prerana re-evaluated her EPA annotation(s) 1:18 under the revised codebook and concluded that the passage does not meet the binary Unlearning threshold. The earlier coding did not establish the required combination of explicit problematization and abandonment, replacement, or fundamental rethinking.</x:v>
      </x:c>
      <x:c r="O76" s="30" t="str">
        <x:v>EPA-A045</x:v>
      </x:c>
      <x:c r="P76" s="30" t="str">
        <x:v>13:4</x:v>
      </x:c>
      <x:c r="Q76" s="40" t="str">
        <x:v>No</x:v>
      </x:c>
      <x:c r="R76" s="30"/>
    </x:row>
    <x:row r="77" ht="60" customHeight="1">
      <x:c r="A77" s="30" t="str">
        <x:v>EPA-018</x:v>
      </x:c>
      <x:c r="B77" s="30" t="str">
        <x:v>EPA-022</x:v>
      </x:c>
      <x:c r="C77" s="30" t="str">
        <x:v>EPA</x:v>
      </x:c>
      <x:c r="D77" s="30" t="str">
        <x:v>EPA 20060914-2006-p-00033.pdf</x:v>
      </x:c>
      <x:c r="E77" s="30" t="str">
        <x:v>p 27</x:v>
      </x:c>
      <x:c r="F77" s="30" t="str">
        <x:v>Restored the omitted 'Response:' opening and aligned to the complete source paragraph</x:v>
      </x:c>
      <x:c r="G77" s="30" t="str">
        <x:v>Partial passage expanded to full paragraph</x:v>
      </x:c>
      <x:c r="H77" s="40" t="str">
        <x:v>High</x:v>
      </x:c>
      <x:c r="I77" s="40" t="str">
        <x:v>No</x:v>
      </x:c>
      <x:c r="J77" s="40" t="str">
        <x:v>No</x:v>
      </x:c>
      <x:c r="K77" s="30" t="str">
        <x:v>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L77" s="30" t="str">
        <x:v>Response: EPA met with representatives from USACE in May to discuss emergency response roles and responsibilities that pertain to drinking water and wastewater systems. USACE and EPA agreed that the USACE ESF-3 Standard Operating Procedures (SOP) guidance should include drinking water and wastewater system assessment and repair, and that additional mechanisms (such as pre-scripted Mission Assignments) should be identified to facilitate this mission. Following the meeting, USACE created new draft ESF-3 pre-scripted mission assignments that include language for activating EPA support representatives to the ESF-3 Team and for providing direct federal and technical assistance to states and drinking water and wastewater utilities. EPA will meet with USACE and other ESF #3 support agencies in August to discuss ESF-3 agency roles and capabilities and will continue to work with USACE to ensure that current ESF #3 SOPs can be appropriately updated and revised.</x:v>
      </x:c>
      <x:c r="M77" s="30" t="str">
        <x:v>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x:v>
      </x:c>
      <x:c r="N77" s="30" t="str">
        <x:v>Prerana re-evaluated her EPA annotation(s) 1:19 under the revised codebook and concluded that the passage does not meet the binary Unlearning threshold. The earlier coding did not establish the required combination of explicit problematization and abandonment, replacement, or fundamental rethinking.</x:v>
      </x:c>
      <x:c r="O77" s="30" t="str">
        <x:v>EPA-A101</x:v>
      </x:c>
      <x:c r="P77" s="30" t="str">
        <x:v>27:5</x:v>
      </x:c>
      <x:c r="Q77" s="40" t="str">
        <x:v>No</x:v>
      </x:c>
      <x:c r="R77" s="30"/>
    </x:row>
    <x:row r="78" ht="60" customHeight="1">
      <x:c r="A78" s="30" t="str">
        <x:v>HK-001</x:v>
      </x:c>
      <x:c r="B78" s="30" t="str">
        <x:v>HK-001</x:v>
      </x:c>
      <x:c r="C78" s="30" t="str">
        <x:v>Hurricane Katrina</x:v>
      </x:c>
      <x:c r="D78" s="30" t="str">
        <x:v>gao-06-442t.pdf</x:v>
      </x:c>
      <x:c r="E78" s="30" t="str">
        <x:v>pp 14-15</x:v>
      </x:c>
      <x:c r="F78" s="30" t="str">
        <x:v>Aligned to the complete PyMuPDF source paragraph</x:v>
      </x:c>
      <x:c r="G78" s="30" t="str">
        <x:v>Exact full paragraph</x:v>
      </x:c>
      <x:c r="H78" s="40" t="str">
        <x:v>High</x:v>
      </x:c>
      <x:c r="I78" s="40" t="str">
        <x:v>Yes</x:v>
      </x:c>
      <x:c r="J78" s="40" t="str">
        <x:v>Yes</x:v>
      </x:c>
      <x:c r="K78" s="30"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x:v>
      </x:c>
      <x:c r="L78" s="30" t="str">
        <x:v>Because it is possible to respond to incidents maturing to catastrophic magnitude in a more proactive manner than surprise catastrophic incidents, it does not make sense to exclude evolving catastrophic incidents from the scope of the annex’s coverage. The White House report on the federal response to Hurricane Katrina also questioned this exclusion. As the White House report states, “Ultimately, when a catastrophic incident occurs, regardless of whether the catastrophe has been a warned or is a surprise event, the Federal government should not rely on the traditional layered approach and instead should proactively provide, or ‘push,’ its capabilities and assistance directly to those in need.”</x:v>
      </x:c>
      <x:c r="M78" s="30" t="str">
        <x:v>unlearning as it discards teh assumption of the traditional layered approach for evolving incidents.</x:v>
      </x:c>
      <x:c r="N78" s="30" t="str">
        <x:v>unlearning as it discards teh assumption of the traditional layered approach for evolving incidents.</x:v>
      </x:c>
      <x:c r="O78" s="30" t="str">
        <x:v>HK-A038</x:v>
      </x:c>
      <x:c r="P78" s="30" t="str">
        <x:v>14:2:36;14:2:37;14:2:38;14:2:39;14:2:40;14:2:41;14:2:42;14:2:43;15:2:0;15:2:1</x:v>
      </x:c>
      <x:c r="Q78" s="40" t="str">
        <x:v>No</x:v>
      </x:c>
      <x:c r="R78" s="30"/>
    </x:row>
    <x:row r="79" ht="60" customHeight="1">
      <x:c r="A79" s="30" t="str">
        <x:v>HK-002</x:v>
      </x:c>
      <x:c r="B79" s="30" t="str">
        <x:v>HK-002</x:v>
      </x:c>
      <x:c r="C79" s="30" t="str">
        <x:v>Hurricane Katrina</x:v>
      </x:c>
      <x:c r="D79" s="30" t="str">
        <x:v>gao-06-442t.pdf</x:v>
      </x:c>
      <x:c r="E79" s="30" t="str">
        <x:v>p 15</x:v>
      </x:c>
      <x:c r="F79" s="30" t="str">
        <x:v>Aligned to the complete PyMuPDF source paragraph</x:v>
      </x:c>
      <x:c r="G79" s="30" t="str">
        <x:v>Exact full paragraph</x:v>
      </x:c>
      <x:c r="H79" s="40" t="str">
        <x:v>High</x:v>
      </x:c>
      <x:c r="I79" s="40" t="str">
        <x:v>No</x:v>
      </x:c>
      <x:c r="J79" s="40" t="str">
        <x:v>No</x:v>
      </x:c>
      <x:c r="K79" s="30"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L79" s="30" t="str">
        <x:v>A proactive approach to catastrophic disasters when there is warning is also in keeping with recommendations we made in 1993 following Hurricane Andrew. At that time, from an administrative perspective, we recommended that FEMA improve its catastrophic disaster response capability by using existing authority to aggressively respond to catastrophic disasters, assessing the extent of the damage, and then advising state and local officials of identified needs and the federal resources available to address them. From a legislative standpoint, we recommended that Congress should consider giving federal agencies explicit authority to take actions to prepare for catastrophic disasters when there is warning. We continue to believe that actions such as these are warranted.</x:v>
      </x:c>
      <x:c r="M79" s="30" t="str">
        <x:v>Not unlearning. It doesnt identify a specific issue and the change it suggest in atuhority doesnt sound like amajor departure from teh past norms.</x:v>
      </x:c>
      <x:c r="N79" s="30" t="str">
        <x:v>Not unlearning. It doesnt identify a specific issue and the change it suggest in atuhority doesnt sound like amajor departure from teh past norms.</x:v>
      </x:c>
      <x:c r="O79" s="30" t="str">
        <x:v>HK-A039</x:v>
      </x:c>
      <x:c r="P79" s="30" t="str">
        <x:v>15:2:3;15:2:4;15:2:5;15:2:6;15:2:7;15:2:8;15:2:9;15:2:10;15:2:11;15:2:12;15:2:13;15:2:14</x:v>
      </x:c>
      <x:c r="Q79" s="40" t="str">
        <x:v>No</x:v>
      </x:c>
      <x:c r="R79" s="30"/>
    </x:row>
    <x:row r="80" ht="60" customHeight="1">
      <x:c r="A80" s="30" t="str">
        <x:v>HK-003</x:v>
      </x:c>
      <x:c r="B80" s="30" t="str">
        <x:v>HK-003</x:v>
      </x:c>
      <x:c r="C80" s="30" t="str">
        <x:v>Hurricane Katrina</x:v>
      </x:c>
      <x:c r="D80" s="30" t="str">
        <x:v>gao-06-442t.pdf</x:v>
      </x:c>
      <x:c r="E80" s="30" t="str">
        <x:v>p 18</x:v>
      </x:c>
      <x:c r="F80" s="30" t="str">
        <x:v>Aligned to the complete PyMuPDF source paragraph</x:v>
      </x:c>
      <x:c r="G80" s="30" t="str">
        <x:v>Exact full paragraph</x:v>
      </x:c>
      <x:c r="H80" s="40" t="str">
        <x:v>High</x:v>
      </x:c>
      <x:c r="I80" s="40" t="str">
        <x:v>Yes</x:v>
      </x:c>
      <x:c r="J80" s="40" t="str">
        <x:v>Yes</x:v>
      </x:c>
      <x:c r="K80" s="30"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L80" s="30" t="str">
        <x:v>I want to emphasize that across these capabilities, streamlining, simplifying, and expediting decision making should quickly replace “business as usual” and the unquestioned following of long-standing policies and operating procedures. We were told of many examples where quick action could not occur as agencies followed procedures that required extensive, time-consuming processes, delaying the delivery of vital supplies and other assistance. When there is a catastrophic disaster, temporarily suspending certain rules and regulations may be necessary in order to expedite relief and recovery of the affected area, even if such a suspension requires legislation. The key is to recognize when flexibility is needed to meet response and recovery needs in a catastrophic disaster.</x:v>
      </x:c>
      <x:c r="M80" s="30" t="str">
        <x:v>Unlearning as it specifically talks about discarding rules and regulations and SOPs that come in the way of flexibility and vital supplies.</x:v>
      </x:c>
      <x:c r="N80" s="30" t="str">
        <x:v>Unlearning as it specifically talks about discarding rules and regulations and SOPs that come in the way of flexibility and vital supplies.</x:v>
      </x:c>
      <x:c r="O80" s="30" t="str">
        <x:v>HK-A048</x:v>
      </x:c>
      <x:c r="P80" s="30" t="str">
        <x:v>18:3:0;18:3:1;18:3:2;18:3:3;18:3:4;18:3:5;18:3:6;18:3:7;18:3:8;18:3:9;18:3:10</x:v>
      </x:c>
      <x:c r="Q80" s="40" t="str">
        <x:v>No</x:v>
      </x:c>
      <x:c r="R80" s="30"/>
    </x:row>
    <x:row r="81" ht="60" customHeight="1">
      <x:c r="A81" s="30" t="str">
        <x:v>HK-004</x:v>
      </x:c>
      <x:c r="B81" s="30" t="str">
        <x:v>HK-004</x:v>
      </x:c>
      <x:c r="C81" s="30" t="str">
        <x:v>Hurricane Katrina</x:v>
      </x:c>
      <x:c r="D81" s="30" t="str">
        <x:v>gao-06-442t.pdf</x:v>
      </x:c>
      <x:c r="E81" s="30" t="str">
        <x:v>p 19</x:v>
      </x:c>
      <x:c r="F81" s="30" t="str">
        <x:v>Aligned to the complete PyMuPDF source paragraph</x:v>
      </x:c>
      <x:c r="G81" s="30" t="str">
        <x:v>Exact full paragraph</x:v>
      </x:c>
      <x:c r="H81" s="40" t="str">
        <x:v>High</x:v>
      </x:c>
      <x:c r="I81" s="40" t="str">
        <x:v>Yes</x:v>
      </x:c>
      <x:c r="J81" s="40" t="str">
        <x:v>Yes</x:v>
      </x:c>
      <x:c r="K81" s="30"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L81" s="30" t="str">
        <x:v>Our work on interoperable communications identified problem definition, performance goals and standards, and defining the roles of federal, state, local government and other entities as the three principal challenges to achieving effective interoperable communications for first responders. The single greatest barrier to addressing the decades-old problems of interoperable communications has been the lack of effective, collaborative, interdisciplinary, and intergovernmental planning. No one first-responder group or governmental agency can “fix” the interoperability problems that face the nation. We believe that our 2004 recommendations to the Secretary of DHS are still appropriate: (1) work with the Federal Communications Commission to develop a nationwide database of interoperable communications frequencies and a common nomenclature so that first responders from different disciplines and jurisdictions can quickly identify shared frequencies when arriving at the scene of an incident; (2) establish interoperability requirements whose achievement can be measured; and (3) through grants, encourage states to establish statewide bodies that will develop a comprehensive statewide interoperable communications plan and condition the purchase of new equipment on the adoption of such a plan.</x:v>
      </x:c>
      <x:c r="M81" s="30" t="str">
        <x:v>Unlearning as it identifies interoperable communication as a clear policy problem and tmakes recommendations that seem to suggest departure from teh past approached.</x:v>
      </x:c>
      <x:c r="N81" s="30" t="str">
        <x:v>Unlearning as it identifies interoperable communication as a clear policy problem and tmakes recommendations that seem to suggest departure from teh past approached.</x:v>
      </x:c>
      <x:c r="O81" s="30" t="str">
        <x:v>HK-A051</x:v>
      </x:c>
      <x:c r="P81" s="30" t="str">
        <x:v>19:3:0;19:3:1;19:3:2;19:3:3;19:3:4;19:3:5;19:3:6;19:3:7;19:3:8;19:3:9;19:3:10;19:3:11;19:3:12;19:3:13;19:3:14;19:3:15;19:3:16;19:3:17;19:3:18</x:v>
      </x:c>
      <x:c r="Q81" s="40" t="str">
        <x:v>No</x:v>
      </x:c>
      <x:c r="R81" s="30"/>
    </x:row>
    <x:row r="82" ht="60" customHeight="1">
      <x:c r="A82" s="30" t="str">
        <x:v>HK-005</x:v>
      </x:c>
      <x:c r="B82" s="30" t="str">
        <x:v>HK-005</x:v>
      </x:c>
      <x:c r="C82" s="30" t="str">
        <x:v>Hurricane Katrina</x:v>
      </x:c>
      <x:c r="D82" s="30" t="str">
        <x:v>gao-06-442t.pdf</x:v>
      </x:c>
      <x:c r="E82" s="30" t="str">
        <x:v>p 19</x:v>
      </x:c>
      <x:c r="F82" s="30" t="str">
        <x:v>Aligned to the complete PyMuPDF source paragraph</x:v>
      </x:c>
      <x:c r="G82" s="30" t="str">
        <x:v>Exact full paragraph</x:v>
      </x:c>
      <x:c r="H82" s="40" t="str">
        <x:v>High</x:v>
      </x:c>
      <x:c r="I82" s="40" t="str">
        <x:v>No</x:v>
      </x:c>
      <x:c r="J82" s="40" t="str">
        <x:v>No</x:v>
      </x:c>
      <x:c r="K82" s="30"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L82" s="30" t="str">
        <x:v>Damage and needs assessment: Damage and needs assessment is the capability to immediately conduct damage assessments of infrastructure and to estimate services needed by disaster victims. The scope of the devastation and the flooding in the New Orleans area made a comprehensive damage assessment and estimate of services victims might need very difficult. Clearly, the military has significant capability through a range of reconnaissance aircraft and satellite imagery. However, while some capabilities were employed, there had been no advance planning among federal, state, and local responders as to how DOD would provide these capabilities in the event of a catastrophic disaster.</x:v>
      </x:c>
      <x:c r="M82" s="30" t="str">
        <x:v>Not unleaarning. They identify a problem, but offer not clear reform that breaks from the past practices.</x:v>
      </x:c>
      <x:c r="N82" s="30" t="str">
        <x:v>Not unleaarning. They identify a problem, but offer not clear reform that breaks from the past practices.</x:v>
      </x:c>
      <x:c r="O82" s="30" t="str">
        <x:v>HK-A052</x:v>
      </x:c>
      <x:c r="P82" s="30" t="str">
        <x:v>19:4:0;19:4:1;19:4:2;19:4:3;19:4:4;19:4:5;19:4:6;19:4:7;19:4:8;19:4:9</x:v>
      </x:c>
      <x:c r="Q82" s="40" t="str">
        <x:v>No</x:v>
      </x:c>
      <x:c r="R82" s="30"/>
    </x:row>
    <x:row r="83" ht="60" customHeight="1">
      <x:c r="A83" s="30" t="str">
        <x:v>HK-006</x:v>
      </x:c>
      <x:c r="B83" s="30" t="str">
        <x:v>HK-006</x:v>
      </x:c>
      <x:c r="C83" s="30" t="str">
        <x:v>Hurricane Katrina</x:v>
      </x:c>
      <x:c r="D83" s="30" t="str">
        <x:v>gao-06-442t.pdf</x:v>
      </x:c>
      <x:c r="E83" s="30" t="str">
        <x:v>pp 19-20</x:v>
      </x:c>
      <x:c r="F83" s="30" t="str">
        <x:v>Aligned to the complete PyMuPDF source paragraph</x:v>
      </x:c>
      <x:c r="G83" s="30" t="str">
        <x:v>Exact full paragraph</x:v>
      </x:c>
      <x:c r="H83" s="40" t="str">
        <x:v>High</x:v>
      </x:c>
      <x:c r="I83" s="40" t="str">
        <x:v>No</x:v>
      </x:c>
      <x:c r="J83" s="40" t="str">
        <x:v>No</x:v>
      </x:c>
      <x:c r="K83" s="30"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oversight.8</x:v>
      </x:c>
      <x:c r="L83" s="30" t="str">
        <x:v>Logistics: Logistics is the capability to identify, dispatch, mobilize, and demobilize and to accurately track and record available critical resources throughout all incident management phases. Our early work indicates that logistics systems were often totally overwhelmed by Hurricane Katrina. The result was that critical resources apparently were not available, properly distributed, or provided in a timely manner. In addition, acquisition efforts, while noteworthy given the scope of Hurricane Katrina, indicated agencies needed additional capabilities to (1) adequately anticipate requirements for needed goods and services, (2) clearly communicate responsibilities across agencies and jurisdictions, and (3) deploy sufficient numbers of personnel to provide contractor oversight.</x:v>
      </x:c>
      <x:c r="M83" s="30" t="str">
        <x:v>not unlearning as the reforms seem additive capacity building related, not fundamental changes.</x:v>
      </x:c>
      <x:c r="N83" s="30" t="str">
        <x:v>not unlearning as the reforms seem additive capacity building related, not fundamental changes.</x:v>
      </x:c>
      <x:c r="O83" s="30" t="str">
        <x:v>HK-A053</x:v>
      </x:c>
      <x:c r="P83" s="30" t="str">
        <x:v>19:5:0;19:5:1;19:5:2;19:5:3;19:5:4;19:5:5;19:5:6;20:2:0;20:2:1;20:2:2;20:2:3;20:2:4</x:v>
      </x:c>
      <x:c r="Q83" s="40" t="str">
        <x:v>No</x:v>
      </x:c>
      <x:c r="R83" s="30"/>
    </x:row>
    <x:row r="84" ht="60" customHeight="1">
      <x:c r="A84" s="30" t="str">
        <x:v>HK-007</x:v>
      </x:c>
      <x:c r="B84" s="30" t="str">
        <x:v>HK-007</x:v>
      </x:c>
      <x:c r="C84" s="30" t="str">
        <x:v>Hurricane Katrina</x:v>
      </x:c>
      <x:c r="D84" s="30" t="str">
        <x:v>gao-06-442t.pdf</x:v>
      </x:c>
      <x:c r="E84" s="30" t="str">
        <x:v>p 24</x:v>
      </x:c>
      <x:c r="F84" s="30" t="str">
        <x:v>Expanded the cropped excerpt to the complete source paragraph</x:v>
      </x:c>
      <x:c r="G84" s="30" t="str">
        <x:v>Partial passage expanded to full paragraph</x:v>
      </x:c>
      <x:c r="H84" s="40" t="str">
        <x:v>High</x:v>
      </x:c>
      <x:c r="I84" s="40" t="str">
        <x:v>No</x:v>
      </x:c>
      <x:c r="J84" s="40" t="str">
        <x:v>No</x:v>
      </x:c>
      <x:c r="K84" s="30" t="str">
        <x:v>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L84" s="30" t="str">
        <x:v>Some of the changes that the government will need to prepare for catastrophic disasters are relatively inexpensive. Establishing more robust surveillance and warning mechanisms should build on existing systems, with communication of known information a key feature. Developing more detailed plans for ramping up from a “normal” disaster to a catastrophic disaster where warranted will impose additional costs. Providing the needed training to ensure the readiness of first responders and exercising the catastrophic disaster plans are much more costly endeavors, as well as increasing the quantity and quality of the federal government’s preparedness and response capabilities.</x:v>
      </x:c>
      <x:c r="M84" s="30" t="str">
        <x:v>Not unlearning as these seem additional capacity related.</x:v>
      </x:c>
      <x:c r="N84" s="30" t="str">
        <x:v>Not unlearning as these seem additional capacity related.</x:v>
      </x:c>
      <x:c r="O84" s="30" t="str">
        <x:v>HK-A067</x:v>
      </x:c>
      <x:c r="P84" s="30" t="str">
        <x:v>24:2:0;24:2:1;24:2:2;24:2:3;24:2:4;24:2:5;24:2:6;24:2:7;24:2:8;24:2:9</x:v>
      </x:c>
      <x:c r="Q84" s="40" t="str">
        <x:v>No</x:v>
      </x:c>
      <x:c r="R84" s="30"/>
    </x:row>
    <x:row r="85" ht="60" customHeight="1">
      <x:c r="A85" s="30" t="str">
        <x:v>HK-008</x:v>
      </x:c>
      <x:c r="B85" s="30" t="str">
        <x:v>HK-008</x:v>
      </x:c>
      <x:c r="C85" s="30" t="str">
        <x:v>Hurricane Katrina</x:v>
      </x:c>
      <x:c r="D85" s="30" t="str">
        <x:v>gao-06-442t.pdf</x:v>
      </x:c>
      <x:c r="E85" s="30" t="str">
        <x:v>p 37</x:v>
      </x:c>
      <x:c r="F85" s="30" t="str">
        <x:v>Aligned to the complete PyMuPDF source paragraph</x:v>
      </x:c>
      <x:c r="G85" s="30" t="str">
        <x:v>Exact full paragraph</x:v>
      </x:c>
      <x:c r="H85" s="40" t="str">
        <x:v>High</x:v>
      </x:c>
      <x:c r="I85" s="40" t="str">
        <x:v>Yes</x:v>
      </x:c>
      <x:c r="J85" s="40" t="str">
        <x:v>Yes</x:v>
      </x:c>
      <x:c r="K85" s="30"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L85" s="30" t="str">
        <x:v>The health care infrastructure in the New Orleans area, including emergency, hospital and clinic facilities, was significantly damaged by Hurricane Katrina. The city is struggling to restore some capacity to meet the immediate needs of the population currently there. Moreover, numerous decisions that will need to be made on how to rebuild the health care system. The decisions are complicated by several factors, including the need to improve efficiency by moving away from New Orleans hospital-centric system and uncertainty about how many people will return to New Orleans and where they will settle.</x:v>
      </x:c>
      <x:c r="M85" s="30" t="str">
        <x:v>This is unlearning as it identifies a problem in resettlement adn healthcare, and makes a cse for shifting away from hospital-centric system</x:v>
      </x:c>
      <x:c r="N85" s="30" t="str">
        <x:v>This is unlearning as it identifies a problem in resettlement adn healthcare, and makes a cse for shifting away from hospital-centric system</x:v>
      </x:c>
      <x:c r="O85" s="30" t="str">
        <x:v>HK-A113</x:v>
      </x:c>
      <x:c r="P85" s="30" t="str">
        <x:v>37:3:0;37:3:1;37:3:2;37:3:3;37:3:4;37:3:5;37:3:6;37:3:7;37:3:8</x:v>
      </x:c>
      <x:c r="Q85" s="40" t="str">
        <x:v>No</x:v>
      </x:c>
      <x:c r="R85" s="30"/>
    </x:row>
    <x:row r="86" ht="60" customHeight="1">
      <x:c r="A86" s="30" t="str">
        <x:v>HK-009</x:v>
      </x:c>
      <x:c r="B86" s="30" t="str">
        <x:v>HK-009</x:v>
      </x:c>
      <x:c r="C86" s="30" t="str">
        <x:v>Hurricane Katrina</x:v>
      </x:c>
      <x:c r="D86" s="30" t="str">
        <x:v>gao-06-442t.pdf</x:v>
      </x:c>
      <x:c r="E86" s="30" t="str">
        <x:v>p 39</x:v>
      </x:c>
      <x:c r="F86" s="30" t="str">
        <x:v>Aligned to the complete PyMuPDF source paragraph</x:v>
      </x:c>
      <x:c r="G86" s="30" t="str">
        <x:v>Exact full paragraph</x:v>
      </x:c>
      <x:c r="H86" s="40" t="str">
        <x:v>High</x:v>
      </x:c>
      <x:c r="I86" s="40" t="str">
        <x:v>Yes</x:v>
      </x:c>
      <x:c r="J86" s="40" t="str">
        <x:v>Yes</x:v>
      </x:c>
      <x:c r="K86" s="30"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L86" s="30" t="str">
        <x:v>Over the long term, building a new health care system will be vital to attract people back to New Orleans and ensure its recovery. State, local and federal governments all have important roles to play in the recovery process. At the state and local levels, commissions to plan for the future health care system have been established, and one has completed its work. The Bring New Orleans Back Commission issued recommendations shifting the focus, to the degree possible, toward ambulatory care, wellness and preventive medicine, health promotion and chronic disease prevention and away from institutional care; maintaining a university teaching hospital in New Orleans; and building capacity for electronic medical records. The commission also noted the difficulty of doing effective planning without reliable information on the population and what segments of the population will return. The Louisiana Recovery Authority included one task force dedicated to health care issues. The NRP also gives the Department of Health and Human Services a support role under long-term community recovery and mitigation to enable community recovery from the long-term consequences of a large-scale incident. We will be following HHS’ efforts to fulfill this role in the coming months.</x:v>
      </x:c>
      <x:c r="M86" s="30" t="str">
        <x:v>Unlearning as it idenfieis fundamental shift in healthcare practice toward preventative care</x:v>
      </x:c>
      <x:c r="N86" s="30" t="str">
        <x:v>Unlearning as it idenfieis fundamental shift in healthcare practice toward preventative care</x:v>
      </x:c>
      <x:c r="O86" s="30" t="str">
        <x:v>HK-A121</x:v>
      </x:c>
      <x:c r="P86" s="30" t="str">
        <x:v>39:2:11;39:2:12;39:2:13;39:2:14;39:2:15;39:2:16;39:2:17;39:2:18;39:2:19;39:2:20;39:2:21;39:2:22;39:2:23;39:2:24;39:2:25;39:2:26;39:2:27;39:2:28</x:v>
      </x:c>
      <x:c r="Q86" s="40" t="str">
        <x:v>No</x:v>
      </x:c>
      <x:c r="R86" s="30"/>
    </x:row>
    <x:row r="87" ht="60" customHeight="1">
      <x:c r="A87" s="30" t="str">
        <x:v>HK-010</x:v>
      </x:c>
      <x:c r="B87" s="30" t="str">
        <x:v>HK-010</x:v>
      </x:c>
      <x:c r="C87" s="30" t="str">
        <x:v>Hurricane Katrina</x:v>
      </x:c>
      <x:c r="D87" s="30" t="str">
        <x:v>gao-06-442t.pdf</x:v>
      </x:c>
      <x:c r="E87" s="30" t="str">
        <x:v>pp 21-22</x:v>
      </x:c>
      <x:c r="F87" s="30" t="str">
        <x:v>Expanded and merged the cross-page fragment into the complete source paragraph</x:v>
      </x:c>
      <x:c r="G87" s="30" t="str">
        <x:v>Partial passage expanded; cross-page paragraph reconstructed</x:v>
      </x:c>
      <x:c r="H87" s="40" t="str">
        <x:v>High</x:v>
      </x:c>
      <x:c r="I87" s="40" t="str">
        <x:v>No</x:v>
      </x:c>
      <x:c r="J87" s="40" t="str">
        <x:v>No</x:v>
      </x:c>
      <x:c r="K87" s="30" t="str">
        <x:v>“As was noted during a hearing before this committee, technological advances should provide the capability to prevent or significantly reduce “the fog of war” during a catastrophe. The secretary also has announced plans for better logistics and debris removal capabilities.”</x:v>
      </x:c>
      <x:c r="L87" s="30" t="str">
        <x:v>Secretary Chertoff has announced plans to emphasize several of these capabilities in the near term. For example, DHS will acquire a hardened set of communications capabilities, including equipment and specialized reconnaissance teams to improve awareness about conditions and events unfolding during a disaster. It was clear that DHS did not have adequate
situational awareness of how Hurricane Katrina-caused conditions were worsening and thus required additional federal response. As was noted during a hearing before this committee, technological advances should provide the capability to prevent or significantly reduce “the fog of war” during a catastrophe. The secretary also has announced plans for better logistics and debris removal capabilities.</x:v>
      </x:c>
      <x:c r="M87" s="30" t="str">
        <x:v>example of learning through better logistics and debris removal capabilities.</x:v>
      </x:c>
      <x:c r="N87" s="30" t="str">
        <x:v>example of learning through better logistics and debris removal capabilities.</x:v>
      </x:c>
      <x:c r="O87" s="30" t="str">
        <x:v>HK-A060</x:v>
      </x:c>
      <x:c r="P87" s="30" t="str">
        <x:v>21:5:0;21:5:1;21:5:2;21:5:3;21:5:4;22:2:0;22:2:1;22:2:2;22:2:3;22:2:4;22:2:5</x:v>
      </x:c>
      <x:c r="Q87" s="40" t="str">
        <x:v>Yes</x:v>
      </x:c>
      <x:c r="R87" s="30" t="str">
        <x:v>The source paragraph crosses pages 21-22; verify the reconstructed boundary if needed.</x:v>
      </x:c>
    </x:row>
    <x:row r="88" ht="60" customHeight="1">
      <x:c r="A88" s="30" t="str">
        <x:v>HK-011</x:v>
      </x:c>
      <x:c r="B88" s="30" t="str">
        <x:v>HK-011</x:v>
      </x:c>
      <x:c r="C88" s="30" t="str">
        <x:v>Hurricane Katrina</x:v>
      </x:c>
      <x:c r="D88" s="30" t="str">
        <x:v>gao-06-442t.pdf</x:v>
      </x:c>
      <x:c r="E88" s="30" t="str">
        <x:v>p 20</x:v>
      </x:c>
      <x:c r="F88" s="30" t="str">
        <x:v>Expanded the quotation-like fragment to the complete evacuation paragraph</x:v>
      </x:c>
      <x:c r="G88" s="30" t="str">
        <x:v>Partial passage expanded to full paragraph</x:v>
      </x:c>
      <x:c r="H88" s="40" t="str">
        <x:v>High</x:v>
      </x:c>
      <x:c r="I88" s="40" t="str">
        <x:v>No</x:v>
      </x:c>
      <x:c r="J88" s="40" t="str">
        <x:v>No</x:v>
      </x:c>
      <x:c r="K88" s="30" t="str">
        <x:v>“For example, although the National Disaster Medical System (NDMS) is a mechanism through which the federal government can provide assistance with patient evacuations, NDMS has agreements with hospitals only and does not address the needs of nursing homes.”</x:v>
      </x:c>
      <x:c r="L88" s="30" t="str">
        <x:v>Evacuation: This capability involves evacuation to areas of safe refuge in response to a potential or actual dangerous environment. Our early work indicated that some evacuations were considered successful, but others encountered serious challenges, including evacuating special needs populations. Evacuating those in hospitals and nursing homes due to Hurricane Katrina posed a special challenge. For example, although the National Disaster Medical System (NDMS) is a mechanism through which the federal government can provide assistance with patient evacuations, NDMS has agreements with hospitals only and does not address the needs of nursing homes.</x:v>
      </x:c>
      <x:c r="M88" s="30" t="str">
        <x:v>It aims to add nursing homes to the medical system but the underlying logic of the NDMS</x:v>
      </x:c>
      <x:c r="N88" s="30" t="str">
        <x:v>It aims to add nursing homes to the medical system but the underlying logic of the NDMS</x:v>
      </x:c>
      <x:c r="O88" s="30" t="str">
        <x:v>HK-A054</x:v>
      </x:c>
      <x:c r="P88" s="30" t="str">
        <x:v>20:3:0;20:3:1;20:3:2;20:3:3;20:3:4;20:3:5;20:3:6;20:3:7;20:3:8;20:3:9</x:v>
      </x:c>
      <x:c r="Q88" s="40" t="str">
        <x:v>No</x:v>
      </x:c>
      <x:c r="R88" s="30"/>
    </x:row>
    <x:row r="89" ht="60" customHeight="1">
      <x:c r="A89" s="30" t="str">
        <x:v>PAR-001</x:v>
      </x:c>
      <x:c r="B89" s="30" t="str">
        <x:v>PAR-001</x:v>
      </x:c>
      <x:c r="C89" s="30" t="str">
        <x:v>PAR</x:v>
      </x:c>
      <x:c r="D89" s="30" t="str">
        <x:v>Public Administration Review - 2010 - McGuire - What if Hurricane Katrina Hit in 2020  The Need for Strategic Management of.pdf</x:v>
      </x:c>
      <x:c r="E89" s="30" t="str">
        <x:v>p 3</x:v>
      </x:c>
      <x:c r="F89" s="30" t="str">
        <x:v>Aligned to the complete source paragraph and repaired PDF ligature artifacts</x:v>
      </x:c>
      <x:c r="G89" s="30" t="str">
        <x:v>Exact full paragraph; ligatures normalized</x:v>
      </x:c>
      <x:c r="H89" s="40" t="str">
        <x:v>High</x:v>
      </x:c>
      <x:c r="I89" s="40" t="str">
        <x:v>Yes</x:v>
      </x:c>
      <x:c r="J89" s="40" t="str">
        <x:v>Yes</x:v>
      </x:c>
      <x:c r="K89" s="30" t="str">
        <x:v>At the time of Hurricane Katrina, the NRP was in place yet remained largely untested. It had been used for smaller emergencies prior to Katrina, but the hurricane marked the fi rst time the NRP was used for a catastrophic event. Complicating matters further, FEMA headquarters and its 10 regions diff 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 ict among regions and even between managers within a FEMA region and at headquarters occurred frequently (Olasky 2006; Sylves 2006).</x:v>
      </x:c>
      <x:c r="L89" s="30" t="str">
        <x:v>At the time of Hurricane Katrina, the NRP was in place yet remained largely untested. It had been used for smaller emergencies prior to Katrina, but the hurricane marked the first time the NRP was used for a catastrophic event. Complicating matters further, FEMA headquarters and its 10 regions differed in their philosophies and cultures. Headquarters was responsible for setting policy, but each region was responsible for interpreting and implementing that policy. With political appointees heading up each FEMA region as well as headquarters, and FEMA overall weakened by its absorption into the Department of Homeland Security, regional administrators felt free to act independently, and to rely on their own judgment and that of the states and locals within their region. Conflict among regions and even between managers within a FEMA region and at headquarters occurred frequently (Olasky 2006; Sylves 2006).</x:v>
      </x:c>
      <x:c r="M89" s="30" t="str">
        <x:v>It identifies NRP as a specific plan that didn't work as well as conflict among regions. It asks for discontinuous change but implicitly.</x:v>
      </x:c>
      <x:c r="N89" s="30" t="str">
        <x:v>It identifies NRP as a specific plan that didn't work as well as conflict among regions. It asks for discontinuous change but implicitly.</x:v>
      </x:c>
      <x:c r="O89" s="30" t="str">
        <x:v>PAR-A011</x:v>
      </x:c>
      <x:c r="P89" s="30" t="str">
        <x:v>3:7</x:v>
      </x:c>
      <x:c r="Q89" s="40" t="str">
        <x:v>No</x:v>
      </x:c>
      <x:c r="R89" s="30"/>
    </x:row>
    <x:row r="90" ht="60" customHeight="1">
      <x:c r="A90" s="30" t="str">
        <x:v>PAR-002</x:v>
      </x:c>
      <x:c r="B90" s="30" t="str">
        <x:v>PAR-002</x:v>
      </x:c>
      <x:c r="C90" s="30" t="str">
        <x:v>PAR</x:v>
      </x:c>
      <x:c r="D90" s="30" t="str">
        <x:v>Public Administration Review - 2010 - McGuire - What if Hurricane Katrina Hit in 2020  The Need for Strategic Management of.pdf</x:v>
      </x:c>
      <x:c r="E90" s="30" t="str">
        <x:v>p 3</x:v>
      </x:c>
      <x:c r="F90" s="30" t="str">
        <x:v>Aligned to the complete source paragraph and repaired PDF ligature artifacts</x:v>
      </x:c>
      <x:c r="G90" s="30" t="str">
        <x:v>Exact full paragraph; ligatures normalized</x:v>
      </x:c>
      <x:c r="H90" s="40" t="str">
        <x:v>High</x:v>
      </x:c>
      <x:c r="I90" s="40" t="str">
        <x:v>Yes</x:v>
      </x:c>
      <x:c r="J90" s="40" t="str">
        <x:v>Yes</x:v>
      </x:c>
      <x:c r="K90" s="30" t="str">
        <x:v>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 ective bureaucratic agencies are characterized by well-established procedures, eff ective leadership, and clear objectives. An early assessment suggests that problems associated with all three of these bureaucratic characteristics weakened governmental eff orts to respond quickly and eff 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 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 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x:v>
      </x:c>
      <x:c r="L90" s="30" t="str">
        <x:v>It is hardly a surprise, then, that preparation for and the response to Hurricane Katrina resulted in failure. Shortly after the storm struck, Sandra Schneider asserts, “some of the major problems encountered during the response to Katrina stemmed from breakdowns in the administrative elements of the governmental emergency management system. Effective bureaucratic agencies are characterized by well-established procedures, effective leadership, and clear objectives. An early assessment suggests that problems associated with all three of these bureaucratic characteristics weakened governmental efforts to respond quickly and effectively” (2005, 515). State and local governments in Louisiana and Mississippi were simply overwhelmed following Hurricane Katrina. Failures and subsequent recommendations by the federal government are documented in reports issued by the U.S. House of Representatives, the U.S. Senate, and the White House, the last of which focused on the federal administrative response and offered a total of 125 recommendations in a multitude of areas, including review and revision of the NRP; increased involvement of the private sector and other nongovernmental organizations; the education and empowerment of citizens; and further integration and coordination of federal, state, and local efforts (U.S. House 2006; U.S. Senate 2006; White House 2006). However, little attention was given to strategic thinking and acting, and how incorporating strategic issues management into the bureaucratic process as well as intergovernmental coordination and collaboration might improve the management of future catastrophes.</x:v>
      </x:c>
      <x:c r="M90" s="30" t="str">
        <x:v>Identifies lack of strategic management, coordination and collaboration as failures requiring discontinuous reform.</x:v>
      </x:c>
      <x:c r="N90" s="30" t="str">
        <x:v>Identifies lack of strategic management, coordination and collaboration as failures requiring discontinuous reform.</x:v>
      </x:c>
      <x:c r="O90" s="30" t="str">
        <x:v>PAR-A012</x:v>
      </x:c>
      <x:c r="P90" s="30" t="str">
        <x:v>3:8</x:v>
      </x:c>
      <x:c r="Q90" s="40" t="str">
        <x:v>No</x:v>
      </x:c>
      <x:c r="R90" s="30"/>
    </x:row>
    <x:row r="91" ht="60" customHeight="1">
      <x:c r="A91" s="30" t="str">
        <x:v>PAR-003</x:v>
      </x:c>
      <x:c r="B91" s="30" t="str">
        <x:v>PAR-003</x:v>
      </x:c>
      <x:c r="C91" s="30" t="str">
        <x:v>PAR</x:v>
      </x:c>
      <x:c r="D91" s="30" t="str">
        <x:v>Public Administration Review - 2010 - McGuire - What if Hurricane Katrina Hit in 2020  The Need for Strategic Management of.pdf</x:v>
      </x:c>
      <x:c r="E91" s="30" t="str">
        <x:v>p 3</x:v>
      </x:c>
      <x:c r="F91" s="30" t="str">
        <x:v>Aligned to the complete source paragraph and repaired PDF ligature artifacts</x:v>
      </x:c>
      <x:c r="G91" s="30" t="str">
        <x:v>Exact full paragraph; ligatures normalized</x:v>
      </x:c>
      <x:c r="H91" s="40" t="str">
        <x:v>High</x:v>
      </x:c>
      <x:c r="I91" s="40" t="str">
        <x:v>Yes</x:v>
      </x:c>
      <x:c r="J91" s="40" t="str">
        <x:v>Yes</x:v>
      </x:c>
      <x:c r="K91" s="30" t="str">
        <x:v>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 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 ective strategic management of disasters necessarily must focus on all issues and phases.</x:v>
      </x:c>
      <x:c r="L91" s="30" t="str">
        <x:v>The use of strategic issues management, which addresses the primary strategic concerns of an organization or organizational system, is important in emergency management because of the occurrence of unexpected and surprise events. Koteen (1997) argues that the criteria for identifying strategic issues include assessing (1) the current or potential impact on organizational performance, (2) the perceived urgency in significant consequences, and (3) the impact or interdependency with other issues. For more than three decades, emergency management has been described in terms of a comprehensive, systems-based approach to activities comprising four management phases: mitigation, planning and preparedness, response, and recovery. However, most of the academic and popular literature has focused on one phase—emergency response— even as Hurricane Katrina exposed weaknesses in mitigation and recovery. Effective strategic management of disasters necessarily must focus on all issues and phases.</x:v>
      </x:c>
      <x:c r="M91" s="30" t="str">
        <x:v>It clearly reject excessive focus on one phase of emergency mgmt and calls for focus on others.</x:v>
      </x:c>
      <x:c r="N91" s="30" t="str">
        <x:v>It clearly reject excessive focus on one phase of emergency mgmt and calls for focus on others.</x:v>
      </x:c>
      <x:c r="O91" s="30" t="str">
        <x:v>PAR-A013</x:v>
      </x:c>
      <x:c r="P91" s="30" t="str">
        <x:v>3:9;3:1</x:v>
      </x:c>
      <x:c r="Q91" s="40" t="str">
        <x:v>No</x:v>
      </x:c>
      <x:c r="R91" s="30"/>
    </x:row>
    <x:row r="92" ht="60" customHeight="1">
      <x:c r="A92" s="30" t="str">
        <x:v>PAR-004</x:v>
      </x:c>
      <x:c r="B92" s="30" t="str">
        <x:v>PAR-004</x:v>
      </x:c>
      <x:c r="C92" s="30" t="str">
        <x:v>PAR</x:v>
      </x:c>
      <x:c r="D92" s="30" t="str">
        <x:v>Public Administration Review - 2010 - McGuire - What if Hurricane Katrina Hit in 2020  The Need for Strategic Management of.pdf</x:v>
      </x:c>
      <x:c r="E92" s="30" t="str">
        <x:v>p 3</x:v>
      </x:c>
      <x:c r="F92" s="30" t="str">
        <x:v>Aligned to the complete source paragraph and repaired PDF ligature artifacts</x:v>
      </x:c>
      <x:c r="G92" s="30" t="str">
        <x:v>Exact full paragraph; ligatures normalized</x:v>
      </x:c>
      <x:c r="H92" s="40" t="str">
        <x:v>High</x:v>
      </x:c>
      <x:c r="I92" s="40" t="str">
        <x:v>Yes</x:v>
      </x:c>
      <x:c r="J92" s="40" t="str">
        <x:v>Yes</x:v>
      </x:c>
      <x:c r="K92" s="30" t="str">
        <x:v>Historically, major hurricanes have left in their wake fresh congressional enactments that enlarged the federal role in disaster response, and Katrina was no diff erent. One of the fi rst major casualties of the emergency management infrastructure overhaul was the National Response Plan. It was deemed diffi cult to understand and implement; at more than 400 pages, overly complicated and bureaucratic; and generally confusing (Birkland and Waterman 2008). Its development had eff ectively excluded the participation of nonfederal stakeholders, such as states and localities, and suff ered from limited comment periods for all parties, including federal partners and the public.</x:v>
      </x:c>
      <x:c r="L92" s="30" t="str">
        <x:v>Historically, major hurricanes have left in their wake fresh congressional enactments that enlarged the federal role in disaster response, and Katrina was no different. One of the first major casualties of the emergency management infrastructure overhaul was the National Response Plan. It was deemed difficult to understand and implement; at more than 400 pages, overly complicated and bureaucratic; and generally confusing (Birkland and Waterman 2008). Its development had effectively excluded the participation of nonfederal stakeholders, such as states and localities, and suffered from limited comment periods for all parties, including federal partners and the public.</x:v>
      </x:c>
      <x:c r="M92" s="30" t="str">
        <x:v>Identifies national response plan as problematic and long and indicates subtraction/consciness. Rejects govt led approach for more collaborataive approach.</x:v>
      </x:c>
      <x:c r="N92" s="30" t="str">
        <x:v>Identifies national response plan as problematic and long and indicates subtraction/consciness. Rejects govt led approach for more collaborataive approach.</x:v>
      </x:c>
      <x:c r="O92" s="30" t="str">
        <x:v>PAR-A014</x:v>
      </x:c>
      <x:c r="P92" s="30" t="str">
        <x:v>3:2</x:v>
      </x:c>
      <x:c r="Q92" s="40" t="str">
        <x:v>No</x:v>
      </x:c>
      <x:c r="R92" s="30"/>
    </x:row>
    <x:row r="93" ht="60" customHeight="1">
      <x:c r="A93" s="30" t="str">
        <x:v>PAR-005</x:v>
      </x:c>
      <x:c r="B93" s="30" t="str">
        <x:v>PAR-005</x:v>
      </x:c>
      <x:c r="C93" s="30" t="str">
        <x:v>PAR</x:v>
      </x:c>
      <x:c r="D93" s="30" t="str">
        <x:v>Public Administration Review - 2010 - McGuire - What if Hurricane Katrina Hit in 2020  The Need for Strategic Management of.pdf</x:v>
      </x:c>
      <x:c r="E93" s="30" t="str">
        <x:v>p 3</x:v>
      </x:c>
      <x:c r="F93" s="30" t="str">
        <x:v>Aligned to the complete source paragraph and repaired PDF ligature artifacts</x:v>
      </x:c>
      <x:c r="G93" s="30" t="str">
        <x:v>Exact full paragraph; ligatures normalized</x:v>
      </x:c>
      <x:c r="H93" s="40" t="str">
        <x:v>High</x:v>
      </x:c>
      <x:c r="I93" s="40" t="str">
        <x:v>Yes</x:v>
      </x:c>
      <x:c r="J93" s="40" t="str">
        <x:v>Yes</x:v>
      </x:c>
      <x:c r="K93" s="30" t="str">
        <x:v>In response to the post-Katrina legislation and perceived problems with the implementation of the NRP, the Department of Homeland Security substantially revised the plan, with more involvement from stakeholders, and reissued it in 2008 as the National Response Framework. In its fi nal form, the National Response Framework is part of an overall national strategy for homeland security, attempting to build adaptability and fl exibility into response eff orts by setting up a general framework rather than a specifi c prescription. Its intent is to provide the doctrine and guiding principles for a unifi ed response at all levels of government for all types of hazards, but to give users some latitude as to how they choose to respond.</x:v>
      </x:c>
      <x:c r="L93" s="30" t="str">
        <x:v>In response to the post-Katrina legislation and perceived problems with the implementation of the NRP, the Department of Homeland Security substantially revised the plan, with more involvement from stakeholders, and reissued it in 2008 as the National Response Framework. In its final form, the National Response Framework is part of an overall national strategy for homeland security, attempting to build adaptability and flexibility into response efforts by setting up a general framework rather than a specific prescription. Its intent is to provide the doctrine and guiding principles for a unified response at all levels of government for all types of hazards, but to give users some latitude as to how they choose to respond.</x:v>
      </x:c>
      <x:c r="M93" s="30" t="str">
        <x:v>Prior framework identified as problematic; deliberate revision and replacement with a new framework.</x:v>
      </x:c>
      <x:c r="N93" s="30" t="str">
        <x:v>Prior framework identified as problematic; deliberate revision and replacement with a new framework.</x:v>
      </x:c>
      <x:c r="O93" s="30" t="str">
        <x:v>PAR-A015</x:v>
      </x:c>
      <x:c r="P93" s="30" t="str">
        <x:v>3:3</x:v>
      </x:c>
      <x:c r="Q93" s="40" t="str">
        <x:v>No</x:v>
      </x:c>
      <x:c r="R93" s="30"/>
    </x:row>
    <x:row r="94" ht="60" customHeight="1">
      <x:c r="A94" s="30" t="str">
        <x:v>PAR-006</x:v>
      </x:c>
      <x:c r="B94" s="30" t="str">
        <x:v>PAR-006</x:v>
      </x:c>
      <x:c r="C94" s="30" t="str">
        <x:v>PAR</x:v>
      </x:c>
      <x:c r="D94" s="30" t="str">
        <x:v>Public Administration Review - 2010 - McGuire - What if Hurricane Katrina Hit in 2020  The Need for Strategic Management of.pdf</x:v>
      </x:c>
      <x:c r="E94" s="30" t="str">
        <x:v>p 4</x:v>
      </x:c>
      <x:c r="F94" s="30" t="str">
        <x:v>Aligned to the complete source paragraph and repaired PDF ligature artifacts</x:v>
      </x:c>
      <x:c r="G94" s="30" t="str">
        <x:v>Exact full paragraph; ligatures normalized</x:v>
      </x:c>
      <x:c r="H94" s="40" t="str">
        <x:v>High</x:v>
      </x:c>
      <x:c r="I94" s="40" t="str">
        <x:v>Yes</x:v>
      </x:c>
      <x:c r="J94" s="40" t="str">
        <x:v>Yes</x:v>
      </x:c>
      <x:c r="K94" s="30" t="str">
        <x:v>While the National Response Plan was justifi ably deemed a failure and new general frameworks for response and recovery have been developed, many nongovernmental, street-level actors such as nonprofi t agencies and social service organizations desire a strategic playbook of sorts based on past experience and designed to clarify expected actions during response and recovery. Th is desire for a stepby-step guide refl 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 lls specifi c leadership and complementary roles. Th e frameworks guiding FEMA assume that federal, state, and local entities communicate and coordinate, and that localities establish and support over time the relationships, connectedness, and coordination essential for successful response and recovery. Th ese assumptions belie the actual state of strategic capacity</x:v>
      </x:c>
      <x:c r="L94" s="30" t="str">
        <x:v>While the National Response Plan was justifiably deemed a failure and new general frameworks for response and recovery have been developed, many nongovernmental, street-level actors such as nonprofit agencies and social service organizations desire a strategic playbook of sorts based on past experience and designed to clarify expected actions during response and recovery. This desire for a stepby-step guide reflects (1) a failure of attention by local government planners to properly and thoroughly elucidate those involved, why, and how; (2) a gap in the extent to which learning occurs across and within communities that experience disasters; and (3) a need for street-level actors to know who in real time fulfills specific leadership and complementary roles. The frameworks guiding FEMA assume that federal, state, and local entities communicate and coordinate, and that localities establish and support over time the relationships, connectedness, and coordination essential for successful response and recovery. These assumptions belie the actual state of strategic capacity.</x:v>
      </x:c>
      <x:c r="M94" s="30" t="str">
        <x:v>It identifies a clear fault in NRP and assumptions around stakeholder communication, capacity and responsibility. It asks for a change in thinking of strategic capacity.</x:v>
      </x:c>
      <x:c r="N94" s="30" t="str">
        <x:v>It identifies a clear fault in NRP and assumptions around stakeholder communication, capacity and responsibility. It asks for a change in thinking of strategic capacity.</x:v>
      </x:c>
      <x:c r="O94" s="30" t="str">
        <x:v>PAR-A018</x:v>
      </x:c>
      <x:c r="P94" s="30" t="str">
        <x:v>4:7</x:v>
      </x:c>
      <x:c r="Q94" s="40" t="str">
        <x:v>No</x:v>
      </x:c>
      <x:c r="R94" s="30"/>
    </x:row>
    <x:row r="95" ht="60" customHeight="1">
      <x:c r="A95" s="30" t="str">
        <x:v>PAR-007</x:v>
      </x:c>
      <x:c r="B95" s="30" t="str">
        <x:v>PAR-007</x:v>
      </x:c>
      <x:c r="C95" s="30" t="str">
        <x:v>PAR</x:v>
      </x:c>
      <x:c r="D95" s="30" t="str">
        <x:v>Public Administration Review - 2010 - McGuire - What if Hurricane Katrina Hit in 2020  The Need for Strategic Management of.pdf</x:v>
      </x:c>
      <x:c r="E95" s="30" t="str">
        <x:v>p 4</x:v>
      </x:c>
      <x:c r="F95" s="30" t="str">
        <x:v>Aligned to the complete source paragraph and repaired PDF ligature artifacts</x:v>
      </x:c>
      <x:c r="G95" s="30" t="str">
        <x:v>Exact full paragraph; ligatures normalized</x:v>
      </x:c>
      <x:c r="H95" s="40" t="str">
        <x:v>High</x:v>
      </x:c>
      <x:c r="I95" s="40" t="str">
        <x:v>Yes</x:v>
      </x:c>
      <x:c r="J95" s="40" t="str">
        <x:v>Yes</x:v>
      </x:c>
      <x:c r="K95" s="30" t="str">
        <x:v>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 us, a necessary but sometimes diffi cult balance, the merging of hierarchy and collaborative networks, is present in emergency management.</x:v>
      </x:c>
      <x:c r="L95" s="30" t="str">
        <x:v>However, the need to strategically manage actors within a networked framework suggests a fundamental tension between topdown, command and control management and more externally oriented bottom-up or lateral strategies (Harrald 2006). As current FEMA administrator Craig Fugate asserts, “[Emergency managers] who get into this business and think that [their] job is to take charge, lead the response, and tell everybody how to do their jobs get very frustrated and don’t last very long” (Pastula 2010). Thus, a necessary but sometimes difficult balance, the merging of hierarchy and collaborative networks, is present in emergency management.</x:v>
      </x:c>
      <x:c r="M95" s="30" t="str">
        <x:v>It calls for abandoning or at least reforming top-down management for a more balanced and collborative networked approach.</x:v>
      </x:c>
      <x:c r="N95" s="30" t="str">
        <x:v>It calls for abandoning or at least reforming top-down management for a more balanced and collborative networked approach.</x:v>
      </x:c>
      <x:c r="O95" s="30" t="str">
        <x:v>PAR-A022</x:v>
      </x:c>
      <x:c r="P95" s="30" t="str">
        <x:v>4:3</x:v>
      </x:c>
      <x:c r="Q95" s="40" t="str">
        <x:v>No</x:v>
      </x:c>
      <x:c r="R95" s="30"/>
    </x:row>
    <x:row r="96" ht="60" customHeight="1">
      <x:c r="A96" s="30" t="str">
        <x:v>PAR-008</x:v>
      </x:c>
      <x:c r="B96" s="30" t="str">
        <x:v>PAR-008</x:v>
      </x:c>
      <x:c r="C96" s="30" t="str">
        <x:v>PAR</x:v>
      </x:c>
      <x:c r="D96" s="30" t="str">
        <x:v>Public Administration Review - 2010 - McGuire - What if Hurricane Katrina Hit in 2020  The Need for Strategic Management of.pdf</x:v>
      </x:c>
      <x:c r="E96" s="30" t="str">
        <x:v>p 5</x:v>
      </x:c>
      <x:c r="F96" s="30" t="str">
        <x:v>Split the two-paragraph parent span; grouped the lead-in with its displayed quotation as one list/quotation unit</x:v>
      </x:c>
      <x:c r="G96" s="30" t="str">
        <x:v>Parent span split to source quotation unit</x:v>
      </x:c>
      <x:c r="H96" s="40" t="str">
        <x:v>High</x:v>
      </x:c>
      <x:c r="I96" s="40" t="str">
        <x:v>Yes</x:v>
      </x:c>
      <x:c r="J96" s="40" t="str">
        <x:v>Yes</x:v>
      </x:c>
      <x:c r="K96" s="30" t="str">
        <x:v>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x:v>
      </x:c>
      <x:c r="L96" s="30" t="str">
        <x:v>There are countless opportunities to improve the different aspects of emergency management. For example, managers are finding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[R]esidents should be urged to register at the site... with specific information including name, address, number of family members evacuating and the city where family is planning to evacuate to. Based on the collected information, [a] city can determine how many people evacuated and how many still remain in the city. The information system can be used to generate statistical reports to show the pattern of evacuation and city to which [the] majority of people will evacuate. (Banipal 2006, 491)</x:v>
      </x:c>
      <x:c r="M96" s="30" t="str">
        <x:v>This points technology related unlearning. The earlier assumption that needs to be abandoned is that gis related tools is widley accessible and usable than before. Also, abandoning the assumption that externally oriented mgmt and networkign and collaboration is a soft skill.</x:v>
      </x:c>
      <x:c r="N96" s="30" t="str">
        <x:v>The passage rejects treating network collaboration as merely a soft skill and replaces that assumption with information-technology-enabled management, including an evacuation-registration example.</x:v>
      </x:c>
      <x:c r="O96" s="30" t="str">
        <x:v>PAR-A025</x:v>
      </x:c>
      <x:c r="P96" s="30" t="str">
        <x:v>5:7;5:8</x:v>
      </x:c>
      <x:c r="Q96" s="40" t="str">
        <x:v>Yes</x:v>
      </x:c>
      <x:c r="R96" s="30" t="str">
        <x:v>The positive label is derived from the human-labeled parent span and depends on the old-versus-new 'soft skill' contrast; confirm during team adjudication.</x:v>
      </x:c>
    </x:row>
    <x:row r="97" ht="60" customHeight="1">
      <x:c r="A97" s="30" t="str">
        <x:v>PAR-008</x:v>
      </x:c>
      <x:c r="B97" s="30" t="str">
        <x:v>PAR-009</x:v>
      </x:c>
      <x:c r="C97" s="30" t="str">
        <x:v>PAR</x:v>
      </x:c>
      <x:c r="D97" s="30" t="str">
        <x:v>Public Administration Review - 2010 - McGuire - What if Hurricane Katrina Hit in 2020  The Need for Strategic Management of.pdf</x:v>
      </x:c>
      <x:c r="E97" s="30" t="str">
        <x:v>p 5</x:v>
      </x:c>
      <x:c r="F97" s="30" t="str">
        <x:v>Split the two-paragraph parent span; retained the GIS/supply-chain paragraph as a separate positive row</x:v>
      </x:c>
      <x:c r="G97" s="30" t="str">
        <x:v>Parent span split to source paragraph</x:v>
      </x:c>
      <x:c r="H97" s="40" t="str">
        <x:v>High</x:v>
      </x:c>
      <x:c r="I97" s="40" t="str">
        <x:v>Yes</x:v>
      </x:c>
      <x:c r="J97" s="40" t="str">
        <x:v>Yes</x:v>
      </x:c>
      <x:c r="K97" s="30" t="str">
        <x:v>Th ere are countless opportunities to improve the diff erent aspects of emergency management. For example, managers are fi nding that externally oriented management through networks and collaboration is not just a “soft” skill; it can also be facilitated by the innovative use of information technology. As Banipal demonstrates, integrated information management systems can impact and improve upon virtually all aspects of disaster response and recovery, “such as loss data accuracy, operational complexity reduction, purchasing and distribution of supplies, enhanced inter-agency communication and cooperation” (2006, 491). A relational database used to store and retrieve information can be used for various applications. For example, during an evacuation process, A system similar to this could also be used for supply chain management, such as identifying the emergency resources needed at specifi c locations and the critical facilities within the supply chain (Hale and Moberg 2005).
FEMA administrator Fugate noted that “[i]t used to be that you needed a sophisticated GIS lab to do good mapping, incorporate satellite imagery and all that other stuff . Now you have so many products out there for the average person that you’re putting tools in the hands of responders that in many cases they never had access to. Th ey can bring in data layers and real-time data from various sources and look at it in a GIS environment without needing a GIS shop to produce that” (Pastula 2010).</x:v>
      </x:c>
      <x:c r="L97" s="30" t="str">
        <x:v>A system similar to this could also be used for supply chain management, such as identifying the emergency resources needed at specific locations and the critical facilities within the supply chain (Hale and Moberg 2005). FEMA administrator Fugate noted that “[i]t used to be that you needed a sophisticated GIS lab to do good mapping, incorporate satellite imagery and all that other stuff. Now you have so many products out there for the average person that you’re putting tools in the hands of responders that in many cases they never had access to. They can bring in data layers and real-time data from various sources and look at it in a GIS environment without needing a GIS shop to produce that” (Pastula 2010).</x:v>
      </x:c>
      <x:c r="M97" s="30" t="str">
        <x:v>This points technology related unlearning. The earlier assumption that needs to be abandoned is that gis related tools is widley accessible and usable than before. Also, abandoning the assumption that externally oriented mgmt and networkign and collaboration is a soft skill.</x:v>
      </x:c>
      <x:c r="N97" s="30" t="str">
        <x:v>The paragraph contrasts the prior need for a specialized GIS laboratory with tools now accessible to ordinary responders and extends that changed technical assumption to supply-chain management.</x:v>
      </x:c>
      <x:c r="O97" s="30" t="str">
        <x:v>PAR-A026</x:v>
      </x:c>
      <x:c r="P97" s="30" t="str">
        <x:v>5:9</x:v>
      </x:c>
      <x:c r="Q97" s="40" t="str">
        <x:v>Yes</x:v>
      </x:c>
      <x:c r="R97" s="30" t="str">
        <x:v>The change is framed as a technology-accessibility shift rather than an explicit policy recommendation; confirm during team adjudication.</x:v>
      </x:c>
    </x:row>
  </x:sheetData>
  <x:mergeCells>
    <x:mergeCell ref="A1:R1"/>
    <x:mergeCell ref="K3:R9"/>
  </x:mergeCells>
  <x:conditionalFormatting sqref="J14:J97">
    <x:cfRule type="expression" dxfId="7" priority="1">
      <x:formula>J14="Yes"</x:formula>
    </x:cfRule>
    <x:cfRule type="expression" dxfId="8" priority="2">
      <x:formula>J14="No"</x:formula>
    </x:cfRule>
  </x:conditionalFormatting>
  <x:conditionalFormatting sqref="Q14:Q97">
    <x:cfRule type="expression" dxfId="9" priority="3">
      <x:formula>Q14="Yes"</x:formula>
    </x:cfRule>
  </x:conditionalFormatting>
  <x:conditionalFormatting sqref="H14:H97">
    <x:cfRule type="expression" dxfId="10" priority="4">
      <x:formula>H14="Unverified"</x:formula>
    </x:cfRule>
    <x:cfRule type="expression" dxfId="11" priority="5">
      <x:formula>H14="Medium"</x:formula>
    </x:cfRule>
  </x:conditionalFormatting>
  <x:pageMargins left="0.7" right="0.7" top="0.75" bottom="0.75" header="0.3" footer="0.3"/>
  <x:tableParts count="1">
    <x:tablePart xmlns:r="http://schemas.openxmlformats.org/officeDocument/2006/relationships" r:id="Rdc8b8a3ae3254932"/>
  </x:tableParts>
</x:worksheet>
</file>
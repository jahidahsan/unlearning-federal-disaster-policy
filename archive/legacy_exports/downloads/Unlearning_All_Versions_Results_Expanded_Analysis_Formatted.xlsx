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drawings/drawing3.xml" ContentType="application/vnd.openxmlformats-officedocument.drawing+xml"/>
  <Override PartName="/xl/tables/table5.xml" ContentType="application/vnd.openxmlformats-officedocument.spreadsheetml.table+xml"/>
  <Override PartName="/xl/charts/chart4.xml" ContentType="application/vnd.openxmlformats-officedocument.drawingml.chart+xml"/>
  <Override PartName="/xl/drawings/drawing4.xml" ContentType="application/vnd.openxmlformats-officedocument.drawing+xml"/>
  <Override PartName="/xl/tables/table6.xml" ContentType="application/vnd.openxmlformats-officedocument.spreadsheetml.table+xml"/>
  <Override PartName="/xl/charts/chart5.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6.xml" ContentType="application/vnd.openxmlformats-officedocument.drawingml.chart+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harts/chart7.xml" ContentType="application/vnd.openxmlformats-officedocument.drawingml.chart+xml"/>
  <Override PartName="/xl/drawings/drawing7.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8_{1F0518B9-8B49-4BD3-8EEC-A14FE988FCB4}" xr6:coauthVersionLast="47" xr6:coauthVersionMax="47" xr10:uidLastSave="{00000000-0000-0000-0000-000000000000}"/>
  <bookViews>
    <workbookView xWindow="-110" yWindow="-110" windowWidth="22780" windowHeight="14540" activeTab="1" xr2:uid="{00000000-000D-0000-FFFF-FFFF00000000}"/>
  </bookViews>
  <sheets>
    <sheet name="00 README" sheetId="1" r:id="rId1"/>
    <sheet name="Dashboard" sheetId="2" r:id="rId2"/>
    <sheet name="Version Overview" sheetId="3" r:id="rId3"/>
    <sheet name="v2 Early Pilot" sheetId="4" r:id="rId4"/>
    <sheet name="v3 Prompt Parity" sheetId="5" r:id="rId5"/>
    <sheet name="v4 Model Grid" sheetId="6" r:id="rId6"/>
    <sheet name="v5 Mixed Benchmark" sheetId="7" r:id="rId7"/>
    <sheet name="v6 Local Context" sheetId="8" r:id="rId8"/>
    <sheet name="Cleaned Benchmark" sheetId="9" r:id="rId9"/>
    <sheet name="Reliability" sheetId="10" r:id="rId10"/>
    <sheet name="Production Run" sheetId="11" r:id="rId11"/>
    <sheet name="Codebook Comparison" sheetId="12" r:id="rId12"/>
    <sheet name="Metric Guide &amp; Insights" sheetId="13" r:id="rId13"/>
    <sheet name="Sources"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9" l="1"/>
  <c r="S6" i="9" s="1"/>
  <c r="D21" i="9"/>
  <c r="R6" i="9" s="1"/>
  <c r="O17" i="9"/>
  <c r="M17" i="9"/>
  <c r="L17" i="9"/>
  <c r="K17" i="9"/>
  <c r="N17" i="9" s="1"/>
  <c r="J17" i="9"/>
  <c r="I17" i="9"/>
  <c r="O16" i="9"/>
  <c r="F21" i="9" s="1"/>
  <c r="N16" i="9"/>
  <c r="M16" i="9"/>
  <c r="L16" i="9"/>
  <c r="K16" i="9"/>
  <c r="J16" i="9"/>
  <c r="I16" i="9"/>
  <c r="O15" i="9"/>
  <c r="N15" i="9"/>
  <c r="M15" i="9"/>
  <c r="L15" i="9"/>
  <c r="K15" i="9"/>
  <c r="J15" i="9"/>
  <c r="I15" i="9"/>
  <c r="O14" i="9"/>
  <c r="M14" i="9"/>
  <c r="L14" i="9"/>
  <c r="N14" i="9" s="1"/>
  <c r="K14" i="9"/>
  <c r="J14" i="9"/>
  <c r="I14" i="9"/>
  <c r="O13" i="9"/>
  <c r="M13" i="9"/>
  <c r="L13" i="9"/>
  <c r="K13" i="9"/>
  <c r="N13" i="9" s="1"/>
  <c r="J13" i="9"/>
  <c r="I13" i="9"/>
  <c r="M12" i="9"/>
  <c r="L12" i="9"/>
  <c r="K12" i="9"/>
  <c r="N12" i="9" s="1"/>
  <c r="J12" i="9"/>
  <c r="I12" i="9"/>
  <c r="O12" i="9" s="1"/>
  <c r="M11" i="9"/>
  <c r="L11" i="9"/>
  <c r="K11" i="9"/>
  <c r="N11" i="9" s="1"/>
  <c r="J11" i="9"/>
  <c r="I11" i="9"/>
  <c r="O11" i="9" s="1"/>
  <c r="M10" i="9"/>
  <c r="E22" i="9" s="1"/>
  <c r="S7" i="9" s="1"/>
  <c r="L10" i="9"/>
  <c r="K10" i="9"/>
  <c r="N10" i="9" s="1"/>
  <c r="J10" i="9"/>
  <c r="I10" i="9"/>
  <c r="O10" i="9" s="1"/>
  <c r="F22" i="9" s="1"/>
  <c r="O9" i="9"/>
  <c r="M9" i="9"/>
  <c r="L9" i="9"/>
  <c r="K9" i="9"/>
  <c r="N9" i="9" s="1"/>
  <c r="J9" i="9"/>
  <c r="I9" i="9"/>
  <c r="M8" i="9"/>
  <c r="E23" i="9" s="1"/>
  <c r="S8" i="9" s="1"/>
  <c r="L8" i="9"/>
  <c r="K8" i="9"/>
  <c r="N8" i="9" s="1"/>
  <c r="J8" i="9"/>
  <c r="I8" i="9"/>
  <c r="D23" i="9" s="1"/>
  <c r="R8" i="9" s="1"/>
  <c r="M7" i="9"/>
  <c r="L7" i="9"/>
  <c r="K7" i="9"/>
  <c r="N7" i="9" s="1"/>
  <c r="J7" i="9"/>
  <c r="I7" i="9"/>
  <c r="O7" i="9" s="1"/>
  <c r="O6" i="9"/>
  <c r="M6" i="9"/>
  <c r="L6" i="9"/>
  <c r="K6" i="9"/>
  <c r="N6" i="9" s="1"/>
  <c r="J6" i="9"/>
  <c r="I6" i="9"/>
  <c r="L20" i="8"/>
  <c r="K20" i="8"/>
  <c r="J20" i="8"/>
  <c r="M20" i="8" s="1"/>
  <c r="I20" i="8"/>
  <c r="H20" i="8"/>
  <c r="N20" i="8" s="1"/>
  <c r="L19" i="8"/>
  <c r="K19" i="8"/>
  <c r="J19" i="8"/>
  <c r="M19" i="8" s="1"/>
  <c r="I19" i="8"/>
  <c r="H19" i="8"/>
  <c r="N19" i="8" s="1"/>
  <c r="N18" i="8"/>
  <c r="L18" i="8"/>
  <c r="K18" i="8"/>
  <c r="J18" i="8"/>
  <c r="M18" i="8" s="1"/>
  <c r="I18" i="8"/>
  <c r="H18" i="8"/>
  <c r="N17" i="8"/>
  <c r="M17" i="8"/>
  <c r="L17" i="8"/>
  <c r="K17" i="8"/>
  <c r="J17" i="8"/>
  <c r="I17" i="8"/>
  <c r="H17" i="8"/>
  <c r="N16" i="8"/>
  <c r="M16" i="8"/>
  <c r="L16" i="8"/>
  <c r="K16" i="8"/>
  <c r="J16" i="8"/>
  <c r="I16" i="8"/>
  <c r="H16" i="8"/>
  <c r="N15" i="8"/>
  <c r="L15" i="8"/>
  <c r="K15" i="8"/>
  <c r="M15" i="8" s="1"/>
  <c r="J15" i="8"/>
  <c r="I15" i="8"/>
  <c r="H15" i="8"/>
  <c r="N14" i="8"/>
  <c r="L14" i="8"/>
  <c r="K14" i="8"/>
  <c r="J14" i="8"/>
  <c r="M14" i="8" s="1"/>
  <c r="I14" i="8"/>
  <c r="H14" i="8"/>
  <c r="L13" i="8"/>
  <c r="K13" i="8"/>
  <c r="J13" i="8"/>
  <c r="M13" i="8" s="1"/>
  <c r="I13" i="8"/>
  <c r="H13" i="8"/>
  <c r="N13" i="8" s="1"/>
  <c r="L12" i="8"/>
  <c r="K12" i="8"/>
  <c r="J12" i="8"/>
  <c r="M12" i="8" s="1"/>
  <c r="I12" i="8"/>
  <c r="H12" i="8"/>
  <c r="N12" i="8" s="1"/>
  <c r="L8" i="8"/>
  <c r="K8" i="8"/>
  <c r="J8" i="8"/>
  <c r="M8" i="8" s="1"/>
  <c r="I8" i="8"/>
  <c r="H8" i="8"/>
  <c r="N8" i="8" s="1"/>
  <c r="N7" i="8"/>
  <c r="L7" i="8"/>
  <c r="K7" i="8"/>
  <c r="J7" i="8"/>
  <c r="M7" i="8" s="1"/>
  <c r="I7" i="8"/>
  <c r="H7" i="8"/>
  <c r="N6" i="8"/>
  <c r="M6" i="8"/>
  <c r="L6" i="8"/>
  <c r="K6" i="8"/>
  <c r="J6" i="8"/>
  <c r="I6" i="8"/>
  <c r="H6" i="8"/>
  <c r="T10" i="7"/>
  <c r="N10" i="7"/>
  <c r="M10" i="7"/>
  <c r="L10" i="7"/>
  <c r="K10" i="7"/>
  <c r="J10" i="7"/>
  <c r="I10" i="7"/>
  <c r="H10" i="7"/>
  <c r="T9" i="7"/>
  <c r="N9" i="7"/>
  <c r="M9" i="7"/>
  <c r="L9" i="7"/>
  <c r="K9" i="7"/>
  <c r="J9" i="7"/>
  <c r="I9" i="7"/>
  <c r="H9" i="7"/>
  <c r="T8" i="7"/>
  <c r="N8" i="7"/>
  <c r="M8" i="7"/>
  <c r="L8" i="7"/>
  <c r="K8" i="7"/>
  <c r="J8" i="7"/>
  <c r="I8" i="7"/>
  <c r="H8" i="7"/>
  <c r="T7" i="7"/>
  <c r="N7" i="7"/>
  <c r="M7" i="7"/>
  <c r="L7" i="7"/>
  <c r="K7" i="7"/>
  <c r="J7" i="7"/>
  <c r="I7" i="7"/>
  <c r="H7" i="7"/>
  <c r="T6" i="7"/>
  <c r="N6" i="7"/>
  <c r="M6" i="7"/>
  <c r="L6" i="7"/>
  <c r="K6" i="7"/>
  <c r="J6" i="7"/>
  <c r="I6" i="7"/>
  <c r="H6" i="7"/>
  <c r="D22" i="9" l="1"/>
  <c r="R7" i="9" s="1"/>
  <c r="O8" i="9"/>
  <c r="F23" i="9" s="1"/>
</calcChain>
</file>

<file path=xl/sharedStrings.xml><?xml version="1.0" encoding="utf-8"?>
<sst xmlns="http://schemas.openxmlformats.org/spreadsheetml/2006/main" count="812" uniqueCount="464">
  <si>
    <t>Sheet</t>
  </si>
  <si>
    <t>Purpose</t>
  </si>
  <si>
    <t>Dashboard</t>
  </si>
  <si>
    <t>Best cleaned strategies, key metrics, and production agreement</t>
  </si>
  <si>
    <t>Version Overview</t>
  </si>
  <si>
    <t>Side-by-side description of every experiment</t>
  </si>
  <si>
    <t>v2 Early Pilot</t>
  </si>
  <si>
    <t>Initial OpenAI prompt results and partial provider coverage</t>
  </si>
  <si>
    <t>v3 Prompt Parity</t>
  </si>
  <si>
    <t>Controlled 11-row prompt comparison</t>
  </si>
  <si>
    <t>v4 Model Grid</t>
  </si>
  <si>
    <t>Prompt-level summary across complete model groups</t>
  </si>
  <si>
    <t>v5 Mixed Benchmark</t>
  </si>
  <si>
    <t>Five-model, 49-row definitions-only benchmark</t>
  </si>
  <si>
    <t>v6 Local Context</t>
  </si>
  <si>
    <t>Three-provider, 42-row current-codebook context test</t>
  </si>
  <si>
    <t>Cleaned Benchmark</t>
  </si>
  <si>
    <t>Cleaned 12-condition provider/strategy comparison</t>
  </si>
  <si>
    <t>Reliability</t>
  </si>
  <si>
    <t>Model–human and model–model agreement statistics</t>
  </si>
  <si>
    <t>Production Run</t>
  </si>
  <si>
    <t>New-document paragraph labeling and annotation results</t>
  </si>
  <si>
    <t>Provider</t>
  </si>
  <si>
    <t>Model</t>
  </si>
  <si>
    <t>Best strategy</t>
  </si>
  <si>
    <t>Clean N</t>
  </si>
  <si>
    <t>Accuracy</t>
  </si>
  <si>
    <t>F1</t>
  </si>
  <si>
    <t>Cohen κ vs human</t>
  </si>
  <si>
    <t>OpenAI</t>
  </si>
  <si>
    <t>GPT-5.6 Terra</t>
  </si>
  <si>
    <t>Definitions + examples</t>
  </si>
  <si>
    <t>Google</t>
  </si>
  <si>
    <t>Gemini 3.1 Flash Lite</t>
  </si>
  <si>
    <t>Direct</t>
  </si>
  <si>
    <t>Anthropic</t>
  </si>
  <si>
    <t>Claude Sonnet 5</t>
  </si>
  <si>
    <t>How to interpret the best models</t>
  </si>
  <si>
    <t>Highest cleaned accuracy and highest model–human κ among provider-best strategies.</t>
  </si>
  <si>
    <t>Gemini</t>
  </si>
  <si>
    <t>Highest cleaned F1 and strongest positive recovery, with more false positives.</t>
  </si>
  <si>
    <t>Claude</t>
  </si>
  <si>
    <t>F1 close to the other providers; useful as an independent second codebook-based judgment.</t>
  </si>
  <si>
    <t>Production choice</t>
  </si>
  <si>
    <t>Use all three provider coders, majority consensus, and manual review of disagreements.</t>
  </si>
  <si>
    <t>Version</t>
  </si>
  <si>
    <t>Evaluation set</t>
  </si>
  <si>
    <t>Run design</t>
  </si>
  <si>
    <t>Completion</t>
  </si>
  <si>
    <t>Primary metric</t>
  </si>
  <si>
    <t>Best-supported takeaway</t>
  </si>
  <si>
    <t>v2</t>
  </si>
  <si>
    <t>Early multi-provider pilot</t>
  </si>
  <si>
    <t>11 Yes-only passages</t>
  </si>
  <si>
    <t>Four prompt variants</t>
  </si>
  <si>
    <t>OpenAI complete; Gemini partial</t>
  </si>
  <si>
    <t>Recall</t>
  </si>
  <si>
    <t>Examples improved recall in the complete OpenAI run.</t>
  </si>
  <si>
    <t>v3</t>
  </si>
  <si>
    <t>Prompt-parity experiment</t>
  </si>
  <si>
    <t>One model × four prompts</t>
  </si>
  <si>
    <t>44 / 44 completed</t>
  </si>
  <si>
    <t>Metadata produced the strongest Yes recall in the controlled prompt-parity run.</t>
  </si>
  <si>
    <t>v4</t>
  </si>
  <si>
    <t>Provider-separated model grid</t>
  </si>
  <si>
    <t>Multiple models and configurations</t>
  </si>
  <si>
    <t>259 / 263 completed</t>
  </si>
  <si>
    <t xml:space="preserve">Mean Recall </t>
  </si>
  <si>
    <t>Examples without metadata had the highest mean recall across complete model groups.</t>
  </si>
  <si>
    <t>v5</t>
  </si>
  <si>
    <t>Mixed-label definitions benchmark</t>
  </si>
  <si>
    <t>49 passages: 39 Yes, 10 No</t>
  </si>
  <si>
    <t>Five models</t>
  </si>
  <si>
    <t>245 / 245 completed</t>
  </si>
  <si>
    <t>Accuracy, precision, recall, F1</t>
  </si>
  <si>
    <t>Claude Haiku recovered the most human-positive rows under the strict definitions-only prompt.</t>
  </si>
  <si>
    <t>v6 Local context</t>
  </si>
  <si>
    <t>Current-codebook context test</t>
  </si>
  <si>
    <t>42 passages: 32 Yes, 10 No</t>
  </si>
  <si>
    <t>Three providers</t>
  </si>
  <si>
    <t>126 / 126 completed</t>
  </si>
  <si>
    <t>Accuracy, recall, specificity, F1</t>
  </si>
  <si>
    <t>Gemini led the current-codebook local-context run by accuracy and F1.</t>
  </si>
  <si>
    <t>Cleaned comparison</t>
  </si>
  <si>
    <t>Provider strategy comparison</t>
  </si>
  <si>
    <t>40 few-shot rows</t>
  </si>
  <si>
    <t>Three providers × four strategies</t>
  </si>
  <si>
    <t>Comparable cleaned counts</t>
  </si>
  <si>
    <t>Accuracy, F1, kappa</t>
  </si>
  <si>
    <t>OpenAI led accuracy and κ; Gemini led F1.</t>
  </si>
  <si>
    <t>OpenAI prompt</t>
  </si>
  <si>
    <t>Rows</t>
  </si>
  <si>
    <t>Predicted Yes</t>
  </si>
  <si>
    <t>Predicted No</t>
  </si>
  <si>
    <t>Yes recall</t>
  </si>
  <si>
    <t>Avg tokens / passage</t>
  </si>
  <si>
    <t>Estimated cost USD</t>
  </si>
  <si>
    <t>Definitions</t>
  </si>
  <si>
    <t>Definitions + examples + metadata</t>
  </si>
  <si>
    <t>Model / run</t>
  </si>
  <si>
    <t>Planned calls</t>
  </si>
  <si>
    <t>Usable outputs</t>
  </si>
  <si>
    <t>Unavailable outputs</t>
  </si>
  <si>
    <t>Coverage note</t>
  </si>
  <si>
    <t>gpt-5.4-nano</t>
  </si>
  <si>
    <t>Complete across four prompt variants</t>
  </si>
  <si>
    <t>Gemini (partial run)</t>
  </si>
  <si>
    <t>Direct and definitions returned partial rows</t>
  </si>
  <si>
    <t>Claude (initial run)</t>
  </si>
  <si>
    <t>No usable scored outputs in this run</t>
  </si>
  <si>
    <t>Version result: examples produced the strongest complete OpenAI recall (4 of 11 passages). The partial provider rows are shown as coverage information rather than a cross-provider ranking.</t>
  </si>
  <si>
    <t>Prompt strategy</t>
  </si>
  <si>
    <t>Total tokens</t>
  </si>
  <si>
    <t>Cost USD</t>
  </si>
  <si>
    <t>Prompt</t>
  </si>
  <si>
    <t>Version result: adding the codebook substantially increased Yes recall, and the metadata-enhanced examples condition reached 8 of 11 passages.</t>
  </si>
  <si>
    <t>Complete model groups</t>
  </si>
  <si>
    <t>Mean Yes recall</t>
  </si>
  <si>
    <t>Median Yes recall</t>
  </si>
  <si>
    <t>Minimum recall</t>
  </si>
  <si>
    <t>Maximum recall</t>
  </si>
  <si>
    <t>Total cost USD</t>
  </si>
  <si>
    <t>Mean recall</t>
  </si>
  <si>
    <t>Run summary</t>
  </si>
  <si>
    <t>Total calls</t>
  </si>
  <si>
    <t>Completed share</t>
  </si>
  <si>
    <t>Provider-separated grid</t>
  </si>
  <si>
    <t>Version result: definitions plus examples without metadata produced the highest mean Yes recall across complete model groups.</t>
  </si>
  <si>
    <t>N</t>
  </si>
  <si>
    <t>TP</t>
  </si>
  <si>
    <t>TN</t>
  </si>
  <si>
    <t>FP</t>
  </si>
  <si>
    <t>FN</t>
  </si>
  <si>
    <t>Precision</t>
  </si>
  <si>
    <t>Specificity</t>
  </si>
  <si>
    <t>Balanced accuracy</t>
  </si>
  <si>
    <t>Cohen κ</t>
  </si>
  <si>
    <t>Mean confidence</t>
  </si>
  <si>
    <t>Avg latency (s)</t>
  </si>
  <si>
    <t>Claude 3.5 Haiku</t>
  </si>
  <si>
    <t>GPT-5.4</t>
  </si>
  <si>
    <t>Version result: Claude Haiku recovered the most positive cases (21 of 39) and achieved the highest F1 in this strict definitions-only comparison. The model set was highly conservative: four of five models produced no false positives.</t>
  </si>
  <si>
    <t>Document</t>
  </si>
  <si>
    <t>GAO preliminary observations</t>
  </si>
  <si>
    <t>EPA lessons learned</t>
  </si>
  <si>
    <t>Post-Katrina preparedness</t>
  </si>
  <si>
    <t>Version result: Gemini produced the strongest overall accuracy and F1. Across all three models, performance varied substantially by document, with stronger recovery on the GAO and Post-Katrina sources than on the EPA source.</t>
  </si>
  <si>
    <t>This is to avoid test set leakage as some of the examples provided as input were same as target. Some parent-child duplicates were retained compared to previous version hence 46 rows instead of previous 42.</t>
  </si>
  <si>
    <t>Recommended strategy</t>
  </si>
  <si>
    <t>False positives</t>
  </si>
  <si>
    <t>Recommended role</t>
  </si>
  <si>
    <t>Lead annotation model when false positives are costly</t>
  </si>
  <si>
    <t>Recall-oriented independent coder</t>
  </si>
  <si>
    <t>Second codebook-based coder</t>
  </si>
  <si>
    <t>Evaluation</t>
  </si>
  <si>
    <t>Model / strategy</t>
  </si>
  <si>
    <t>Cleaned benchmark</t>
  </si>
  <si>
    <t>GPT-5.6 Terra — examples</t>
  </si>
  <si>
    <t>Gemini 3.1 Flash Lite — direct</t>
  </si>
  <si>
    <t>Claude Sonnet 5 — examples</t>
  </si>
  <si>
    <t>Local context</t>
  </si>
  <si>
    <t>Unlearning Project — Consolidated Results Workbook</t>
  </si>
  <si>
    <t>Additional Analysis Sheets</t>
  </si>
  <si>
    <t>Codebook Comparison</t>
  </si>
  <si>
    <t>Old-versus-new codebook interpretation and historical evidence.</t>
  </si>
  <si>
    <t>Metric Guide &amp; Insights</t>
  </si>
  <si>
    <t>Plain-language metrics and substantive findings for domain experts.</t>
  </si>
  <si>
    <t>Sources</t>
  </si>
  <si>
    <t>Notebook and workbook artifacts used to verify the analysis.</t>
  </si>
  <si>
    <t>Reading rule: compare models only when they used the same rows, codebook, and prompt design. The original 11-row test contained only positive examples, so its score is positive recall—not mixed-class accuracy. Production results have no human gold labels and should be interpreted through agreement, rationales, and human review.</t>
  </si>
  <si>
    <t>Results Dashboard (Best Version Summary)</t>
  </si>
  <si>
    <t>Best cleaned model strategy by provider, followed by reliability from the first full production-document run.</t>
  </si>
  <si>
    <t>Dimension</t>
  </si>
  <si>
    <t>Unanimous agreement</t>
  </si>
  <si>
    <t>Fleiss κ</t>
  </si>
  <si>
    <t>Krippendorff α</t>
  </si>
  <si>
    <t>Unlearning binary</t>
  </si>
  <si>
    <t>Target including none</t>
  </si>
  <si>
    <t>Target on positive rows</t>
  </si>
  <si>
    <t>Analysis of What if Hurricane Katrina Hit in 2020?</t>
  </si>
  <si>
    <t>Production reliability dimension</t>
  </si>
  <si>
    <t>Units</t>
  </si>
  <si>
    <t>Interpretation</t>
  </si>
  <si>
    <t>Unlearning binary — logical paragraphs</t>
  </si>
  <si>
    <t>Moderate agreement across three model coders</t>
  </si>
  <si>
    <t>Target including none — logical paragraphs</t>
  </si>
  <si>
    <t>Moderate overall target agreement</t>
  </si>
  <si>
    <t>Target among any-model-positive rows</t>
  </si>
  <si>
    <t>Target choice requires focused human review</t>
  </si>
  <si>
    <t>Claude Sonnet 5 Result Missing from the Earlier Summary</t>
  </si>
  <si>
    <t>Measure</t>
  </si>
  <si>
    <t>Result</t>
  </si>
  <si>
    <t>Model and condition</t>
  </si>
  <si>
    <t>Claude Sonnet 5 · old codebook · definitions only</t>
  </si>
  <si>
    <t>11 GPT Test passages; all 11 human labels were Yes</t>
  </si>
  <si>
    <t>Observed result</t>
  </si>
  <si>
    <t>11 true positives, 0 false negatives — 100% positive recall</t>
  </si>
  <si>
    <t>What it establishes</t>
  </si>
  <si>
    <t>The model recovered every original positive passage.</t>
  </si>
  <si>
    <t>What it does not establish</t>
  </si>
  <si>
    <t>The set contained no negative passages, so it does not measure false-positive behavior.</t>
  </si>
  <si>
    <t>Verified extraction summary: 32 complete logical paragraphs were reconstructed, including 5 cross-page and 10 cross-column paragraphs. PyMuPDF and pdfplumber agreed on the normalized text. Fourteen logical paragraphs received at least one Yes vote and occupied 18 verified annotation segments.</t>
  </si>
  <si>
    <t>Each version answered a different question. This sheet summarizes the dataset, run scope, and metric appropriate to that version.</t>
  </si>
  <si>
    <t>Production Document</t>
  </si>
  <si>
    <t>Verified logical-paragraph annotation run</t>
  </si>
  <si>
    <t>32 logical paragraphs in one article</t>
  </si>
  <si>
    <t>Three provider coders after dual-extractor verification</t>
  </si>
  <si>
    <t>96 predictions; 18/18 annotation segments verified</t>
  </si>
  <si>
    <t>Inter-coder reliability and consensus</t>
  </si>
  <si>
    <t>Binary agreement was moderate; target categories among flagged passages require human review.</t>
  </si>
  <si>
    <t>v2 — Early Multi-Provider Prompt Pilot</t>
  </si>
  <si>
    <t>The 11 evaluation passages were all human-coded Yes. Results therefore represent Yes recall rather than mixed-class accuracy.</t>
  </si>
  <si>
    <t>v3 — Controlled Prompt-Parity Results</t>
  </si>
  <si>
    <t>One model GPT 4o-mini classified the same 11 Yes-coded passages under four prompt variants. All 44 calls completed.</t>
  </si>
  <si>
    <t>v4 — Provider-Separated Multi-Model Pilot</t>
  </si>
  <si>
    <t>Multiple OpenAI, Anthropic, and Google configurations were tested on the 11 Yes-coded passages. The table summarizes complete 11-row model groups by prompt strategy. Old Codebook was used in this experiment</t>
  </si>
  <si>
    <t>Claude Sonnet 5 — Complete 11-Row Results</t>
  </si>
  <si>
    <t>Positive recall</t>
  </si>
  <si>
    <t>Definitions only</t>
  </si>
  <si>
    <t>All 11 human-positive passages recovered.</t>
  </si>
  <si>
    <t>Same 11/11 recall with labeled demonstrations.</t>
  </si>
  <si>
    <t>Metadata did not improve recall on this pilot.</t>
  </si>
  <si>
    <t>Interpretation: the 100% score is positive recall on an all-positive test. It confirms complete recovery of the original 11 examples but cannot show whether the model would incorrectly label negative passages as unlearning. The later mixed-label tests were therefore necessary.</t>
  </si>
  <si>
    <t>v5 — Five-Model Mixed-Label Benchmark</t>
  </si>
  <si>
    <t>GPT Test set was expanded to include all human coded labels with duplicates removed. All five models classified the same 49 passages using the definitions/codebook-only condition: 39 human Yes and 10 human No. New codebook was used from here onwards.</t>
  </si>
  <si>
    <t>Document-Level Results</t>
  </si>
  <si>
    <t>Source-Level Pattern Across Five Models</t>
  </si>
  <si>
    <t>Human Yes</t>
  </si>
  <si>
    <t>Positive judgments</t>
  </si>
  <si>
    <t>Additive coordination, staffing, training, and procedures were often read as learning rather than explicit unlearning.</t>
  </si>
  <si>
    <t>A mixture of explicit rejection language and passages that mainly diagnose gaps.</t>
  </si>
  <si>
    <t>The clearest replacement language: reform, reduce, move away, centralize, and replace fragmented arrangements.</t>
  </si>
  <si>
    <t>Key insight: 92 of 122 false-negative judgments came from the EPA document, and all 14 passages missed by every model were EPA passages. The pattern points to a boundary between broad post-failure adaptation and the new codebook's requirement for rejection, replacement, or discontinuity.</t>
  </si>
  <si>
    <t>Question for domain adjudication: should new coordination routines, liaison roles, added staff, mobile laboratories, training, and updated procedures count as unlearning by themselves, or only when the passage also identifies the earlier approach being displaced?</t>
  </si>
  <si>
    <t>Current-Codebook Local-Context Test</t>
  </si>
  <si>
    <t>The GPT Test set was further cleaned to remove duplicates and test set leakages that were not earlier found. Hence, the rows were reduced to 42. Three provider models classified the same 42 passages with the target paragraph and surrounding source context: 32 human Yes and 10 human No.</t>
  </si>
  <si>
    <t>Interpretation of the Local-Context Results</t>
  </si>
  <si>
    <t>Finding</t>
  </si>
  <si>
    <t>What it means</t>
  </si>
  <si>
    <t>Context was diagnostically useful</t>
  </si>
  <si>
    <t>It clarified sequence and institutional setting, even though it did not act as a universal accuracy boost.</t>
  </si>
  <si>
    <t>EPA remained the decisive boundary case</t>
  </si>
  <si>
    <t>All three providers recovered 0 of 16 human-positive EPA cases and consistently treated additive improvements as learning rather than abandonment.</t>
  </si>
  <si>
    <t>GAO was easier to classify</t>
  </si>
  <si>
    <t>GAO more often uses explicit language that an approach does not make sense, business-as-usual should be replaced, or restrictions should be removed.</t>
  </si>
  <si>
    <t>Post-Katrina was easiest for Gemini</t>
  </si>
  <si>
    <t>The report contains overt reform and replacement language, including moving away from previous arrangements and consolidating authority.</t>
  </si>
  <si>
    <t>Research implication</t>
  </si>
  <si>
    <t>The team must adjudicate the threshold between organizational learning and unlearning; context can reveal that boundary but cannot settle it.</t>
  </si>
  <si>
    <t>Recommended context design: present the target paragraph once; add clearly separated previous and next paragraphs; retain section and document titles; and ask the model to identify the prior practice, its inadequacy, and the proposed departure. Incomplete evidence should be routed to boundary review.</t>
  </si>
  <si>
    <t>Cleaned Provider and Prompt Comparison</t>
  </si>
  <si>
    <t>This is the main strategy-selection sheet. Direct and definitions conditions use 46 cleaned rows; example-based conditions use 40 cleaned rows.</t>
  </si>
  <si>
    <t>Inter-Coder Reliability</t>
  </si>
  <si>
    <t>Model–human agreement is shown for the best cleaned provider strategies and for the current-codebook local-context test. Model–model agreement comes from the new production-document run.</t>
  </si>
  <si>
    <t>Scope</t>
  </si>
  <si>
    <t>Logical paragraphs</t>
  </si>
  <si>
    <t>Moderate; appropriate for screening and prioritizing review.</t>
  </si>
  <si>
    <t>Moderate overall, but less stable than the binary decision.</t>
  </si>
  <si>
    <t>Target on any-model-positive</t>
  </si>
  <si>
    <t>Flagged paragraphs</t>
  </si>
  <si>
    <t>Weak; final target categories require human adjudication.</t>
  </si>
  <si>
    <t>Coder A</t>
  </si>
  <si>
    <t>Coder B</t>
  </si>
  <si>
    <t>Percent agreement</t>
  </si>
  <si>
    <t>Target on flagged rows</t>
  </si>
  <si>
    <t>14 positive candidates</t>
  </si>
  <si>
    <t>Percent agreement is the share of paragraphs receiving the same label. Kappa discounts agreement that may occur because one label is common. Binary agreement is useful for triage, but target agreement among flagged passages is too low for automatic final coding.</t>
  </si>
  <si>
    <t>Production Multi-Document Pipeline — First Completed Run</t>
  </si>
  <si>
    <t>The pipeline extracted paragraphs from a new source document, obtained three provider labels per unique paragraph, calculated consensus and reliability, and created verified editable PDF annotations.</t>
  </si>
  <si>
    <t>Output measure</t>
  </si>
  <si>
    <t>Value</t>
  </si>
  <si>
    <t>Meaning</t>
  </si>
  <si>
    <t>Agreement bucket</t>
  </si>
  <si>
    <t>Paragraphs</t>
  </si>
  <si>
    <t>Documents processed</t>
  </si>
  <si>
    <t>One Public Administration Review article</t>
  </si>
  <si>
    <t>Unanimous No</t>
  </si>
  <si>
    <t>Complete analytical units after cross-page and cross-column reconstruction</t>
  </si>
  <si>
    <t>Majority No / one positive</t>
  </si>
  <si>
    <t>Cross-page paragraphs</t>
  </si>
  <si>
    <t>Paragraphs reconstructed across page boundaries</t>
  </si>
  <si>
    <t>Majority Yes</t>
  </si>
  <si>
    <t>Cross-column paragraphs</t>
  </si>
  <si>
    <t>Paragraphs reconstructed across column boundaries</t>
  </si>
  <si>
    <t>Unanimous Yes</t>
  </si>
  <si>
    <t>Extraction review rows</t>
  </si>
  <si>
    <t>No paragraph remained below the extraction-quality threshold</t>
  </si>
  <si>
    <t>Provider predictions</t>
  </si>
  <si>
    <t>32 logical paragraphs × 3 providers</t>
  </si>
  <si>
    <t>Any-model-positive paragraphs</t>
  </si>
  <si>
    <t>Paragraphs receiving at least one Yes vote</t>
  </si>
  <si>
    <t>PDF annotation segments</t>
  </si>
  <si>
    <t>Fourteen logical paragraphs occupied eighteen page segments</t>
  </si>
  <si>
    <t>Annotation failures</t>
  </si>
  <si>
    <t>No ID, geometry, or coordinate-text failures</t>
  </si>
  <si>
    <t>Minimum annotation text similarity</t>
  </si>
  <si>
    <t>Required threshold was 0.80</t>
  </si>
  <si>
    <t>All automated extraction checks</t>
  </si>
  <si>
    <t>Passed</t>
  </si>
  <si>
    <t>Dual-extractor and paragraph-quality checks passed before provider calls</t>
  </si>
  <si>
    <t>Production result: 68.8% of the 32 logical paragraphs received unanimous binary labels. Fleiss κ was 0.485, and all 18 PDF annotation segments passed ID, geometry, and coordinate-text verification.</t>
  </si>
  <si>
    <t>Extraction and Annotation Verification</t>
  </si>
  <si>
    <t>Check</t>
  </si>
  <si>
    <t>What was verified</t>
  </si>
  <si>
    <t>Cross-extractor reconstruction</t>
  </si>
  <si>
    <t>PyMuPDF and pdfplumber both produced 32 paragraphs with aligned similarity of 1.000.</t>
  </si>
  <si>
    <t>Paid-call safety gate</t>
  </si>
  <si>
    <t>Extraction checks and explicit approval were completed before provider calls.</t>
  </si>
  <si>
    <t>Annotation IDs</t>
  </si>
  <si>
    <t>18 / 18</t>
  </si>
  <si>
    <t>Every expected paragraph/page annotation was found once.</t>
  </si>
  <si>
    <t>Geometry coverage</t>
  </si>
  <si>
    <t>Every annotation covered the expected text region.</t>
  </si>
  <si>
    <t>Coordinate-text verification</t>
  </si>
  <si>
    <t>Every annotated segment met the 0.80 similarity threshold.</t>
  </si>
  <si>
    <t>Interpretation: binary model agreement is adequate for screening, but target labels among flagged paragraphs remain a human-adjudication task. Use consensus to prioritize review rather than treating model output as final coding.</t>
  </si>
  <si>
    <t>Old and New Codebook — Operational Comparison</t>
  </si>
  <si>
    <t>The change in scores partly reflects a change in the construct. The older framework treated several forms of integration, adaptation, and technical realignment as unlearning. The newer framework requires clearer evidence that an identifiable prior assumption, practice, policy, or system is being rejected, replaced, or fundamentally rethought.</t>
  </si>
  <si>
    <t>Older operational definition</t>
  </si>
  <si>
    <t>Newer operational definition</t>
  </si>
  <si>
    <t>Core question</t>
  </si>
  <si>
    <t>Does the passage show organizational unlearning through reconsidering, discarding, realignment, or merging?</t>
  </si>
  <si>
    <t>Does the passage identify a prior logic or practice as inadequate and indicate a departure from it?</t>
  </si>
  <si>
    <t>Positive threshold</t>
  </si>
  <si>
    <t>Broad enough to include integration, changed coordination, technical realignment, and revised assumptions.</t>
  </si>
  <si>
    <t>Requires stronger evidence of rejection, replacement, removal, abandonment, or fundamental rethinking.</t>
  </si>
  <si>
    <t>Additive improvement</t>
  </si>
  <si>
    <t>Could count when it represented meaningful adaptation or integration.</t>
  </si>
  <si>
    <t>Usually learning or reform unless the earlier approach being displaced is also identified.</t>
  </si>
  <si>
    <t>Primary labels</t>
  </si>
  <si>
    <t>Reconsidering, Discarding, Realignment, Merging, plus depth and nature.</t>
  </si>
  <si>
    <t>Binary unlearning plus target type: leadership, policy, capabilities, resources, or miscellaneous.</t>
  </si>
  <si>
    <t>Likely metric effect</t>
  </si>
  <si>
    <t>Higher sensitivity to implicit and incremental adaptation.</t>
  </si>
  <si>
    <t>Lower recall against broad legacy labels, but fewer routine improvements treated as unlearning.</t>
  </si>
  <si>
    <t>Research advantage</t>
  </si>
  <si>
    <t>Captures a wider landscape of organizational transformation.</t>
  </si>
  <si>
    <t>Creates a sharper boundary between learning, reform, innovation, and unlearning.</t>
  </si>
  <si>
    <t>Historical Evidence Across Stages</t>
  </si>
  <si>
    <t>Stage</t>
  </si>
  <si>
    <t>Codebook</t>
  </si>
  <si>
    <t>Model / prompt</t>
  </si>
  <si>
    <t>Human labels</t>
  </si>
  <si>
    <t>v4 positive-only pilot</t>
  </si>
  <si>
    <t>Old</t>
  </si>
  <si>
    <t>Claude Sonnet 5 · definitions only</t>
  </si>
  <si>
    <t>11 Yes / 0 No</t>
  </si>
  <si>
    <t>11/11 positive recall</t>
  </si>
  <si>
    <t>Strong recovery under the old construct; no false-positive test.</t>
  </si>
  <si>
    <t>v5 mixed benchmark</t>
  </si>
  <si>
    <t>New</t>
  </si>
  <si>
    <t>39 Yes / 10 No</t>
  </si>
  <si>
    <t>14 TP, 25 FN, 10 TN, 0 FP</t>
  </si>
  <si>
    <t>The same model became conservative, especially on EPA adaptation passages.</t>
  </si>
  <si>
    <t>v5 EPA subset</t>
  </si>
  <si>
    <t>20 Yes / 5 No</t>
  </si>
  <si>
    <t>0/20 positive recall</t>
  </si>
  <si>
    <t>Shows a strong interaction between the document's discourse and the stricter threshold.</t>
  </si>
  <si>
    <t>This is a descriptive comparison rather than a pure codebook-only A/B test. The older annotation used 33 units and one coding output; the verified run used 32 logical paragraphs and three-model consensus. Prompts and extraction also changed, but the evidence still shows that the newer definition is substantially stricter.</t>
  </si>
  <si>
    <t>Substantive decision for the team: determine whether additive institutional adaptation after failure—such as extra staff, coordination routines, training, liaison roles, and upgraded equipment—counts as unlearning, or whether unlearning requires explicit displacement of an earlier logic.</t>
  </si>
  <si>
    <t>Metric Guide and Research Interpretation</t>
  </si>
  <si>
    <t>A plain-language guide for readers who know disaster governance and organizational change but do not routinely work with machine-learning evaluation metrics.</t>
  </si>
  <si>
    <t>Metric</t>
  </si>
  <si>
    <t>Plain-language question</t>
  </si>
  <si>
    <t>How to read it</t>
  </si>
  <si>
    <t>What it showed here</t>
  </si>
  <si>
    <t>True positive</t>
  </si>
  <si>
    <t>How many human-positive passages did the model identify?</t>
  </si>
  <si>
    <t>Higher is better only relative to the agreed codebook.</t>
  </si>
  <si>
    <t>v5 true-positive counts varied sharply by document.</t>
  </si>
  <si>
    <t>False negative</t>
  </si>
  <si>
    <t>How many human-positive passages did the model miss?</t>
  </si>
  <si>
    <t>Inspect whether misses are model errors or codebook-boundary disagreements.</t>
  </si>
  <si>
    <t>EPA generated 92 of 122 v5 false-negative judgments.</t>
  </si>
  <si>
    <t>False positive</t>
  </si>
  <si>
    <t>How often did a human No passage receive a Yes label?</t>
  </si>
  <si>
    <t>Important because each positive creates review work and evidentiary risk.</t>
  </si>
  <si>
    <t>The cleaned OpenAI setting had 1 false positive; Gemini direct had 5.</t>
  </si>
  <si>
    <t>Of all human Yes passages, what share did the model recover?</t>
  </si>
  <si>
    <t>Measures missed cases but not false positives.</t>
  </si>
  <si>
    <t>Claude's 11/11 result is 100% recall on an all-positive pilot.</t>
  </si>
  <si>
    <t>Of the model's Yes predictions, what share were human Yes?</t>
  </si>
  <si>
    <t>High precision means positive highlights are usually relevant.</t>
  </si>
  <si>
    <t>v5 precision was high partly because models defaulted to No.</t>
  </si>
  <si>
    <t>Of all human No passages, what share remained No?</t>
  </si>
  <si>
    <t>High specificity limits unnecessary positive highlights.</t>
  </si>
  <si>
    <t>Four of five v5 models made no false positives.</t>
  </si>
  <si>
    <t>What share of all labels matched the human labels?</t>
  </si>
  <si>
    <t>Can be misleading when Yes and No are uneven; read with recall and F1.</t>
  </si>
  <si>
    <t>Best cleaned provider accuracy was approximately 70–73%.</t>
  </si>
  <si>
    <t>F1 score</t>
  </si>
  <si>
    <t>How well does the model balance recall and precision?</t>
  </si>
  <si>
    <t>Useful when both misses and false alarms matter.</t>
  </si>
  <si>
    <t>Gemini direct had the highest cleaned F1; OpenAI made fewer false positives.</t>
  </si>
  <si>
    <t>Cohen's kappa</t>
  </si>
  <si>
    <t>How much do two coders agree beyond chance?</t>
  </si>
  <si>
    <t>Larger positive values indicate more reliable consistency.</t>
  </si>
  <si>
    <t>Best cleaned model–human kappa was 0.368.</t>
  </si>
  <si>
    <t>Fleiss' kappa</t>
  </si>
  <si>
    <t>How consistently do three or more coders agree beyond chance?</t>
  </si>
  <si>
    <t>Used for the three-provider production run.</t>
  </si>
  <si>
    <t>Production binary Fleiss kappa was 0.485.</t>
  </si>
  <si>
    <t>Krippendorff's alpha</t>
  </si>
  <si>
    <t>How reliable is the coder group under another chance-adjusted measure?</t>
  </si>
  <si>
    <t>Interpret here similarly to Fleiss' kappa.</t>
  </si>
  <si>
    <t>Production binary alpha was 0.490.</t>
  </si>
  <si>
    <t>Consensus bucket</t>
  </si>
  <si>
    <t>Did all models agree or only a majority?</t>
  </si>
  <si>
    <t>Split votes identify priority review cases.</t>
  </si>
  <si>
    <t>18 unanimous No, 5 majority No, 5 majority Yes, and 4 unanimous Yes.</t>
  </si>
  <si>
    <t>Substantive Insights</t>
  </si>
  <si>
    <t>Research insight</t>
  </si>
  <si>
    <t>Meaning for analysis and workflow</t>
  </si>
  <si>
    <t>Document style affects measurement</t>
  </si>
  <si>
    <t>EPA, GAO, and Post-Katrina documents express institutional change differently. Overt reform language is easier for models than retrospective lessons-learned reporting.</t>
  </si>
  <si>
    <t>The codebook is a theoretical instrument</t>
  </si>
  <si>
    <t>A stricter threshold narrows the construct from broad adaptation to evidence of discontinuity. The team must decide whether this matches the research question.</t>
  </si>
  <si>
    <t>High precision can hide systematic misses</t>
  </si>
  <si>
    <t>The v5 models rarely produced false positives partly because they defaulted to No; high specificity did not mean strong discovery.</t>
  </si>
  <si>
    <t>Context is most valuable for explanation</t>
  </si>
  <si>
    <t>Local context revealed why EPA cases were rejected and whether recommendations were connected to an earlier failure.</t>
  </si>
  <si>
    <t>Binary screening is more stable than target coding</t>
  </si>
  <si>
    <t>Production models moderately agreed on presence or absence but weakly agreed on target categories among flagged passages.</t>
  </si>
  <si>
    <t>Extraction is now controlled before scaling</t>
  </si>
  <si>
    <t>The pipeline reconstructs logical paragraphs, compares two extractors, creates a visual audit, and blocks calls until checks and approval pass.</t>
  </si>
  <si>
    <t>Disagreement is useful evidence</t>
  </si>
  <si>
    <t>A two-to-one split identifies passages that can plausibly be interpreted as learning, reform, or unlearning and should be discussed by domain coders.</t>
  </si>
  <si>
    <t>Recommended reporting language: the models are independent screening coders that identify candidate passages and provide rationales. The main source of disagreement is the substantive boundary between organizational learning and unlearning. Final labels and targets should therefore be human-adjudicated.</t>
  </si>
  <si>
    <t>Source Files and Result Artifacts</t>
  </si>
  <si>
    <t>File names are retained so the results can be traced to the corresponding run or audit artifact.</t>
  </si>
  <si>
    <t>Source file</t>
  </si>
  <si>
    <t>Use in this workbook</t>
  </si>
  <si>
    <t>Evidence status</t>
  </si>
  <si>
    <t>Unlearning_AB_Test_Pipeline_v2.ipynb</t>
  </si>
  <si>
    <t>Early feasibility and prompt exploration</t>
  </si>
  <si>
    <t>Historical</t>
  </si>
  <si>
    <t>Unlearning_AB_Test_Pipeline_v3_fixed_api.ipynb</t>
  </si>
  <si>
    <t>Controlled 11-row OpenAI prompt comparison</t>
  </si>
  <si>
    <t>Unlearning_AB_Test_Pipeline_v4_PROVIDER_SEPARATED_FIXED.ipynb</t>
  </si>
  <si>
    <t>Old-codebook grid and Claude Sonnet 5 11/11 result</t>
  </si>
  <si>
    <t>Unlearning_Definitions_Only_v5_Pipeline_Combined_Human_Test_Set.ipynb</t>
  </si>
  <si>
    <t>Five-model 49-row benchmark</t>
  </si>
  <si>
    <t>Current analysis</t>
  </si>
  <si>
    <t>v5 document analysis</t>
  </si>
  <si>
    <t>Unlearning_Weekly_Update_Review_Workbook.xlsx</t>
  </si>
  <si>
    <t>Exact EPA, GAO, and Post-Katrina recall counts</t>
  </si>
  <si>
    <t>v6 local context</t>
  </si>
  <si>
    <t>Unlearning_Local_Context_Definitions_Only_FIXED.ipynb</t>
  </si>
  <si>
    <t>42-row context run and document-level metrics</t>
  </si>
  <si>
    <t>Unlearning_PostHoc_Cleaned_Metrics.xlsx</t>
  </si>
  <si>
    <t>Duplicate/leakage-adjusted confusion counts</t>
  </si>
  <si>
    <t>Post-hoc diagnostic</t>
  </si>
  <si>
    <t>Old article coding</t>
  </si>
  <si>
    <t>mcguire_katrina_2020_labeled_codebook_original.xlsx</t>
  </si>
  <si>
    <t>Older codebook distribution on the same article</t>
  </si>
  <si>
    <t>Descriptive comparison</t>
  </si>
  <si>
    <t>Production v2</t>
  </si>
  <si>
    <t>Unlearning_Production_MultiDocument_Annotation_Pipeline_v2_Verified_Extraction.ipynb</t>
  </si>
  <si>
    <t>32 logical paragraphs, reliability, and 18 verified annotations</t>
  </si>
  <si>
    <t>Verified current run</t>
  </si>
  <si>
    <t>Base workbook</t>
  </si>
  <si>
    <t>Unlearning_All_Versions_Results(1).xlsx</t>
  </si>
  <si>
    <t>User-edited wording and context preserved in this revision</t>
  </si>
  <si>
    <t>Uploaded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</si>
</sst>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
    <numFmt numFmtId="166" formatCode="\$0.0000"/>
    <numFmt numFmtId="167" formatCode="0.000"/>
    <numFmt numFmtId="168" formatCode="\$0.000"/>
  </numFmts>
  <fonts count="8">
    <font>
      <sz val="11"/>
      <name val="Carlito"/>
    </font>
    <font>
      <b/>
      <sz val="10"/>
      <color rgb="FF1F1F1F"/>
      <name val="Aptos"/>
    </font>
    <font>
      <sz val="10"/>
      <color rgb="FF1F1F1F"/>
      <name val="Aptos"/>
    </font>
    <font>
      <b/>
      <sz val="16"/>
      <color rgb="FFFFFFFF"/>
      <name val="Aptos"/>
    </font>
    <font>
      <b/>
      <sz val="10"/>
      <color rgb="FFFFFFFF"/>
      <name val="Aptos"/>
    </font>
    <font>
      <sz val="10"/>
      <color rgb="FF1F1F1F"/>
      <name val="Aptos"/>
    </font>
    <font>
      <b/>
      <sz val="14"/>
      <color rgb="FFFFFFFF"/>
      <name val="Aptos"/>
    </font>
    <font>
      <b/>
      <sz val="11"/>
      <color rgb="FF1F4E78"/>
      <name val="Aptos"/>
    </font>
  </fonts>
  <fills count="12">
    <fill>
      <patternFill patternType="none"/>
    </fill>
    <fill>
      <patternFill patternType="gray125"/>
    </fill>
    <fill>
      <patternFill patternType="solid">
        <fgColor rgb="FF1F4E78"/>
      </patternFill>
    </fill>
    <fill>
      <patternFill patternType="solid">
        <fgColor rgb="FFF5F9FC"/>
      </patternFill>
    </fill>
    <fill>
      <patternFill patternType="solid">
        <fgColor rgb="FF2F75B5"/>
      </patternFill>
    </fill>
    <fill>
      <patternFill patternType="solid">
        <fgColor rgb="FFFFF2CC"/>
      </patternFill>
    </fill>
    <fill>
      <patternFill patternType="solid">
        <fgColor rgb="FFE2F0D9"/>
      </patternFill>
    </fill>
    <fill>
      <patternFill patternType="solid">
        <fgColor rgb="FF1F4E78"/>
      </patternFill>
    </fill>
    <fill>
      <patternFill patternType="solid">
        <fgColor rgb="FFFFFFFF"/>
      </patternFill>
    </fill>
    <fill>
      <patternFill patternType="solid">
        <fgColor rgb="FFFFF2CC"/>
      </patternFill>
    </fill>
    <fill>
      <patternFill patternType="solid">
        <fgColor rgb="FFD9EAF7"/>
      </patternFill>
    </fill>
    <fill>
      <patternFill patternType="solid">
        <fgColor rgb="FF2F75B5"/>
      </patternFill>
    </fill>
  </fills>
  <borders count="12">
    <border>
      <left/>
      <right/>
      <top/>
      <bottom/>
      <diagonal/>
    </border>
    <border>
      <left style="thin">
        <color rgb="FFB8C7D9"/>
      </left>
      <right/>
      <top style="thin">
        <color rgb="FFB8C7D9"/>
      </top>
      <bottom/>
      <diagonal/>
    </border>
    <border>
      <left/>
      <right style="thin">
        <color rgb="FFB8C7D9"/>
      </right>
      <top style="thin">
        <color rgb="FFB8C7D9"/>
      </top>
      <bottom/>
      <diagonal/>
    </border>
    <border>
      <left style="thin">
        <color rgb="FFB8C7D9"/>
      </left>
      <right/>
      <top/>
      <bottom/>
      <diagonal/>
    </border>
    <border>
      <left/>
      <right style="thin">
        <color rgb="FFB8C7D9"/>
      </right>
      <top/>
      <bottom/>
      <diagonal/>
    </border>
    <border>
      <left style="thin">
        <color rgb="FFB8C7D9"/>
      </left>
      <right/>
      <top/>
      <bottom style="thin">
        <color rgb="FFB8C7D9"/>
      </bottom>
      <diagonal/>
    </border>
    <border>
      <left/>
      <right style="thin">
        <color rgb="FFB8C7D9"/>
      </right>
      <top/>
      <bottom style="thin">
        <color rgb="FFB8C7D9"/>
      </bottom>
      <diagonal/>
    </border>
    <border>
      <left/>
      <right/>
      <top style="thin">
        <color rgb="FFB8C7D9"/>
      </top>
      <bottom/>
      <diagonal/>
    </border>
    <border>
      <left/>
      <right/>
      <top/>
      <bottom style="thin">
        <color rgb="FFB8C7D9"/>
      </bottom>
      <diagonal/>
    </border>
    <border>
      <left style="thin">
        <color rgb="FFB8C7D9"/>
      </left>
      <right/>
      <top style="thin">
        <color rgb="FFB8C7D9"/>
      </top>
      <bottom style="thin">
        <color rgb="FFB8C7D9"/>
      </bottom>
      <diagonal/>
    </border>
    <border>
      <left/>
      <right style="thin">
        <color rgb="FFB8C7D9"/>
      </right>
      <top style="thin">
        <color rgb="FFB8C7D9"/>
      </top>
      <bottom style="thin">
        <color rgb="FFB8C7D9"/>
      </bottom>
      <diagonal/>
    </border>
    <border>
      <left/>
      <right/>
      <top style="thin">
        <color rgb="FFB8C7D9"/>
      </top>
      <bottom style="thin">
        <color rgb="FFB8C7D9"/>
      </bottom>
      <diagonal/>
    </border>
  </borders>
  <cellStyleXfs count="1">
    <xf numFmtId="0" fontId="0" fillId="0" borderId="0"/>
  </cellStyleXfs>
  <cellXfs count="116">
    <xf numFmtId="0" fontId="0" fillId="0" borderId="0" xfId="0"/>
    <xf numFmtId="0" fontId="2" fillId="0" borderId="0" xfId="0" applyFont="1"/>
    <xf numFmtId="0" fontId="2" fillId="0" borderId="3"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3" fillId="2" borderId="0" xfId="0" applyFont="1" applyFill="1" applyAlignment="1">
      <alignment horizontal="left" vertical="center"/>
    </xf>
    <xf numFmtId="0" fontId="2" fillId="0" borderId="3" xfId="0" applyFont="1" applyBorder="1"/>
    <xf numFmtId="164" fontId="2" fillId="0" borderId="0" xfId="0" applyNumberFormat="1" applyFont="1"/>
    <xf numFmtId="164" fontId="2" fillId="0" borderId="4" xfId="0" applyNumberFormat="1" applyFont="1" applyBorder="1"/>
    <xf numFmtId="0" fontId="2" fillId="0" borderId="5" xfId="0" applyFont="1" applyBorder="1"/>
    <xf numFmtId="0" fontId="2" fillId="0" borderId="8" xfId="0" applyFont="1" applyBorder="1"/>
    <xf numFmtId="164" fontId="2" fillId="0" borderId="8" xfId="0" applyNumberFormat="1" applyFont="1" applyBorder="1"/>
    <xf numFmtId="164" fontId="2" fillId="0" borderId="6" xfId="0" applyNumberFormat="1" applyFont="1" applyBorder="1"/>
    <xf numFmtId="0" fontId="1" fillId="0" borderId="1" xfId="0" applyFont="1" applyBorder="1" applyAlignment="1">
      <alignment wrapText="1"/>
    </xf>
    <xf numFmtId="0" fontId="1" fillId="0" borderId="3" xfId="0" applyFont="1" applyBorder="1" applyAlignment="1">
      <alignment wrapText="1"/>
    </xf>
    <xf numFmtId="0" fontId="2" fillId="0" borderId="0" xfId="0" applyFont="1" applyAlignment="1">
      <alignment wrapText="1"/>
    </xf>
    <xf numFmtId="0" fontId="1" fillId="0" borderId="5" xfId="0" applyFont="1" applyBorder="1" applyAlignment="1">
      <alignment wrapText="1"/>
    </xf>
    <xf numFmtId="0" fontId="2" fillId="0" borderId="8" xfId="0" applyFont="1" applyBorder="1" applyAlignment="1">
      <alignment wrapText="1"/>
    </xf>
    <xf numFmtId="164" fontId="2" fillId="0" borderId="0" xfId="0" applyNumberFormat="1" applyFont="1" applyAlignment="1">
      <alignment wrapText="1"/>
    </xf>
    <xf numFmtId="164" fontId="2" fillId="0" borderId="8" xfId="0" applyNumberFormat="1" applyFont="1" applyBorder="1" applyAlignment="1">
      <alignment wrapText="1"/>
    </xf>
    <xf numFmtId="165" fontId="2" fillId="0" borderId="4" xfId="0" applyNumberFormat="1" applyFont="1" applyBorder="1"/>
    <xf numFmtId="165" fontId="2" fillId="0" borderId="6" xfId="0" applyNumberFormat="1" applyFont="1" applyBorder="1"/>
    <xf numFmtId="165" fontId="2" fillId="0" borderId="0" xfId="0" applyNumberFormat="1" applyFont="1"/>
    <xf numFmtId="165" fontId="2" fillId="0" borderId="8" xfId="0" applyNumberFormat="1" applyFont="1" applyBorder="1"/>
    <xf numFmtId="166" fontId="2" fillId="0" borderId="4" xfId="0" applyNumberFormat="1" applyFont="1" applyBorder="1"/>
    <xf numFmtId="166" fontId="2" fillId="0" borderId="6" xfId="0" applyNumberFormat="1" applyFont="1" applyBorder="1"/>
    <xf numFmtId="166" fontId="2" fillId="0" borderId="0" xfId="0" applyNumberFormat="1" applyFont="1"/>
    <xf numFmtId="2" fontId="2" fillId="0" borderId="4" xfId="0" applyNumberFormat="1" applyFont="1" applyBorder="1"/>
    <xf numFmtId="166" fontId="2" fillId="0" borderId="8" xfId="0" applyNumberFormat="1" applyFont="1" applyBorder="1"/>
    <xf numFmtId="2" fontId="2" fillId="0" borderId="6" xfId="0" applyNumberFormat="1" applyFont="1" applyBorder="1"/>
    <xf numFmtId="164" fontId="2" fillId="0" borderId="4" xfId="0" applyNumberFormat="1" applyFont="1" applyBorder="1" applyAlignment="1">
      <alignment wrapText="1"/>
    </xf>
    <xf numFmtId="164" fontId="2" fillId="0" borderId="6" xfId="0" applyNumberFormat="1" applyFont="1" applyBorder="1" applyAlignment="1">
      <alignment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2" fillId="3" borderId="0" xfId="0" applyFont="1" applyFill="1" applyAlignment="1">
      <alignment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5" fillId="0" borderId="0" xfId="0" applyFont="1" applyAlignment="1">
      <alignment wrapText="1"/>
    </xf>
    <xf numFmtId="0" fontId="5" fillId="0" borderId="3" xfId="0" applyFont="1" applyBorder="1" applyAlignment="1">
      <alignment wrapText="1"/>
    </xf>
    <xf numFmtId="0" fontId="2" fillId="8" borderId="0" xfId="0" applyFont="1" applyFill="1" applyAlignment="1">
      <alignment vertical="center" wrapText="1"/>
    </xf>
    <xf numFmtId="0" fontId="2" fillId="9" borderId="0" xfId="0" applyFont="1" applyFill="1" applyAlignment="1">
      <alignment vertical="center" wrapText="1"/>
    </xf>
    <xf numFmtId="0" fontId="7" fillId="10" borderId="0" xfId="0" applyFont="1" applyFill="1" applyAlignment="1">
      <alignment vertical="center" wrapText="1"/>
    </xf>
    <xf numFmtId="0" fontId="4" fillId="11" borderId="9" xfId="0" applyFont="1" applyFill="1" applyBorder="1" applyAlignment="1">
      <alignment horizontal="center" vertical="center" wrapText="1"/>
    </xf>
    <xf numFmtId="0" fontId="4" fillId="11" borderId="10" xfId="0" applyFont="1" applyFill="1" applyBorder="1" applyAlignment="1">
      <alignment horizontal="center" vertical="center" wrapText="1"/>
    </xf>
    <xf numFmtId="0" fontId="2" fillId="8" borderId="1" xfId="0" applyFont="1" applyFill="1" applyBorder="1" applyAlignment="1">
      <alignment vertical="top" wrapText="1"/>
    </xf>
    <xf numFmtId="0" fontId="2" fillId="8" borderId="2" xfId="0" applyFont="1" applyFill="1" applyBorder="1" applyAlignment="1">
      <alignment vertical="top" wrapText="1"/>
    </xf>
    <xf numFmtId="0" fontId="2" fillId="8" borderId="3" xfId="0" applyFont="1" applyFill="1" applyBorder="1" applyAlignment="1">
      <alignment vertical="top" wrapText="1"/>
    </xf>
    <xf numFmtId="0" fontId="2" fillId="8" borderId="4" xfId="0" applyFont="1" applyFill="1" applyBorder="1" applyAlignment="1">
      <alignment vertical="top" wrapText="1"/>
    </xf>
    <xf numFmtId="0" fontId="2" fillId="8" borderId="5" xfId="0" applyFont="1" applyFill="1" applyBorder="1" applyAlignment="1">
      <alignment vertical="top" wrapText="1"/>
    </xf>
    <xf numFmtId="0" fontId="2" fillId="8" borderId="6" xfId="0" applyFont="1" applyFill="1" applyBorder="1" applyAlignment="1">
      <alignment vertical="top" wrapText="1"/>
    </xf>
    <xf numFmtId="0" fontId="2" fillId="9" borderId="3" xfId="0" applyFont="1" applyFill="1" applyBorder="1" applyAlignment="1">
      <alignment vertical="center" wrapText="1"/>
    </xf>
    <xf numFmtId="0" fontId="2" fillId="9" borderId="4" xfId="0" applyFont="1" applyFill="1" applyBorder="1" applyAlignment="1">
      <alignment vertical="center" wrapText="1"/>
    </xf>
    <xf numFmtId="0" fontId="2" fillId="9" borderId="5" xfId="0" applyFont="1" applyFill="1" applyBorder="1" applyAlignment="1">
      <alignment vertical="center" wrapText="1"/>
    </xf>
    <xf numFmtId="0" fontId="2" fillId="9" borderId="6" xfId="0" applyFont="1" applyFill="1" applyBorder="1" applyAlignment="1">
      <alignment vertical="center" wrapText="1"/>
    </xf>
    <xf numFmtId="0" fontId="4" fillId="11" borderId="11" xfId="0" applyFont="1" applyFill="1" applyBorder="1" applyAlignment="1">
      <alignment horizontal="center" vertical="center" wrapText="1"/>
    </xf>
    <xf numFmtId="0" fontId="2" fillId="8" borderId="7" xfId="0" applyFont="1" applyFill="1" applyBorder="1" applyAlignment="1">
      <alignment vertical="top" wrapText="1"/>
    </xf>
    <xf numFmtId="164" fontId="2" fillId="8" borderId="7" xfId="0" applyNumberFormat="1" applyFont="1" applyFill="1" applyBorder="1" applyAlignment="1">
      <alignment vertical="top" wrapText="1"/>
    </xf>
    <xf numFmtId="0" fontId="2" fillId="8" borderId="0" xfId="0" applyFont="1" applyFill="1" applyAlignment="1">
      <alignment vertical="top" wrapText="1"/>
    </xf>
    <xf numFmtId="164" fontId="2" fillId="8" borderId="0" xfId="0" applyNumberFormat="1" applyFont="1" applyFill="1" applyAlignment="1">
      <alignment vertical="top" wrapText="1"/>
    </xf>
    <xf numFmtId="0" fontId="2" fillId="8" borderId="8" xfId="0" applyFont="1" applyFill="1" applyBorder="1" applyAlignment="1">
      <alignment vertical="top" wrapText="1"/>
    </xf>
    <xf numFmtId="164" fontId="2" fillId="8" borderId="8" xfId="0" applyNumberFormat="1" applyFont="1" applyFill="1" applyBorder="1" applyAlignment="1">
      <alignment vertical="top" wrapText="1"/>
    </xf>
    <xf numFmtId="167" fontId="2" fillId="8" borderId="7" xfId="0" applyNumberFormat="1" applyFont="1" applyFill="1" applyBorder="1" applyAlignment="1">
      <alignment vertical="top" wrapText="1"/>
    </xf>
    <xf numFmtId="167" fontId="2" fillId="8" borderId="0" xfId="0" applyNumberFormat="1" applyFont="1" applyFill="1" applyAlignment="1">
      <alignment vertical="top" wrapText="1"/>
    </xf>
    <xf numFmtId="167" fontId="2" fillId="8" borderId="8" xfId="0" applyNumberFormat="1" applyFont="1" applyFill="1" applyBorder="1" applyAlignment="1">
      <alignment vertical="top" wrapText="1"/>
    </xf>
    <xf numFmtId="164" fontId="2" fillId="8" borderId="2" xfId="0" applyNumberFormat="1" applyFont="1" applyFill="1" applyBorder="1" applyAlignment="1">
      <alignment vertical="top" wrapText="1"/>
    </xf>
    <xf numFmtId="164" fontId="2" fillId="8" borderId="4" xfId="0" applyNumberFormat="1" applyFont="1" applyFill="1" applyBorder="1" applyAlignment="1">
      <alignment vertical="top" wrapText="1"/>
    </xf>
    <xf numFmtId="164" fontId="2" fillId="8" borderId="6" xfId="0" applyNumberFormat="1" applyFont="1" applyFill="1" applyBorder="1" applyAlignment="1">
      <alignment vertical="top" wrapText="1"/>
    </xf>
    <xf numFmtId="0" fontId="2" fillId="9" borderId="8" xfId="0" applyFont="1" applyFill="1" applyBorder="1" applyAlignment="1">
      <alignment vertical="center" wrapText="1"/>
    </xf>
    <xf numFmtId="0" fontId="2" fillId="8" borderId="9" xfId="0" applyFont="1" applyFill="1" applyBorder="1" applyAlignment="1">
      <alignment vertical="top" wrapText="1"/>
    </xf>
    <xf numFmtId="0" fontId="2" fillId="8" borderId="11" xfId="0" applyFont="1" applyFill="1" applyBorder="1" applyAlignment="1">
      <alignment vertical="top" wrapText="1"/>
    </xf>
    <xf numFmtId="0" fontId="2" fillId="8" borderId="10" xfId="0" applyFont="1" applyFill="1" applyBorder="1" applyAlignment="1">
      <alignment vertical="top" wrapText="1"/>
    </xf>
    <xf numFmtId="9" fontId="2" fillId="8" borderId="7" xfId="0" applyNumberFormat="1" applyFont="1" applyFill="1" applyBorder="1" applyAlignment="1">
      <alignment vertical="top" wrapText="1"/>
    </xf>
    <xf numFmtId="9" fontId="2" fillId="8" borderId="0" xfId="0" applyNumberFormat="1" applyFont="1" applyFill="1" applyAlignment="1">
      <alignment vertical="top" wrapText="1"/>
    </xf>
    <xf numFmtId="9" fontId="2" fillId="8" borderId="8" xfId="0" applyNumberFormat="1" applyFont="1" applyFill="1" applyBorder="1" applyAlignment="1">
      <alignment vertical="top" wrapText="1"/>
    </xf>
    <xf numFmtId="168" fontId="2" fillId="8" borderId="7" xfId="0" applyNumberFormat="1" applyFont="1" applyFill="1" applyBorder="1" applyAlignment="1">
      <alignment vertical="top" wrapText="1"/>
    </xf>
    <xf numFmtId="168" fontId="2" fillId="8" borderId="0" xfId="0" applyNumberFormat="1" applyFont="1" applyFill="1" applyAlignment="1">
      <alignment vertical="top" wrapText="1"/>
    </xf>
    <xf numFmtId="168" fontId="2" fillId="8" borderId="8" xfId="0" applyNumberFormat="1" applyFont="1" applyFill="1" applyBorder="1" applyAlignment="1">
      <alignment vertical="top" wrapText="1"/>
    </xf>
    <xf numFmtId="167" fontId="2" fillId="8" borderId="2" xfId="0" applyNumberFormat="1" applyFont="1" applyFill="1" applyBorder="1" applyAlignment="1">
      <alignment vertical="top" wrapText="1"/>
    </xf>
    <xf numFmtId="167" fontId="2" fillId="8" borderId="4" xfId="0" applyNumberFormat="1" applyFont="1" applyFill="1" applyBorder="1" applyAlignment="1">
      <alignment vertical="top" wrapText="1"/>
    </xf>
    <xf numFmtId="167" fontId="2" fillId="8" borderId="6" xfId="0" applyNumberFormat="1" applyFont="1" applyFill="1" applyBorder="1" applyAlignment="1">
      <alignment vertical="top" wrapText="1"/>
    </xf>
    <xf numFmtId="0" fontId="2" fillId="9" borderId="8" xfId="0" applyFont="1" applyFill="1" applyBorder="1" applyAlignment="1">
      <alignment horizontal="center" vertical="center" wrapText="1"/>
    </xf>
    <xf numFmtId="1" fontId="2" fillId="8" borderId="7" xfId="0" applyNumberFormat="1" applyFont="1" applyFill="1" applyBorder="1" applyAlignment="1">
      <alignment horizontal="center" vertical="center" wrapText="1"/>
    </xf>
    <xf numFmtId="1" fontId="2" fillId="8" borderId="0" xfId="0" applyNumberFormat="1" applyFont="1" applyFill="1" applyAlignment="1">
      <alignment horizontal="center" vertical="center" wrapText="1"/>
    </xf>
    <xf numFmtId="164" fontId="2" fillId="8" borderId="0" xfId="0" applyNumberFormat="1" applyFont="1" applyFill="1" applyAlignment="1">
      <alignment horizontal="center" vertical="center" wrapText="1"/>
    </xf>
    <xf numFmtId="0" fontId="7" fillId="10" borderId="0" xfId="0" applyFont="1" applyFill="1" applyAlignment="1">
      <alignment vertical="center" wrapText="1"/>
    </xf>
    <xf numFmtId="0" fontId="2" fillId="9" borderId="1" xfId="0" applyFont="1" applyFill="1" applyBorder="1" applyAlignment="1">
      <alignment vertical="center" wrapText="1"/>
    </xf>
    <xf numFmtId="0" fontId="2" fillId="9" borderId="2" xfId="0" applyFont="1" applyFill="1" applyBorder="1" applyAlignment="1">
      <alignment vertical="center" wrapText="1"/>
    </xf>
    <xf numFmtId="0" fontId="2" fillId="9" borderId="3" xfId="0" applyFont="1" applyFill="1" applyBorder="1" applyAlignment="1">
      <alignment vertical="center" wrapText="1"/>
    </xf>
    <xf numFmtId="0" fontId="2" fillId="9" borderId="4" xfId="0" applyFont="1" applyFill="1" applyBorder="1" applyAlignment="1">
      <alignment vertical="center" wrapText="1"/>
    </xf>
    <xf numFmtId="0" fontId="2" fillId="9" borderId="5" xfId="0" applyFont="1" applyFill="1" applyBorder="1" applyAlignment="1">
      <alignment vertical="center" wrapText="1"/>
    </xf>
    <xf numFmtId="0" fontId="2" fillId="9" borderId="6" xfId="0" applyFont="1" applyFill="1" applyBorder="1" applyAlignment="1">
      <alignment vertical="center" wrapText="1"/>
    </xf>
    <xf numFmtId="0" fontId="3" fillId="7" borderId="0" xfId="0" applyFont="1" applyFill="1" applyAlignment="1">
      <alignment horizontal="left" vertical="center"/>
    </xf>
    <xf numFmtId="0" fontId="2" fillId="8" borderId="0" xfId="0" applyFont="1" applyFill="1" applyAlignment="1">
      <alignment vertical="center" wrapText="1"/>
    </xf>
    <xf numFmtId="0" fontId="2" fillId="0" borderId="0" xfId="0" applyFont="1" applyAlignment="1">
      <alignment wrapText="1"/>
    </xf>
    <xf numFmtId="0" fontId="2" fillId="0" borderId="4" xfId="0" applyFont="1" applyBorder="1" applyAlignment="1">
      <alignment wrapText="1"/>
    </xf>
    <xf numFmtId="0" fontId="2" fillId="0" borderId="8" xfId="0" applyFont="1" applyBorder="1" applyAlignment="1">
      <alignment wrapText="1"/>
    </xf>
    <xf numFmtId="0" fontId="2" fillId="0" borderId="6" xfId="0" applyFont="1" applyBorder="1" applyAlignment="1">
      <alignment wrapText="1"/>
    </xf>
    <xf numFmtId="0" fontId="6" fillId="4" borderId="0" xfId="0" applyFont="1" applyFill="1" applyAlignment="1">
      <alignment horizontal="center" vertical="center" wrapText="1"/>
    </xf>
    <xf numFmtId="0" fontId="4" fillId="4" borderId="0" xfId="0" applyFont="1" applyFill="1" applyAlignment="1">
      <alignment horizontal="center" vertical="center" wrapText="1"/>
    </xf>
    <xf numFmtId="0" fontId="2" fillId="0" borderId="7" xfId="0" applyFont="1" applyBorder="1" applyAlignment="1">
      <alignment wrapText="1"/>
    </xf>
    <xf numFmtId="0" fontId="2" fillId="0" borderId="2" xfId="0" applyFont="1" applyBorder="1" applyAlignment="1">
      <alignment wrapText="1"/>
    </xf>
    <xf numFmtId="0" fontId="2" fillId="9" borderId="7" xfId="0" applyFont="1" applyFill="1" applyBorder="1" applyAlignment="1">
      <alignment vertical="center" wrapText="1"/>
    </xf>
    <xf numFmtId="0" fontId="2" fillId="9" borderId="8" xfId="0" applyFont="1" applyFill="1" applyBorder="1" applyAlignment="1">
      <alignment vertical="center" wrapText="1"/>
    </xf>
    <xf numFmtId="0" fontId="2" fillId="9" borderId="0" xfId="0" applyFont="1" applyFill="1" applyAlignment="1">
      <alignment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2" fillId="9" borderId="9" xfId="0" applyFont="1" applyFill="1" applyBorder="1" applyAlignment="1">
      <alignment vertical="center" wrapText="1"/>
    </xf>
    <xf numFmtId="0" fontId="2" fillId="9" borderId="11" xfId="0" applyFont="1" applyFill="1" applyBorder="1" applyAlignment="1">
      <alignment vertical="center" wrapText="1"/>
    </xf>
    <xf numFmtId="0" fontId="2" fillId="9" borderId="10" xfId="0" applyFont="1" applyFill="1" applyBorder="1" applyAlignment="1">
      <alignment vertical="center" wrapText="1"/>
    </xf>
    <xf numFmtId="0" fontId="3" fillId="7" borderId="0" xfId="0" applyFont="1" applyFill="1" applyAlignment="1">
      <alignment vertical="center"/>
    </xf>
    <xf numFmtId="0" fontId="4" fillId="11" borderId="11" xfId="0" applyFont="1" applyFill="1" applyBorder="1" applyAlignment="1">
      <alignment horizontal="center" vertical="center" wrapText="1"/>
    </xf>
    <xf numFmtId="0" fontId="4" fillId="11" borderId="10" xfId="0" applyFont="1" applyFill="1" applyBorder="1" applyAlignment="1">
      <alignment horizontal="center" vertical="center" wrapText="1"/>
    </xf>
    <xf numFmtId="0" fontId="2" fillId="8" borderId="11" xfId="0" applyFont="1" applyFill="1" applyBorder="1" applyAlignment="1">
      <alignment vertical="top" wrapText="1"/>
    </xf>
    <xf numFmtId="0" fontId="2" fillId="8" borderId="1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Best cleaned accuracy and F1 by provider</a:t>
            </a:r>
          </a:p>
        </c:rich>
      </c:tx>
      <c:overlay val="0"/>
    </c:title>
    <c:autoTitleDeleted val="0"/>
    <c:plotArea>
      <c:layout/>
      <c:barChart>
        <c:barDir val="col"/>
        <c:grouping val="clustered"/>
        <c:varyColors val="0"/>
        <c:ser>
          <c:idx val="0"/>
          <c:order val="0"/>
          <c:tx>
            <c:v>Accuracy</c:v>
          </c:tx>
          <c:invertIfNegative val="1"/>
          <c:cat>
            <c:strRef>
              <c:f>Dashboard!$P$6:$P$8</c:f>
              <c:strCache>
                <c:ptCount val="3"/>
                <c:pt idx="0">
                  <c:v>OpenAI</c:v>
                </c:pt>
                <c:pt idx="1">
                  <c:v>Google</c:v>
                </c:pt>
                <c:pt idx="2">
                  <c:v>Anthropic</c:v>
                </c:pt>
              </c:strCache>
            </c:strRef>
          </c:cat>
          <c:val>
            <c:numRef>
              <c:f>Dashboard!$Q$6:$Q$8</c:f>
              <c:numCache>
                <c:formatCode>0.0%</c:formatCode>
                <c:ptCount val="3"/>
                <c:pt idx="0">
                  <c:v>0.72499999999999998</c:v>
                </c:pt>
                <c:pt idx="1">
                  <c:v>0.71739130429999998</c:v>
                </c:pt>
                <c:pt idx="2">
                  <c:v>0.7</c:v>
                </c:pt>
              </c:numCache>
            </c:numRef>
          </c:val>
          <c:extLst>
            <c:ext xmlns:c16="http://schemas.microsoft.com/office/drawing/2014/chart" uri="{C3380CC4-5D6E-409C-BE32-E72D297353CC}">
              <c16:uniqueId val="{00000000-8E09-499D-BF2E-9A50BA36BEDB}"/>
            </c:ext>
          </c:extLst>
        </c:ser>
        <c:ser>
          <c:idx val="1"/>
          <c:order val="1"/>
          <c:tx>
            <c:v>F1</c:v>
          </c:tx>
          <c:invertIfNegative val="1"/>
          <c:cat>
            <c:strRef>
              <c:f>Dashboard!$P$6:$P$8</c:f>
              <c:strCache>
                <c:ptCount val="3"/>
                <c:pt idx="0">
                  <c:v>OpenAI</c:v>
                </c:pt>
                <c:pt idx="1">
                  <c:v>Google</c:v>
                </c:pt>
                <c:pt idx="2">
                  <c:v>Anthropic</c:v>
                </c:pt>
              </c:strCache>
            </c:strRef>
          </c:cat>
          <c:val>
            <c:numRef>
              <c:f>Dashboard!$R$6:$R$8</c:f>
              <c:numCache>
                <c:formatCode>0.0%</c:formatCode>
                <c:ptCount val="3"/>
                <c:pt idx="0">
                  <c:v>0.80701754390000002</c:v>
                </c:pt>
                <c:pt idx="1">
                  <c:v>0.81159420289999995</c:v>
                </c:pt>
                <c:pt idx="2">
                  <c:v>0.8064516129</c:v>
                </c:pt>
              </c:numCache>
            </c:numRef>
          </c:val>
          <c:extLst>
            <c:ext xmlns:c16="http://schemas.microsoft.com/office/drawing/2014/chart" uri="{C3380CC4-5D6E-409C-BE32-E72D297353CC}">
              <c16:uniqueId val="{00000001-8E09-499D-BF2E-9A50BA36BED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Production inter-coder reliability</a:t>
            </a:r>
          </a:p>
        </c:rich>
      </c:tx>
      <c:overlay val="0"/>
    </c:title>
    <c:autoTitleDeleted val="0"/>
    <c:plotArea>
      <c:layout/>
      <c:barChart>
        <c:barDir val="col"/>
        <c:grouping val="clustered"/>
        <c:varyColors val="0"/>
        <c:ser>
          <c:idx val="0"/>
          <c:order val="0"/>
          <c:tx>
            <c:v>Unanimous agreement</c:v>
          </c:tx>
          <c:invertIfNegative val="1"/>
          <c:cat>
            <c:strRef>
              <c:f>Dashboard!$P$13:$P$15</c:f>
              <c:strCache>
                <c:ptCount val="3"/>
                <c:pt idx="0">
                  <c:v>Unlearning binary</c:v>
                </c:pt>
                <c:pt idx="1">
                  <c:v>Target including none</c:v>
                </c:pt>
                <c:pt idx="2">
                  <c:v>Target on positive rows</c:v>
                </c:pt>
              </c:strCache>
            </c:strRef>
          </c:cat>
          <c:val>
            <c:numRef>
              <c:f>Dashboard!$Q$13:$Q$15</c:f>
              <c:numCache>
                <c:formatCode>0.0%</c:formatCode>
                <c:ptCount val="3"/>
                <c:pt idx="0">
                  <c:v>0.6875</c:v>
                </c:pt>
                <c:pt idx="1">
                  <c:v>0.65625</c:v>
                </c:pt>
                <c:pt idx="2">
                  <c:v>0.214286</c:v>
                </c:pt>
              </c:numCache>
            </c:numRef>
          </c:val>
          <c:extLst>
            <c:ext xmlns:c16="http://schemas.microsoft.com/office/drawing/2014/chart" uri="{C3380CC4-5D6E-409C-BE32-E72D297353CC}">
              <c16:uniqueId val="{00000000-297C-4C0F-8136-DD983B8F5A6B}"/>
            </c:ext>
          </c:extLst>
        </c:ser>
        <c:ser>
          <c:idx val="1"/>
          <c:order val="1"/>
          <c:tx>
            <c:v>Fleiss κ</c:v>
          </c:tx>
          <c:invertIfNegative val="1"/>
          <c:cat>
            <c:strRef>
              <c:f>Dashboard!$P$13:$P$15</c:f>
              <c:strCache>
                <c:ptCount val="3"/>
                <c:pt idx="0">
                  <c:v>Unlearning binary</c:v>
                </c:pt>
                <c:pt idx="1">
                  <c:v>Target including none</c:v>
                </c:pt>
                <c:pt idx="2">
                  <c:v>Target on positive rows</c:v>
                </c:pt>
              </c:strCache>
            </c:strRef>
          </c:cat>
          <c:val>
            <c:numRef>
              <c:f>Dashboard!$R$13:$R$15</c:f>
              <c:numCache>
                <c:formatCode>0.0%</c:formatCode>
                <c:ptCount val="3"/>
                <c:pt idx="0">
                  <c:v>0.48470200000000002</c:v>
                </c:pt>
                <c:pt idx="1">
                  <c:v>0.43859599999999999</c:v>
                </c:pt>
                <c:pt idx="2">
                  <c:v>0.15151500000000001</c:v>
                </c:pt>
              </c:numCache>
            </c:numRef>
          </c:val>
          <c:extLst>
            <c:ext xmlns:c16="http://schemas.microsoft.com/office/drawing/2014/chart" uri="{C3380CC4-5D6E-409C-BE32-E72D297353CC}">
              <c16:uniqueId val="{00000001-297C-4C0F-8136-DD983B8F5A6B}"/>
            </c:ext>
          </c:extLst>
        </c:ser>
        <c:ser>
          <c:idx val="2"/>
          <c:order val="2"/>
          <c:tx>
            <c:v>Krippendorff α</c:v>
          </c:tx>
          <c:invertIfNegative val="1"/>
          <c:cat>
            <c:strRef>
              <c:f>Dashboard!$P$13:$P$15</c:f>
              <c:strCache>
                <c:ptCount val="3"/>
                <c:pt idx="0">
                  <c:v>Unlearning binary</c:v>
                </c:pt>
                <c:pt idx="1">
                  <c:v>Target including none</c:v>
                </c:pt>
                <c:pt idx="2">
                  <c:v>Target on positive rows</c:v>
                </c:pt>
              </c:strCache>
            </c:strRef>
          </c:cat>
          <c:val>
            <c:numRef>
              <c:f>Dashboard!$S$13:$S$15</c:f>
              <c:numCache>
                <c:formatCode>0.0%</c:formatCode>
                <c:ptCount val="3"/>
                <c:pt idx="0">
                  <c:v>0.49007000000000001</c:v>
                </c:pt>
                <c:pt idx="1">
                  <c:v>0.44444400000000001</c:v>
                </c:pt>
                <c:pt idx="2">
                  <c:v>0.17171700000000001</c:v>
                </c:pt>
              </c:numCache>
            </c:numRef>
          </c:val>
          <c:extLst>
            <c:ext xmlns:c16="http://schemas.microsoft.com/office/drawing/2014/chart" uri="{C3380CC4-5D6E-409C-BE32-E72D297353CC}">
              <c16:uniqueId val="{00000002-297C-4C0F-8136-DD983B8F5A6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Yes recall by prompt</a:t>
            </a:r>
          </a:p>
        </c:rich>
      </c:tx>
      <c:overlay val="0"/>
    </c:title>
    <c:autoTitleDeleted val="0"/>
    <c:plotArea>
      <c:layout/>
      <c:barChart>
        <c:barDir val="col"/>
        <c:grouping val="clustered"/>
        <c:varyColors val="0"/>
        <c:ser>
          <c:idx val="0"/>
          <c:order val="0"/>
          <c:tx>
            <c:v>Yes recall</c:v>
          </c:tx>
          <c:invertIfNegative val="1"/>
          <c:cat>
            <c:strRef>
              <c:f>'v3 Prompt Parity'!$I$6:$I$9</c:f>
              <c:strCache>
                <c:ptCount val="4"/>
                <c:pt idx="0">
                  <c:v>Direct</c:v>
                </c:pt>
                <c:pt idx="1">
                  <c:v>Definitions</c:v>
                </c:pt>
                <c:pt idx="2">
                  <c:v>Definitions + examples</c:v>
                </c:pt>
                <c:pt idx="3">
                  <c:v>Definitions + examples + metadata</c:v>
                </c:pt>
              </c:strCache>
            </c:strRef>
          </c:cat>
          <c:val>
            <c:numRef>
              <c:f>'v3 Prompt Parity'!$J$6:$J$9</c:f>
              <c:numCache>
                <c:formatCode>0.0%</c:formatCode>
                <c:ptCount val="4"/>
                <c:pt idx="0">
                  <c:v>0.18181818180000001</c:v>
                </c:pt>
                <c:pt idx="1">
                  <c:v>0.54545454550000005</c:v>
                </c:pt>
                <c:pt idx="2">
                  <c:v>0.63636363640000004</c:v>
                </c:pt>
                <c:pt idx="3">
                  <c:v>0.72727272730000003</c:v>
                </c:pt>
              </c:numCache>
            </c:numRef>
          </c:val>
          <c:extLst>
            <c:ext xmlns:c16="http://schemas.microsoft.com/office/drawing/2014/chart" uri="{C3380CC4-5D6E-409C-BE32-E72D297353CC}">
              <c16:uniqueId val="{00000000-C56A-4C70-8F56-B22FFC06344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Mean Yes recall across complete groups</a:t>
            </a:r>
          </a:p>
        </c:rich>
      </c:tx>
      <c:overlay val="0"/>
    </c:title>
    <c:autoTitleDeleted val="0"/>
    <c:plotArea>
      <c:layout/>
      <c:barChart>
        <c:barDir val="col"/>
        <c:grouping val="clustered"/>
        <c:varyColors val="0"/>
        <c:ser>
          <c:idx val="0"/>
          <c:order val="0"/>
          <c:tx>
            <c:v>Mean recall</c:v>
          </c:tx>
          <c:invertIfNegative val="1"/>
          <c:cat>
            <c:strRef>
              <c:f>'v4 Model Grid'!$I$6:$I$9</c:f>
              <c:strCache>
                <c:ptCount val="4"/>
                <c:pt idx="0">
                  <c:v>Direct</c:v>
                </c:pt>
                <c:pt idx="1">
                  <c:v>Definitions</c:v>
                </c:pt>
                <c:pt idx="2">
                  <c:v>Definitions + examples</c:v>
                </c:pt>
                <c:pt idx="3">
                  <c:v>Definitions + examples + metadata</c:v>
                </c:pt>
              </c:strCache>
            </c:strRef>
          </c:cat>
          <c:val>
            <c:numRef>
              <c:f>'v4 Model Grid'!$J$6:$J$9</c:f>
              <c:numCache>
                <c:formatCode>0.0%</c:formatCode>
                <c:ptCount val="4"/>
                <c:pt idx="0">
                  <c:v>0.61038961039999995</c:v>
                </c:pt>
                <c:pt idx="1">
                  <c:v>0.77272727269999997</c:v>
                </c:pt>
                <c:pt idx="2">
                  <c:v>0.85454545449999997</c:v>
                </c:pt>
                <c:pt idx="3">
                  <c:v>0.78181818179999996</c:v>
                </c:pt>
              </c:numCache>
            </c:numRef>
          </c:val>
          <c:extLst>
            <c:ext xmlns:c16="http://schemas.microsoft.com/office/drawing/2014/chart" uri="{C3380CC4-5D6E-409C-BE32-E72D297353CC}">
              <c16:uniqueId val="{00000000-FF4C-48D2-9FE1-95118EE75BB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Positive recall by model</a:t>
            </a:r>
          </a:p>
        </c:rich>
      </c:tx>
      <c:overlay val="0"/>
    </c:title>
    <c:autoTitleDeleted val="0"/>
    <c:plotArea>
      <c:layout/>
      <c:barChart>
        <c:barDir val="col"/>
        <c:grouping val="clustered"/>
        <c:varyColors val="0"/>
        <c:ser>
          <c:idx val="0"/>
          <c:order val="0"/>
          <c:tx>
            <c:v>Recall</c:v>
          </c:tx>
          <c:invertIfNegative val="1"/>
          <c:cat>
            <c:strRef>
              <c:f>'v5 Mixed Benchmark'!$S$6:$S$10</c:f>
              <c:strCache>
                <c:ptCount val="5"/>
                <c:pt idx="0">
                  <c:v>Claude 3.5 Haiku</c:v>
                </c:pt>
                <c:pt idx="1">
                  <c:v>Gemini 3.1 Flash Lite</c:v>
                </c:pt>
                <c:pt idx="2">
                  <c:v>Claude Sonnet 5</c:v>
                </c:pt>
                <c:pt idx="3">
                  <c:v>GPT-5.4</c:v>
                </c:pt>
                <c:pt idx="4">
                  <c:v>GPT-5.6 Terra</c:v>
                </c:pt>
              </c:strCache>
            </c:strRef>
          </c:cat>
          <c:val>
            <c:numRef>
              <c:f>'v5 Mixed Benchmark'!$T$6:$T$10</c:f>
              <c:numCache>
                <c:formatCode>0.0%</c:formatCode>
                <c:ptCount val="5"/>
                <c:pt idx="0">
                  <c:v>0.53846153846153844</c:v>
                </c:pt>
                <c:pt idx="1">
                  <c:v>0.46153846153846156</c:v>
                </c:pt>
                <c:pt idx="2">
                  <c:v>0.35897435897435898</c:v>
                </c:pt>
                <c:pt idx="3">
                  <c:v>0.28205128205128205</c:v>
                </c:pt>
                <c:pt idx="4">
                  <c:v>0.23076923076923078</c:v>
                </c:pt>
              </c:numCache>
            </c:numRef>
          </c:val>
          <c:extLst>
            <c:ext xmlns:c16="http://schemas.microsoft.com/office/drawing/2014/chart" uri="{C3380CC4-5D6E-409C-BE32-E72D297353CC}">
              <c16:uniqueId val="{00000000-CD53-45A0-97C4-AB449223442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Best cleaned strategy by provider</a:t>
            </a:r>
          </a:p>
        </c:rich>
      </c:tx>
      <c:overlay val="0"/>
    </c:title>
    <c:autoTitleDeleted val="0"/>
    <c:plotArea>
      <c:layout/>
      <c:barChart>
        <c:barDir val="col"/>
        <c:grouping val="clustered"/>
        <c:varyColors val="0"/>
        <c:ser>
          <c:idx val="0"/>
          <c:order val="0"/>
          <c:tx>
            <c:v>Accuracy</c:v>
          </c:tx>
          <c:invertIfNegative val="1"/>
          <c:cat>
            <c:strRef>
              <c:f>'Cleaned Benchmark'!$Q$6:$Q$8</c:f>
              <c:strCache>
                <c:ptCount val="3"/>
                <c:pt idx="0">
                  <c:v>OpenAI</c:v>
                </c:pt>
                <c:pt idx="1">
                  <c:v>Google</c:v>
                </c:pt>
                <c:pt idx="2">
                  <c:v>Anthropic</c:v>
                </c:pt>
              </c:strCache>
            </c:strRef>
          </c:cat>
          <c:val>
            <c:numRef>
              <c:f>'Cleaned Benchmark'!$R$6:$R$8</c:f>
              <c:numCache>
                <c:formatCode>0.0%</c:formatCode>
                <c:ptCount val="3"/>
                <c:pt idx="0">
                  <c:v>0.72499999999999998</c:v>
                </c:pt>
                <c:pt idx="1">
                  <c:v>0.71739130434782605</c:v>
                </c:pt>
                <c:pt idx="2">
                  <c:v>0.7</c:v>
                </c:pt>
              </c:numCache>
            </c:numRef>
          </c:val>
          <c:extLst>
            <c:ext xmlns:c16="http://schemas.microsoft.com/office/drawing/2014/chart" uri="{C3380CC4-5D6E-409C-BE32-E72D297353CC}">
              <c16:uniqueId val="{00000000-BD2B-481E-949F-0ED2D425700A}"/>
            </c:ext>
          </c:extLst>
        </c:ser>
        <c:ser>
          <c:idx val="1"/>
          <c:order val="1"/>
          <c:tx>
            <c:v>F1</c:v>
          </c:tx>
          <c:invertIfNegative val="1"/>
          <c:cat>
            <c:strRef>
              <c:f>'Cleaned Benchmark'!$Q$6:$Q$8</c:f>
              <c:strCache>
                <c:ptCount val="3"/>
                <c:pt idx="0">
                  <c:v>OpenAI</c:v>
                </c:pt>
                <c:pt idx="1">
                  <c:v>Google</c:v>
                </c:pt>
                <c:pt idx="2">
                  <c:v>Anthropic</c:v>
                </c:pt>
              </c:strCache>
            </c:strRef>
          </c:cat>
          <c:val>
            <c:numRef>
              <c:f>'Cleaned Benchmark'!$S$6:$S$8</c:f>
              <c:numCache>
                <c:formatCode>0.0%</c:formatCode>
                <c:ptCount val="3"/>
                <c:pt idx="0">
                  <c:v>0.80701754385964908</c:v>
                </c:pt>
                <c:pt idx="1">
                  <c:v>0.81159420289855078</c:v>
                </c:pt>
                <c:pt idx="2">
                  <c:v>0.80645161290322576</c:v>
                </c:pt>
              </c:numCache>
            </c:numRef>
          </c:val>
          <c:extLst>
            <c:ext xmlns:c16="http://schemas.microsoft.com/office/drawing/2014/chart" uri="{C3380CC4-5D6E-409C-BE32-E72D297353CC}">
              <c16:uniqueId val="{00000001-BD2B-481E-949F-0ED2D425700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Model–human Cohen κ</a:t>
            </a:r>
          </a:p>
        </c:rich>
      </c:tx>
      <c:overlay val="0"/>
    </c:title>
    <c:autoTitleDeleted val="0"/>
    <c:plotArea>
      <c:layout/>
      <c:barChart>
        <c:barDir val="col"/>
        <c:grouping val="clustered"/>
        <c:varyColors val="0"/>
        <c:ser>
          <c:idx val="0"/>
          <c:order val="0"/>
          <c:tx>
            <c:v>Cohen κ</c:v>
          </c:tx>
          <c:invertIfNegative val="1"/>
          <c:cat>
            <c:strRef>
              <c:f>Reliability!$I$6:$I$11</c:f>
              <c:strCache>
                <c:ptCount val="6"/>
                <c:pt idx="0">
                  <c:v>GPT-5.6 Terra — examples</c:v>
                </c:pt>
                <c:pt idx="1">
                  <c:v>Gemini 3.1 Flash Lite — direct</c:v>
                </c:pt>
                <c:pt idx="2">
                  <c:v>Claude Sonnet 5 — examples</c:v>
                </c:pt>
                <c:pt idx="3">
                  <c:v>Gemini 3.1 Flash Lite</c:v>
                </c:pt>
                <c:pt idx="4">
                  <c:v>Claude Sonnet 5</c:v>
                </c:pt>
                <c:pt idx="5">
                  <c:v>GPT-5.6 Terra</c:v>
                </c:pt>
              </c:strCache>
            </c:strRef>
          </c:cat>
          <c:val>
            <c:numRef>
              <c:f>Reliability!$J$6:$J$11</c:f>
              <c:numCache>
                <c:formatCode>0.0%</c:formatCode>
                <c:ptCount val="6"/>
                <c:pt idx="0">
                  <c:v>0.36781609199999998</c:v>
                </c:pt>
                <c:pt idx="1">
                  <c:v>0.25062656639999997</c:v>
                </c:pt>
                <c:pt idx="2">
                  <c:v>0.15194346289999999</c:v>
                </c:pt>
                <c:pt idx="3">
                  <c:v>0.21301775149999999</c:v>
                </c:pt>
                <c:pt idx="4">
                  <c:v>0.15706806279999999</c:v>
                </c:pt>
                <c:pt idx="5">
                  <c:v>0.1176470588</c:v>
                </c:pt>
              </c:numCache>
            </c:numRef>
          </c:val>
          <c:extLst>
            <c:ext xmlns:c16="http://schemas.microsoft.com/office/drawing/2014/chart" uri="{C3380CC4-5D6E-409C-BE32-E72D297353CC}">
              <c16:uniqueId val="{00000000-50CB-47AD-BBB4-13525B92F2A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Three-model consensus distribution</a:t>
            </a:r>
          </a:p>
        </c:rich>
      </c:tx>
      <c:overlay val="0"/>
    </c:title>
    <c:autoTitleDeleted val="0"/>
    <c:plotArea>
      <c:layout/>
      <c:barChart>
        <c:barDir val="col"/>
        <c:grouping val="clustered"/>
        <c:varyColors val="0"/>
        <c:ser>
          <c:idx val="0"/>
          <c:order val="0"/>
          <c:invertIfNegative val="1"/>
          <c:cat>
            <c:strRef>
              <c:f>'Production Run'!$E$6:$E$9</c:f>
              <c:strCache>
                <c:ptCount val="4"/>
                <c:pt idx="0">
                  <c:v>Unanimous No</c:v>
                </c:pt>
                <c:pt idx="1">
                  <c:v>Majority No / one positive</c:v>
                </c:pt>
                <c:pt idx="2">
                  <c:v>Majority Yes</c:v>
                </c:pt>
                <c:pt idx="3">
                  <c:v>Unanimous Yes</c:v>
                </c:pt>
              </c:strCache>
            </c:strRef>
          </c:cat>
          <c:val>
            <c:numRef>
              <c:f>'Production Run'!$F$6:$F$9</c:f>
              <c:numCache>
                <c:formatCode>General</c:formatCode>
                <c:ptCount val="4"/>
                <c:pt idx="0">
                  <c:v>18</c:v>
                </c:pt>
                <c:pt idx="1">
                  <c:v>5</c:v>
                </c:pt>
                <c:pt idx="2">
                  <c:v>5</c:v>
                </c:pt>
                <c:pt idx="3">
                  <c:v>4</c:v>
                </c:pt>
              </c:numCache>
            </c:numRef>
          </c:val>
          <c:extLst>
            <c:ext xmlns:c16="http://schemas.microsoft.com/office/drawing/2014/chart" uri="{C3380CC4-5D6E-409C-BE32-E72D297353CC}">
              <c16:uniqueId val="{00000000-DF95-47E0-861D-45C656252E2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0</xdr:colOff>
      <xdr:row>4</xdr:row>
      <xdr:rowOff>0</xdr:rowOff>
    </xdr:from>
    <xdr:to>
      <xdr:col>14</xdr:col>
      <xdr:colOff>0</xdr:colOff>
      <xdr:row>17</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0</xdr:rowOff>
    </xdr:from>
    <xdr:to>
      <xdr:col>14</xdr:col>
      <xdr:colOff>0</xdr:colOff>
      <xdr:row>31</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10</xdr:row>
      <xdr:rowOff>0</xdr:rowOff>
    </xdr:from>
    <xdr:to>
      <xdr:col>14</xdr:col>
      <xdr:colOff>0</xdr:colOff>
      <xdr:row>24</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10</xdr:row>
      <xdr:rowOff>0</xdr:rowOff>
    </xdr:from>
    <xdr:to>
      <xdr:col>14</xdr:col>
      <xdr:colOff>0</xdr:colOff>
      <xdr:row>24</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0</xdr:colOff>
      <xdr:row>11</xdr:row>
      <xdr:rowOff>0</xdr:rowOff>
    </xdr:from>
    <xdr:to>
      <xdr:col>25</xdr:col>
      <xdr:colOff>0</xdr:colOff>
      <xdr:row>27</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9</xdr:row>
      <xdr:rowOff>0</xdr:rowOff>
    </xdr:from>
    <xdr:to>
      <xdr:col>23</xdr:col>
      <xdr:colOff>0</xdr:colOff>
      <xdr:row>24</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12</xdr:row>
      <xdr:rowOff>0</xdr:rowOff>
    </xdr:from>
    <xdr:to>
      <xdr:col>15</xdr:col>
      <xdr:colOff>0</xdr:colOff>
      <xdr:row>28</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10</xdr:row>
      <xdr:rowOff>0</xdr:rowOff>
    </xdr:from>
    <xdr:to>
      <xdr:col>11</xdr:col>
      <xdr:colOff>0</xdr:colOff>
      <xdr:row>26</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rsionOverviewTable" displayName="VersionOverviewTable" ref="A5:G12">
  <tableColumns count="7">
    <tableColumn id="1" xr3:uid="{00000000-0010-0000-0000-000001000000}" name="Version"/>
    <tableColumn id="2" xr3:uid="{00000000-0010-0000-0000-000002000000}" name="Purpose"/>
    <tableColumn id="3" xr3:uid="{00000000-0010-0000-0000-000003000000}" name="Evaluation set"/>
    <tableColumn id="4" xr3:uid="{00000000-0010-0000-0000-000004000000}" name="Run design"/>
    <tableColumn id="5" xr3:uid="{00000000-0010-0000-0000-000005000000}" name="Completion"/>
    <tableColumn id="6" xr3:uid="{00000000-0010-0000-0000-000006000000}" name="Primary metric"/>
    <tableColumn id="7" xr3:uid="{00000000-0010-0000-0000-000007000000}" name="Best-supported takeawa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2OpenAITable" displayName="V2OpenAITable" ref="A5:G9">
  <tableColumns count="7">
    <tableColumn id="1" xr3:uid="{00000000-0010-0000-0100-000001000000}" name="OpenAI prompt"/>
    <tableColumn id="2" xr3:uid="{00000000-0010-0000-0100-000002000000}" name="Rows"/>
    <tableColumn id="3" xr3:uid="{00000000-0010-0000-0100-000003000000}" name="Predicted Yes"/>
    <tableColumn id="4" xr3:uid="{00000000-0010-0000-0100-000004000000}" name="Predicted No"/>
    <tableColumn id="5" xr3:uid="{00000000-0010-0000-0100-000005000000}" name="Yes recall"/>
    <tableColumn id="6" xr3:uid="{00000000-0010-0000-0100-000006000000}" name="Avg tokens / passage"/>
    <tableColumn id="7" xr3:uid="{00000000-0010-0000-0100-000007000000}" name="Estimated cost US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2CoverageTable" displayName="V2CoverageTable" ref="A12:F15">
  <tableColumns count="6">
    <tableColumn id="1" xr3:uid="{00000000-0010-0000-0200-000001000000}" name="Provider"/>
    <tableColumn id="2" xr3:uid="{00000000-0010-0000-0200-000002000000}" name="Model / run"/>
    <tableColumn id="3" xr3:uid="{00000000-0010-0000-0200-000003000000}" name="Planned calls"/>
    <tableColumn id="4" xr3:uid="{00000000-0010-0000-0200-000004000000}" name="Usable outputs"/>
    <tableColumn id="5" xr3:uid="{00000000-0010-0000-0200-000005000000}" name="Unavailable outputs"/>
    <tableColumn id="6" xr3:uid="{00000000-0010-0000-0200-000006000000}" name="Coverage no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V3PromptTable" displayName="V3PromptTable" ref="A5:G9">
  <tableColumns count="7">
    <tableColumn id="1" xr3:uid="{00000000-0010-0000-0300-000001000000}" name="Prompt strategy"/>
    <tableColumn id="2" xr3:uid="{00000000-0010-0000-0300-000002000000}" name="Rows"/>
    <tableColumn id="3" xr3:uid="{00000000-0010-0000-0300-000003000000}" name="Predicted Yes"/>
    <tableColumn id="4" xr3:uid="{00000000-0010-0000-0300-000004000000}" name="Predicted No"/>
    <tableColumn id="5" xr3:uid="{00000000-0010-0000-0300-000005000000}" name="Total tokens"/>
    <tableColumn id="6" xr3:uid="{00000000-0010-0000-0300-000006000000}" name="Cost USD"/>
    <tableColumn id="7" xr3:uid="{00000000-0010-0000-0300-000007000000}" name="Yes reca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V4PromptSummaryTable" displayName="V4PromptSummaryTable" ref="A5:G9">
  <tableColumns count="7">
    <tableColumn id="1" xr3:uid="{00000000-0010-0000-0400-000001000000}" name="Prompt strategy"/>
    <tableColumn id="2" xr3:uid="{00000000-0010-0000-0400-000002000000}" name="Complete model groups"/>
    <tableColumn id="3" xr3:uid="{00000000-0010-0000-0400-000003000000}" name="Mean Yes recall"/>
    <tableColumn id="4" xr3:uid="{00000000-0010-0000-0400-000004000000}" name="Median Yes recall"/>
    <tableColumn id="5" xr3:uid="{00000000-0010-0000-0400-000005000000}" name="Minimum recall"/>
    <tableColumn id="6" xr3:uid="{00000000-0010-0000-0400-000006000000}" name="Maximum recall"/>
    <tableColumn id="7" xr3:uid="{00000000-0010-0000-0400-000007000000}" name="Total cost US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V5MetricsTable" displayName="V5MetricsTable" ref="A5:Q10">
  <tableColumns count="17">
    <tableColumn id="1" xr3:uid="{00000000-0010-0000-0500-000001000000}" name="Provider"/>
    <tableColumn id="2" xr3:uid="{00000000-0010-0000-0500-000002000000}" name="Model"/>
    <tableColumn id="3" xr3:uid="{00000000-0010-0000-0500-000003000000}" name="N"/>
    <tableColumn id="4" xr3:uid="{00000000-0010-0000-0500-000004000000}" name="TP"/>
    <tableColumn id="5" xr3:uid="{00000000-0010-0000-0500-000005000000}" name="TN"/>
    <tableColumn id="6" xr3:uid="{00000000-0010-0000-0500-000006000000}" name="FP"/>
    <tableColumn id="7" xr3:uid="{00000000-0010-0000-0500-000007000000}" name="FN"/>
    <tableColumn id="8" xr3:uid="{00000000-0010-0000-0500-000008000000}" name="Accuracy"/>
    <tableColumn id="9" xr3:uid="{00000000-0010-0000-0500-000009000000}" name="Precision"/>
    <tableColumn id="10" xr3:uid="{00000000-0010-0000-0500-00000A000000}" name="Recall"/>
    <tableColumn id="11" xr3:uid="{00000000-0010-0000-0500-00000B000000}" name="Specificity"/>
    <tableColumn id="12" xr3:uid="{00000000-0010-0000-0500-00000C000000}" name="F1"/>
    <tableColumn id="13" xr3:uid="{00000000-0010-0000-0500-00000D000000}" name="Balanced accuracy"/>
    <tableColumn id="14" xr3:uid="{00000000-0010-0000-0500-00000E000000}" name="Cohen κ"/>
    <tableColumn id="15" xr3:uid="{00000000-0010-0000-0500-00000F000000}" name="Mean confidence"/>
    <tableColumn id="16" xr3:uid="{00000000-0010-0000-0500-000010000000}" name="Cost USD"/>
    <tableColumn id="17" xr3:uid="{00000000-0010-0000-0500-000011000000}" name="Avg latency (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ocalOverallMetricsTable" displayName="LocalOverallMetricsTable" ref="A5:Q8">
  <tableColumns count="17">
    <tableColumn id="1" xr3:uid="{00000000-0010-0000-0600-000001000000}" name="Provider"/>
    <tableColumn id="2" xr3:uid="{00000000-0010-0000-0600-000002000000}" name="Model"/>
    <tableColumn id="3" xr3:uid="{00000000-0010-0000-0600-000003000000}" name="N"/>
    <tableColumn id="4" xr3:uid="{00000000-0010-0000-0600-000004000000}" name="TP"/>
    <tableColumn id="5" xr3:uid="{00000000-0010-0000-0600-000005000000}" name="TN"/>
    <tableColumn id="6" xr3:uid="{00000000-0010-0000-0600-000006000000}" name="FP"/>
    <tableColumn id="7" xr3:uid="{00000000-0010-0000-0600-000007000000}" name="FN"/>
    <tableColumn id="8" xr3:uid="{00000000-0010-0000-0600-000008000000}" name="Accuracy"/>
    <tableColumn id="9" xr3:uid="{00000000-0010-0000-0600-000009000000}" name="Precision"/>
    <tableColumn id="10" xr3:uid="{00000000-0010-0000-0600-00000A000000}" name="Recall"/>
    <tableColumn id="11" xr3:uid="{00000000-0010-0000-0600-00000B000000}" name="Specificity"/>
    <tableColumn id="12" xr3:uid="{00000000-0010-0000-0600-00000C000000}" name="F1"/>
    <tableColumn id="13" xr3:uid="{00000000-0010-0000-0600-00000D000000}" name="Balanced accuracy"/>
    <tableColumn id="14" xr3:uid="{00000000-0010-0000-0600-00000E000000}" name="Cohen κ"/>
    <tableColumn id="15" xr3:uid="{00000000-0010-0000-0600-00000F000000}" name="Mean confidence"/>
    <tableColumn id="16" xr3:uid="{00000000-0010-0000-0600-000010000000}" name="Cost USD"/>
    <tableColumn id="17" xr3:uid="{00000000-0010-0000-0600-000011000000}" name="Avg latency (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LocalDocumentMetricsTable" displayName="LocalDocumentMetricsTable" ref="A11:N20">
  <tableColumns count="14">
    <tableColumn id="1" xr3:uid="{00000000-0010-0000-0700-000001000000}" name="Document"/>
    <tableColumn id="2" xr3:uid="{00000000-0010-0000-0700-000002000000}" name="Model"/>
    <tableColumn id="3" xr3:uid="{00000000-0010-0000-0700-000003000000}" name="N"/>
    <tableColumn id="4" xr3:uid="{00000000-0010-0000-0700-000004000000}" name="TP"/>
    <tableColumn id="5" xr3:uid="{00000000-0010-0000-0700-000005000000}" name="TN"/>
    <tableColumn id="6" xr3:uid="{00000000-0010-0000-0700-000006000000}" name="FP"/>
    <tableColumn id="7" xr3:uid="{00000000-0010-0000-0700-000007000000}" name="FN"/>
    <tableColumn id="8" xr3:uid="{00000000-0010-0000-0700-000008000000}" name="Accuracy"/>
    <tableColumn id="9" xr3:uid="{00000000-0010-0000-0700-000009000000}" name="Precision"/>
    <tableColumn id="10" xr3:uid="{00000000-0010-0000-0700-00000A000000}" name="Recall"/>
    <tableColumn id="11" xr3:uid="{00000000-0010-0000-0700-00000B000000}" name="Specificity"/>
    <tableColumn id="12" xr3:uid="{00000000-0010-0000-0700-00000C000000}" name="F1"/>
    <tableColumn id="13" xr3:uid="{00000000-0010-0000-0700-00000D000000}" name="Balanced accuracy"/>
    <tableColumn id="14" xr3:uid="{00000000-0010-0000-0700-00000E000000}" name="Cohen κ"/>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leanedBenchmarkTable" displayName="CleanedBenchmarkTable" ref="A5:O17">
  <tableColumns count="15">
    <tableColumn id="1" xr3:uid="{00000000-0010-0000-0800-000001000000}" name="Provider"/>
    <tableColumn id="2" xr3:uid="{00000000-0010-0000-0800-000002000000}" name="Model"/>
    <tableColumn id="3" xr3:uid="{00000000-0010-0000-0800-000003000000}" name="Prompt strategy"/>
    <tableColumn id="4" xr3:uid="{00000000-0010-0000-0800-000004000000}" name="N"/>
    <tableColumn id="5" xr3:uid="{00000000-0010-0000-0800-000005000000}" name="TP"/>
    <tableColumn id="6" xr3:uid="{00000000-0010-0000-0800-000006000000}" name="TN"/>
    <tableColumn id="7" xr3:uid="{00000000-0010-0000-0800-000007000000}" name="FP"/>
    <tableColumn id="8" xr3:uid="{00000000-0010-0000-0800-000008000000}" name="FN"/>
    <tableColumn id="9" xr3:uid="{00000000-0010-0000-0800-000009000000}" name="Accuracy"/>
    <tableColumn id="10" xr3:uid="{00000000-0010-0000-0800-00000A000000}" name="Precision"/>
    <tableColumn id="11" xr3:uid="{00000000-0010-0000-0800-00000B000000}" name="Recall"/>
    <tableColumn id="12" xr3:uid="{00000000-0010-0000-0800-00000C000000}" name="Specificity"/>
    <tableColumn id="13" xr3:uid="{00000000-0010-0000-0800-00000D000000}" name="F1"/>
    <tableColumn id="14" xr3:uid="{00000000-0010-0000-0800-00000E000000}" name="Balanced accuracy"/>
    <tableColumn id="15" xr3:uid="{00000000-0010-0000-0800-00000F000000}" name="Cohen κ"/>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ProviderRecommendationTable" displayName="ProviderRecommendationTable" ref="A20:H23">
  <tableColumns count="8">
    <tableColumn id="1" xr3:uid="{00000000-0010-0000-0900-000001000000}" name="Provider"/>
    <tableColumn id="2" xr3:uid="{00000000-0010-0000-0900-000002000000}" name="Recommended strategy"/>
    <tableColumn id="3" xr3:uid="{00000000-0010-0000-0900-000003000000}" name="N"/>
    <tableColumn id="4" xr3:uid="{00000000-0010-0000-0900-000004000000}" name="Accuracy"/>
    <tableColumn id="5" xr3:uid="{00000000-0010-0000-0900-000005000000}" name="F1"/>
    <tableColumn id="6" xr3:uid="{00000000-0010-0000-0900-000006000000}" name="Cohen κ"/>
    <tableColumn id="7" xr3:uid="{00000000-0010-0000-0900-000007000000}" name="False positives"/>
    <tableColumn id="8" xr3:uid="{00000000-0010-0000-0900-000008000000}" name="Recommended rol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ModelHumanReliabilityTable" displayName="ModelHumanReliabilityTable" ref="A5:G11">
  <tableColumns count="7">
    <tableColumn id="1" xr3:uid="{00000000-0010-0000-0A00-000001000000}" name="Evaluation"/>
    <tableColumn id="2" xr3:uid="{00000000-0010-0000-0A00-000002000000}" name="Provider"/>
    <tableColumn id="3" xr3:uid="{00000000-0010-0000-0A00-000003000000}" name="Model / strategy"/>
    <tableColumn id="4" xr3:uid="{00000000-0010-0000-0A00-000004000000}" name="N"/>
    <tableColumn id="5" xr3:uid="{00000000-0010-0000-0A00-000005000000}" name="Accuracy"/>
    <tableColumn id="6" xr3:uid="{00000000-0010-0000-0A00-000006000000}" name="F1"/>
    <tableColumn id="7" xr3:uid="{00000000-0010-0000-0A00-000007000000}" name="Cohen κ vs huma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ProductionOverallReliabilityTable" displayName="ProductionOverallReliabilityTable" ref="A14:F20">
  <tableColumns count="6">
    <tableColumn id="1" xr3:uid="{00000000-0010-0000-0B00-000001000000}" name="Dimension"/>
    <tableColumn id="2" xr3:uid="{00000000-0010-0000-0B00-000002000000}" name="Scope"/>
    <tableColumn id="3" xr3:uid="{00000000-0010-0000-0B00-000003000000}" name="Units"/>
    <tableColumn id="4" xr3:uid="{00000000-0010-0000-0B00-000004000000}" name="Unanimous agreement"/>
    <tableColumn id="5" xr3:uid="{00000000-0010-0000-0B00-000005000000}" name="Fleiss κ"/>
    <tableColumn id="6" xr3:uid="{00000000-0010-0000-0B00-000006000000}" name="Krippendorff α"/>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ProductionPairwiseReliabilityTable" displayName="ProductionPairwiseReliabilityTable" ref="A23:G32">
  <tableColumns count="7">
    <tableColumn id="1" xr3:uid="{00000000-0010-0000-0C00-000001000000}" name="Dimension"/>
    <tableColumn id="2" xr3:uid="{00000000-0010-0000-0C00-000002000000}" name="Scope"/>
    <tableColumn id="3" xr3:uid="{00000000-0010-0000-0C00-000003000000}" name="Coder A"/>
    <tableColumn id="4" xr3:uid="{00000000-0010-0000-0C00-000004000000}" name="Coder B"/>
    <tableColumn id="5" xr3:uid="{00000000-0010-0000-0C00-000005000000}" name="Units"/>
    <tableColumn id="6" xr3:uid="{00000000-0010-0000-0C00-000006000000}" name="Percent agreement"/>
    <tableColumn id="7" xr3:uid="{00000000-0010-0000-0C00-000007000000}" name="Cohen κ"/>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roductionSummaryTable" displayName="ProductionSummaryTable" ref="A5:C16">
  <tableColumns count="3">
    <tableColumn id="1" xr3:uid="{00000000-0010-0000-0D00-000001000000}" name="Output measure"/>
    <tableColumn id="2" xr3:uid="{00000000-0010-0000-0D00-000002000000}" name="Value"/>
    <tableColumn id="3" xr3:uid="{00000000-0010-0000-0D00-000003000000}" name="Meaning"/>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ProductionAgreementTable" displayName="ProductionAgreementTable" ref="E5:F9">
  <tableColumns count="2">
    <tableColumn id="1" xr3:uid="{00000000-0010-0000-0E00-000001000000}" name="Agreement bucket"/>
    <tableColumn id="2" xr3:uid="{00000000-0010-0000-0E00-000002000000}" name="Paragraph occurrenc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1"/>
  <sheetViews>
    <sheetView topLeftCell="A6" zoomScale="135" workbookViewId="0">
      <selection sqref="A1:B1"/>
    </sheetView>
  </sheetViews>
  <sheetFormatPr defaultRowHeight="14"/>
  <cols>
    <col min="1" max="1" width="26" customWidth="1"/>
    <col min="2" max="2" width="40" customWidth="1"/>
  </cols>
  <sheetData>
    <row r="1" spans="1:26" ht="18.649999999999999" customHeight="1">
      <c r="A1" s="93" t="s">
        <v>161</v>
      </c>
      <c r="B1" s="93"/>
      <c r="C1" s="6"/>
      <c r="D1" s="6"/>
      <c r="E1" s="6"/>
      <c r="F1" s="6"/>
      <c r="G1" s="6"/>
      <c r="H1" s="6"/>
      <c r="I1" s="6"/>
      <c r="J1" s="6"/>
      <c r="K1" s="6"/>
      <c r="L1" s="6"/>
      <c r="M1" s="6"/>
      <c r="N1" s="6"/>
      <c r="O1" s="6"/>
      <c r="P1" s="6"/>
      <c r="Q1" s="6"/>
      <c r="R1" s="6"/>
      <c r="S1" s="6"/>
      <c r="T1" s="6"/>
      <c r="U1" s="6"/>
      <c r="V1" s="6"/>
      <c r="W1" s="6"/>
      <c r="X1" s="6"/>
      <c r="Y1" s="6"/>
      <c r="Z1" s="6"/>
    </row>
    <row r="2" spans="1:26" ht="13.4" customHeight="1">
      <c r="A2" s="94"/>
      <c r="B2" s="94"/>
      <c r="C2" s="1"/>
      <c r="D2" s="1"/>
      <c r="E2" s="1"/>
      <c r="F2" s="1"/>
      <c r="G2" s="1"/>
      <c r="H2" s="1"/>
      <c r="I2" s="1"/>
      <c r="J2" s="1"/>
      <c r="K2" s="1"/>
      <c r="L2" s="1"/>
      <c r="M2" s="1"/>
      <c r="N2" s="1"/>
      <c r="O2" s="1"/>
      <c r="P2" s="1"/>
      <c r="Q2" s="1"/>
      <c r="R2" s="1"/>
      <c r="S2" s="1"/>
      <c r="T2" s="1"/>
      <c r="U2" s="1"/>
      <c r="V2" s="1"/>
      <c r="W2" s="1"/>
      <c r="X2" s="1"/>
      <c r="Y2" s="1"/>
      <c r="Z2" s="1"/>
    </row>
    <row r="3" spans="1:26" ht="13.4" customHeight="1">
      <c r="A3" s="94"/>
      <c r="B3" s="94"/>
      <c r="C3" s="1"/>
      <c r="D3" s="1"/>
      <c r="E3" s="1"/>
      <c r="F3" s="1"/>
      <c r="G3" s="1"/>
      <c r="H3" s="1"/>
      <c r="I3" s="1"/>
      <c r="J3" s="1"/>
      <c r="K3" s="1"/>
      <c r="L3" s="1"/>
      <c r="M3" s="1"/>
      <c r="N3" s="1"/>
      <c r="O3" s="1"/>
      <c r="P3" s="1"/>
      <c r="Q3" s="1"/>
      <c r="R3" s="1"/>
      <c r="S3" s="1"/>
      <c r="T3" s="1"/>
      <c r="U3" s="1"/>
      <c r="V3" s="1"/>
      <c r="W3" s="1"/>
      <c r="X3" s="1"/>
      <c r="Y3" s="1"/>
      <c r="Z3" s="1"/>
    </row>
    <row r="4" spans="1:26">
      <c r="A4" s="33" t="s">
        <v>0</v>
      </c>
      <c r="B4" s="34" t="s">
        <v>1</v>
      </c>
      <c r="C4" s="1"/>
      <c r="D4" s="1"/>
      <c r="E4" s="1"/>
      <c r="F4" s="1"/>
      <c r="G4" s="1"/>
      <c r="H4" s="1"/>
      <c r="I4" s="1"/>
      <c r="J4" s="1"/>
      <c r="K4" s="1"/>
      <c r="L4" s="1"/>
      <c r="M4" s="1"/>
      <c r="N4" s="1"/>
      <c r="O4" s="1"/>
      <c r="P4" s="1"/>
      <c r="Q4" s="1"/>
      <c r="R4" s="1"/>
      <c r="S4" s="1"/>
      <c r="T4" s="1"/>
      <c r="U4" s="1"/>
      <c r="V4" s="1"/>
      <c r="W4" s="1"/>
      <c r="X4" s="1"/>
      <c r="Y4" s="1"/>
      <c r="Z4" s="1"/>
    </row>
    <row r="5" spans="1:26" ht="26">
      <c r="A5" s="40" t="s">
        <v>2</v>
      </c>
      <c r="B5" s="3" t="s">
        <v>3</v>
      </c>
      <c r="C5" s="1"/>
      <c r="D5" s="1"/>
      <c r="E5" s="1"/>
      <c r="F5" s="1"/>
      <c r="G5" s="1"/>
      <c r="H5" s="1"/>
      <c r="I5" s="1"/>
      <c r="J5" s="1"/>
      <c r="K5" s="1"/>
      <c r="L5" s="1"/>
      <c r="M5" s="1"/>
      <c r="N5" s="1"/>
      <c r="O5" s="1"/>
      <c r="P5" s="1"/>
      <c r="Q5" s="1"/>
      <c r="R5" s="1"/>
      <c r="S5" s="1"/>
      <c r="T5" s="1"/>
      <c r="U5" s="1"/>
      <c r="V5" s="1"/>
      <c r="W5" s="1"/>
      <c r="X5" s="1"/>
      <c r="Y5" s="1"/>
      <c r="Z5" s="1"/>
    </row>
    <row r="6" spans="1:26">
      <c r="A6" s="40" t="s">
        <v>4</v>
      </c>
      <c r="B6" s="3" t="s">
        <v>5</v>
      </c>
      <c r="C6" s="1"/>
      <c r="D6" s="1"/>
      <c r="E6" s="1"/>
      <c r="F6" s="1"/>
      <c r="G6" s="1"/>
      <c r="H6" s="1"/>
      <c r="I6" s="1"/>
      <c r="J6" s="1"/>
      <c r="K6" s="1"/>
      <c r="L6" s="1"/>
      <c r="M6" s="1"/>
      <c r="N6" s="1"/>
      <c r="O6" s="1"/>
      <c r="P6" s="1"/>
      <c r="Q6" s="1"/>
      <c r="R6" s="1"/>
      <c r="S6" s="1"/>
      <c r="T6" s="1"/>
      <c r="U6" s="1"/>
      <c r="V6" s="1"/>
      <c r="W6" s="1"/>
      <c r="X6" s="1"/>
      <c r="Y6" s="1"/>
      <c r="Z6" s="1"/>
    </row>
    <row r="7" spans="1:26" ht="26">
      <c r="A7" s="40" t="s">
        <v>6</v>
      </c>
      <c r="B7" s="3" t="s">
        <v>7</v>
      </c>
      <c r="C7" s="1"/>
      <c r="D7" s="1"/>
      <c r="E7" s="1"/>
      <c r="F7" s="1"/>
      <c r="G7" s="1"/>
      <c r="H7" s="1"/>
      <c r="I7" s="1"/>
      <c r="J7" s="1"/>
      <c r="K7" s="1"/>
      <c r="L7" s="1"/>
      <c r="M7" s="1"/>
      <c r="N7" s="1"/>
      <c r="O7" s="1"/>
      <c r="P7" s="1"/>
      <c r="Q7" s="1"/>
      <c r="R7" s="1"/>
      <c r="S7" s="1"/>
      <c r="T7" s="1"/>
      <c r="U7" s="1"/>
      <c r="V7" s="1"/>
      <c r="W7" s="1"/>
      <c r="X7" s="1"/>
      <c r="Y7" s="1"/>
      <c r="Z7" s="1"/>
    </row>
    <row r="8" spans="1:26">
      <c r="A8" s="40" t="s">
        <v>8</v>
      </c>
      <c r="B8" s="3" t="s">
        <v>9</v>
      </c>
      <c r="C8" s="1"/>
      <c r="D8" s="1"/>
      <c r="E8" s="1"/>
      <c r="F8" s="1"/>
      <c r="G8" s="1"/>
      <c r="H8" s="1"/>
      <c r="I8" s="1"/>
      <c r="J8" s="1"/>
      <c r="K8" s="1"/>
      <c r="L8" s="1"/>
      <c r="M8" s="1"/>
      <c r="N8" s="1"/>
      <c r="O8" s="1"/>
      <c r="P8" s="1"/>
      <c r="Q8" s="1"/>
      <c r="R8" s="1"/>
      <c r="S8" s="1"/>
      <c r="T8" s="1"/>
      <c r="U8" s="1"/>
      <c r="V8" s="1"/>
      <c r="W8" s="1"/>
      <c r="X8" s="1"/>
      <c r="Y8" s="1"/>
      <c r="Z8" s="1"/>
    </row>
    <row r="9" spans="1:26" ht="26">
      <c r="A9" s="40" t="s">
        <v>10</v>
      </c>
      <c r="B9" s="3" t="s">
        <v>11</v>
      </c>
      <c r="C9" s="1"/>
      <c r="D9" s="1"/>
      <c r="E9" s="1"/>
      <c r="F9" s="1"/>
      <c r="G9" s="1"/>
      <c r="H9" s="1"/>
      <c r="I9" s="1"/>
      <c r="J9" s="1"/>
      <c r="K9" s="1"/>
      <c r="L9" s="1"/>
      <c r="M9" s="1"/>
      <c r="N9" s="1"/>
      <c r="O9" s="1"/>
      <c r="P9" s="1"/>
      <c r="Q9" s="1"/>
      <c r="R9" s="1"/>
      <c r="S9" s="1"/>
      <c r="T9" s="1"/>
      <c r="U9" s="1"/>
      <c r="V9" s="1"/>
      <c r="W9" s="1"/>
      <c r="X9" s="1"/>
      <c r="Y9" s="1"/>
      <c r="Z9" s="1"/>
    </row>
    <row r="10" spans="1:26">
      <c r="A10" s="40" t="s">
        <v>12</v>
      </c>
      <c r="B10" s="3" t="s">
        <v>13</v>
      </c>
      <c r="C10" s="1"/>
      <c r="D10" s="1"/>
      <c r="E10" s="1"/>
      <c r="F10" s="1"/>
      <c r="G10" s="1"/>
      <c r="H10" s="1"/>
      <c r="I10" s="1"/>
      <c r="J10" s="1"/>
      <c r="K10" s="1"/>
      <c r="L10" s="1"/>
      <c r="M10" s="1"/>
      <c r="N10" s="1"/>
      <c r="O10" s="1"/>
      <c r="P10" s="1"/>
      <c r="Q10" s="1"/>
      <c r="R10" s="1"/>
      <c r="S10" s="1"/>
      <c r="T10" s="1"/>
      <c r="U10" s="1"/>
      <c r="V10" s="1"/>
      <c r="W10" s="1"/>
      <c r="X10" s="1"/>
      <c r="Y10" s="1"/>
      <c r="Z10" s="1"/>
    </row>
    <row r="11" spans="1:26" ht="26">
      <c r="A11" s="40" t="s">
        <v>14</v>
      </c>
      <c r="B11" s="3" t="s">
        <v>15</v>
      </c>
      <c r="C11" s="1"/>
      <c r="D11" s="1"/>
      <c r="E11" s="1"/>
      <c r="F11" s="1"/>
      <c r="G11" s="1"/>
      <c r="H11" s="1"/>
      <c r="I11" s="1"/>
      <c r="J11" s="1"/>
      <c r="K11" s="1"/>
      <c r="L11" s="1"/>
      <c r="M11" s="1"/>
      <c r="N11" s="1"/>
      <c r="O11" s="1"/>
      <c r="P11" s="1"/>
      <c r="Q11" s="1"/>
      <c r="R11" s="1"/>
      <c r="S11" s="1"/>
      <c r="T11" s="1"/>
      <c r="U11" s="1"/>
      <c r="V11" s="1"/>
      <c r="W11" s="1"/>
      <c r="X11" s="1"/>
      <c r="Y11" s="1"/>
      <c r="Z11" s="1"/>
    </row>
    <row r="12" spans="1:26">
      <c r="A12" s="40" t="s">
        <v>16</v>
      </c>
      <c r="B12" s="3" t="s">
        <v>17</v>
      </c>
      <c r="C12" s="1"/>
      <c r="D12" s="1"/>
      <c r="E12" s="1"/>
      <c r="F12" s="1"/>
      <c r="G12" s="1"/>
      <c r="H12" s="1"/>
      <c r="I12" s="1"/>
      <c r="J12" s="1"/>
      <c r="K12" s="1"/>
      <c r="L12" s="1"/>
      <c r="M12" s="1"/>
      <c r="N12" s="1"/>
      <c r="O12" s="1"/>
      <c r="P12" s="1"/>
      <c r="Q12" s="1"/>
      <c r="R12" s="1"/>
      <c r="S12" s="1"/>
      <c r="T12" s="1"/>
      <c r="U12" s="1"/>
      <c r="V12" s="1"/>
      <c r="W12" s="1"/>
      <c r="X12" s="1"/>
      <c r="Y12" s="1"/>
      <c r="Z12" s="1"/>
    </row>
    <row r="13" spans="1:26" ht="26">
      <c r="A13" s="40" t="s">
        <v>18</v>
      </c>
      <c r="B13" s="3" t="s">
        <v>19</v>
      </c>
      <c r="C13" s="1"/>
      <c r="D13" s="1"/>
      <c r="E13" s="1"/>
      <c r="F13" s="1"/>
      <c r="G13" s="1"/>
      <c r="H13" s="1"/>
      <c r="I13" s="1"/>
      <c r="J13" s="1"/>
      <c r="K13" s="1"/>
      <c r="L13" s="1"/>
      <c r="M13" s="1"/>
      <c r="N13" s="1"/>
      <c r="O13" s="1"/>
      <c r="P13" s="1"/>
      <c r="Q13" s="1"/>
      <c r="R13" s="1"/>
      <c r="S13" s="1"/>
      <c r="T13" s="1"/>
      <c r="U13" s="1"/>
      <c r="V13" s="1"/>
      <c r="W13" s="1"/>
      <c r="X13" s="1"/>
      <c r="Y13" s="1"/>
      <c r="Z13" s="1"/>
    </row>
    <row r="14" spans="1:26" ht="26">
      <c r="A14" s="40" t="s">
        <v>20</v>
      </c>
      <c r="B14" s="3" t="s">
        <v>21</v>
      </c>
      <c r="C14" s="1"/>
      <c r="D14" s="1"/>
      <c r="E14" s="1"/>
      <c r="F14" s="1"/>
      <c r="G14" s="1"/>
      <c r="H14" s="1"/>
      <c r="I14" s="1"/>
      <c r="J14" s="1"/>
      <c r="K14" s="1"/>
      <c r="L14" s="1"/>
      <c r="M14" s="1"/>
      <c r="N14" s="1"/>
      <c r="O14" s="1"/>
      <c r="P14" s="1"/>
      <c r="Q14" s="1"/>
      <c r="R14" s="1"/>
      <c r="S14" s="1"/>
      <c r="T14" s="1"/>
      <c r="U14" s="1"/>
      <c r="V14" s="1"/>
      <c r="W14" s="1"/>
      <c r="X14" s="1"/>
      <c r="Y14" s="1"/>
      <c r="Z14" s="1"/>
    </row>
    <row r="15" spans="1:26">
      <c r="A15" s="4"/>
      <c r="B15" s="5"/>
      <c r="C15" s="1"/>
      <c r="D15" s="1"/>
      <c r="E15" s="1"/>
      <c r="F15" s="1"/>
      <c r="G15" s="1"/>
      <c r="H15" s="1"/>
      <c r="I15" s="1"/>
      <c r="J15" s="1"/>
      <c r="K15" s="1"/>
      <c r="L15" s="1"/>
      <c r="M15" s="1"/>
      <c r="N15" s="1"/>
      <c r="O15" s="1"/>
      <c r="P15" s="1"/>
      <c r="Q15" s="1"/>
      <c r="R15" s="1"/>
      <c r="S15" s="1"/>
      <c r="T15" s="1"/>
      <c r="U15" s="1"/>
      <c r="V15" s="1"/>
      <c r="W15" s="1"/>
      <c r="X15" s="1"/>
      <c r="Y15" s="1"/>
      <c r="Z15" s="1"/>
    </row>
    <row r="16" spans="1:26" ht="14.65" customHeight="1">
      <c r="A16" s="86" t="s">
        <v>162</v>
      </c>
      <c r="B16" s="86"/>
      <c r="C16" s="1"/>
      <c r="D16" s="1"/>
      <c r="E16" s="1"/>
      <c r="F16" s="1"/>
      <c r="G16" s="1"/>
      <c r="H16" s="1"/>
      <c r="I16" s="1"/>
      <c r="J16" s="1"/>
      <c r="K16" s="1"/>
      <c r="L16" s="1"/>
      <c r="M16" s="1"/>
      <c r="N16" s="1"/>
      <c r="O16" s="1"/>
      <c r="P16" s="1"/>
      <c r="Q16" s="1"/>
      <c r="R16" s="1"/>
      <c r="S16" s="1"/>
      <c r="T16" s="1"/>
      <c r="U16" s="1"/>
      <c r="V16" s="1"/>
      <c r="W16" s="1"/>
      <c r="X16" s="1"/>
      <c r="Y16" s="1"/>
      <c r="Z16" s="1"/>
    </row>
    <row r="17" spans="1:26">
      <c r="A17" s="44" t="s">
        <v>0</v>
      </c>
      <c r="B17" s="45" t="s">
        <v>1</v>
      </c>
      <c r="C17" s="1"/>
      <c r="D17" s="1"/>
      <c r="E17" s="1"/>
      <c r="F17" s="1"/>
      <c r="G17" s="1"/>
      <c r="H17" s="1"/>
      <c r="I17" s="1"/>
      <c r="J17" s="1"/>
      <c r="K17" s="1"/>
      <c r="L17" s="1"/>
      <c r="M17" s="1"/>
      <c r="N17" s="1"/>
      <c r="O17" s="1"/>
      <c r="P17" s="1"/>
      <c r="Q17" s="1"/>
      <c r="R17" s="1"/>
      <c r="S17" s="1"/>
      <c r="T17" s="1"/>
      <c r="U17" s="1"/>
      <c r="V17" s="1"/>
      <c r="W17" s="1"/>
      <c r="X17" s="1"/>
      <c r="Y17" s="1"/>
      <c r="Z17" s="1"/>
    </row>
    <row r="18" spans="1:26" ht="25.4" customHeight="1">
      <c r="A18" s="46" t="s">
        <v>163</v>
      </c>
      <c r="B18" s="47" t="s">
        <v>164</v>
      </c>
      <c r="C18" s="1"/>
      <c r="D18" s="1"/>
      <c r="E18" s="1"/>
      <c r="F18" s="1"/>
      <c r="G18" s="1"/>
      <c r="H18" s="1"/>
      <c r="I18" s="1"/>
      <c r="J18" s="1"/>
      <c r="K18" s="1"/>
      <c r="L18" s="1"/>
      <c r="M18" s="1"/>
      <c r="N18" s="1"/>
      <c r="O18" s="1"/>
      <c r="P18" s="1"/>
      <c r="Q18" s="1"/>
      <c r="R18" s="1"/>
      <c r="S18" s="1"/>
      <c r="T18" s="1"/>
      <c r="U18" s="1"/>
      <c r="V18" s="1"/>
      <c r="W18" s="1"/>
      <c r="X18" s="1"/>
      <c r="Y18" s="1"/>
      <c r="Z18" s="1"/>
    </row>
    <row r="19" spans="1:26" ht="25.4" customHeight="1">
      <c r="A19" s="48" t="s">
        <v>165</v>
      </c>
      <c r="B19" s="49" t="s">
        <v>166</v>
      </c>
      <c r="C19" s="1"/>
      <c r="D19" s="1"/>
      <c r="E19" s="1"/>
      <c r="F19" s="1"/>
      <c r="G19" s="1"/>
      <c r="H19" s="1"/>
      <c r="I19" s="1"/>
      <c r="J19" s="1"/>
      <c r="K19" s="1"/>
      <c r="L19" s="1"/>
      <c r="M19" s="1"/>
      <c r="N19" s="1"/>
      <c r="O19" s="1"/>
      <c r="P19" s="1"/>
    </row>
    <row r="20" spans="1:26" ht="25.4" customHeight="1">
      <c r="A20" s="50" t="s">
        <v>167</v>
      </c>
      <c r="B20" s="51" t="s">
        <v>168</v>
      </c>
      <c r="C20" s="1"/>
      <c r="D20" s="1"/>
      <c r="E20" s="1"/>
      <c r="F20" s="1"/>
      <c r="G20" s="1"/>
      <c r="H20" s="1"/>
      <c r="I20" s="1"/>
      <c r="J20" s="1"/>
      <c r="K20" s="1"/>
      <c r="L20" s="1"/>
      <c r="M20" s="1"/>
      <c r="N20" s="1"/>
      <c r="O20" s="1"/>
      <c r="P20" s="1"/>
    </row>
    <row r="21" spans="1:26">
      <c r="A21" s="1"/>
      <c r="B21" s="1"/>
      <c r="C21" s="1"/>
      <c r="D21" s="1"/>
      <c r="E21" s="1"/>
      <c r="F21" s="1"/>
      <c r="G21" s="1"/>
      <c r="H21" s="1"/>
      <c r="I21" s="1"/>
      <c r="J21" s="1"/>
      <c r="K21" s="1"/>
      <c r="L21" s="1"/>
      <c r="M21" s="1"/>
      <c r="N21" s="1"/>
      <c r="O21" s="1"/>
      <c r="P21" s="1"/>
    </row>
    <row r="22" spans="1:26" ht="38.65" customHeight="1">
      <c r="A22" s="87" t="s">
        <v>169</v>
      </c>
      <c r="B22" s="88"/>
      <c r="C22" s="1"/>
      <c r="D22" s="1"/>
      <c r="E22" s="1"/>
      <c r="F22" s="1"/>
      <c r="G22" s="1"/>
      <c r="H22" s="1"/>
      <c r="I22" s="1"/>
      <c r="J22" s="1"/>
      <c r="K22" s="1"/>
      <c r="L22" s="1"/>
      <c r="M22" s="1"/>
      <c r="N22" s="1"/>
      <c r="O22" s="1"/>
      <c r="P22" s="1"/>
    </row>
    <row r="23" spans="1:26" ht="38.65" customHeight="1">
      <c r="A23" s="89"/>
      <c r="B23" s="90"/>
      <c r="C23" s="1"/>
      <c r="D23" s="1"/>
      <c r="E23" s="1"/>
      <c r="F23" s="1"/>
      <c r="G23" s="1"/>
      <c r="H23" s="1"/>
      <c r="I23" s="1"/>
      <c r="J23" s="1"/>
      <c r="K23" s="1"/>
      <c r="L23" s="1"/>
      <c r="M23" s="1"/>
      <c r="N23" s="1"/>
      <c r="O23" s="1"/>
      <c r="P23" s="1"/>
    </row>
    <row r="24" spans="1:26" ht="38.65" customHeight="1">
      <c r="A24" s="89"/>
      <c r="B24" s="90"/>
      <c r="C24" s="1"/>
      <c r="D24" s="1"/>
      <c r="E24" s="1"/>
      <c r="F24" s="1"/>
      <c r="G24" s="1"/>
      <c r="H24" s="1"/>
      <c r="I24" s="1"/>
      <c r="J24" s="1"/>
      <c r="K24" s="1"/>
      <c r="L24" s="1"/>
      <c r="M24" s="1"/>
      <c r="N24" s="1"/>
      <c r="O24" s="1"/>
      <c r="P24" s="1"/>
      <c r="Q24" s="1"/>
      <c r="R24" s="1"/>
      <c r="S24" s="1"/>
      <c r="T24" s="1"/>
      <c r="U24" s="1"/>
      <c r="V24" s="1"/>
      <c r="W24" s="1"/>
      <c r="X24" s="1"/>
      <c r="Y24" s="1"/>
      <c r="Z24" s="1"/>
    </row>
    <row r="25" spans="1:26" ht="38.65" customHeight="1">
      <c r="A25" s="91"/>
      <c r="B25" s="92"/>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K60" s="1"/>
      <c r="L60" s="1"/>
      <c r="M60" s="1"/>
      <c r="N60" s="1"/>
      <c r="O60" s="1"/>
      <c r="P60" s="1"/>
      <c r="Q60" s="1"/>
      <c r="R60" s="1"/>
      <c r="S60" s="1"/>
      <c r="T60" s="1"/>
      <c r="U60" s="1"/>
      <c r="V60" s="1"/>
      <c r="W60" s="1"/>
      <c r="X60" s="1"/>
      <c r="Y60" s="1"/>
      <c r="Z60" s="1"/>
    </row>
    <row r="61" spans="1:26">
      <c r="K61" s="1"/>
      <c r="L61" s="1"/>
      <c r="M61" s="1"/>
      <c r="N61" s="1"/>
      <c r="O61" s="1"/>
      <c r="P61" s="1"/>
      <c r="Q61" s="1"/>
      <c r="R61" s="1"/>
      <c r="S61" s="1"/>
      <c r="T61" s="1"/>
      <c r="U61" s="1"/>
      <c r="V61" s="1"/>
      <c r="W61" s="1"/>
      <c r="X61" s="1"/>
      <c r="Y61" s="1"/>
      <c r="Z61" s="1"/>
    </row>
  </sheetData>
  <mergeCells count="4">
    <mergeCell ref="A16:B16"/>
    <mergeCell ref="A22:B25"/>
    <mergeCell ref="A1:B1"/>
    <mergeCell ref="A2: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
  <sheetViews>
    <sheetView tabSelected="1" workbookViewId="0">
      <selection activeCell="A23" sqref="A23:G23"/>
    </sheetView>
  </sheetViews>
  <sheetFormatPr defaultRowHeight="14"/>
  <cols>
    <col min="1" max="1" width="28" customWidth="1"/>
    <col min="2" max="2" width="40" customWidth="1"/>
    <col min="3" max="3" width="18" customWidth="1"/>
    <col min="4" max="4" width="13" customWidth="1"/>
    <col min="5" max="5" width="15" customWidth="1"/>
    <col min="6" max="6" width="36" customWidth="1"/>
    <col min="7" max="7" width="14" customWidth="1"/>
  </cols>
  <sheetData>
    <row r="1" spans="1:26" ht="18.649999999999999" customHeight="1">
      <c r="A1" s="93" t="s">
        <v>170</v>
      </c>
      <c r="B1" s="93"/>
      <c r="C1" s="93"/>
      <c r="D1" s="93"/>
      <c r="E1" s="93"/>
      <c r="F1" s="93"/>
      <c r="G1" s="93"/>
      <c r="H1" s="93"/>
      <c r="I1" s="93"/>
      <c r="J1" s="93"/>
      <c r="K1" s="93"/>
      <c r="L1" s="93"/>
      <c r="M1" s="93"/>
      <c r="N1" s="93"/>
      <c r="O1" s="93"/>
      <c r="P1" s="93"/>
      <c r="Q1" s="93"/>
      <c r="R1" s="93"/>
      <c r="S1" s="93"/>
      <c r="T1" s="6"/>
      <c r="U1" s="6"/>
      <c r="V1" s="6"/>
      <c r="W1" s="6"/>
      <c r="X1" s="6"/>
      <c r="Y1" s="6"/>
      <c r="Z1" s="6"/>
    </row>
    <row r="2" spans="1:26" ht="13.4" customHeight="1">
      <c r="A2" s="94" t="s">
        <v>171</v>
      </c>
      <c r="B2" s="94"/>
      <c r="C2" s="94"/>
      <c r="D2" s="94"/>
      <c r="E2" s="94"/>
      <c r="F2" s="94"/>
      <c r="G2" s="94"/>
      <c r="H2" s="94"/>
      <c r="I2" s="94"/>
      <c r="J2" s="94"/>
      <c r="K2" s="94"/>
      <c r="L2" s="94"/>
      <c r="M2" s="94"/>
      <c r="N2" s="94"/>
      <c r="O2" s="94"/>
      <c r="P2" s="94"/>
      <c r="Q2" s="94"/>
      <c r="R2" s="94"/>
      <c r="S2" s="94"/>
      <c r="T2" s="1"/>
      <c r="U2" s="1"/>
      <c r="V2" s="1"/>
      <c r="W2" s="1"/>
      <c r="X2" s="1"/>
      <c r="Y2" s="1"/>
      <c r="Z2" s="1"/>
    </row>
    <row r="3" spans="1:26" ht="13.4" customHeight="1">
      <c r="A3" s="94"/>
      <c r="B3" s="94"/>
      <c r="C3" s="94"/>
      <c r="D3" s="94"/>
      <c r="E3" s="94"/>
      <c r="F3" s="94"/>
      <c r="G3" s="94"/>
      <c r="H3" s="94"/>
      <c r="I3" s="94"/>
      <c r="J3" s="94"/>
      <c r="K3" s="94"/>
      <c r="L3" s="94"/>
      <c r="M3" s="94"/>
      <c r="N3" s="94"/>
      <c r="O3" s="94"/>
      <c r="P3" s="94"/>
      <c r="Q3" s="94"/>
      <c r="R3" s="94"/>
      <c r="S3" s="94"/>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
      <c r="A5" s="33" t="s">
        <v>22</v>
      </c>
      <c r="B5" s="35" t="s">
        <v>23</v>
      </c>
      <c r="C5" s="35" t="s">
        <v>24</v>
      </c>
      <c r="D5" s="35" t="s">
        <v>25</v>
      </c>
      <c r="E5" s="35" t="s">
        <v>26</v>
      </c>
      <c r="F5" s="35" t="s">
        <v>27</v>
      </c>
      <c r="G5" s="34" t="s">
        <v>28</v>
      </c>
      <c r="H5" s="1"/>
      <c r="I5" s="1"/>
      <c r="J5" s="1"/>
      <c r="K5" s="1"/>
      <c r="L5" s="1"/>
      <c r="M5" s="1"/>
      <c r="N5" s="1"/>
      <c r="O5" s="1"/>
      <c r="P5" s="1" t="s">
        <v>22</v>
      </c>
      <c r="Q5" s="1" t="s">
        <v>26</v>
      </c>
      <c r="R5" s="1" t="s">
        <v>27</v>
      </c>
      <c r="S5" s="1"/>
      <c r="T5" s="1"/>
      <c r="U5" s="1"/>
      <c r="V5" s="1"/>
      <c r="W5" s="1"/>
      <c r="X5" s="1"/>
      <c r="Y5" s="1"/>
      <c r="Z5" s="1"/>
    </row>
    <row r="6" spans="1:26" ht="12.4" customHeight="1">
      <c r="A6" s="7" t="s">
        <v>29</v>
      </c>
      <c r="B6" s="1" t="s">
        <v>30</v>
      </c>
      <c r="C6" s="1" t="s">
        <v>31</v>
      </c>
      <c r="D6" s="1">
        <v>40</v>
      </c>
      <c r="E6" s="8">
        <v>0.72499999999999998</v>
      </c>
      <c r="F6" s="8">
        <v>0.80701754390000002</v>
      </c>
      <c r="G6" s="9">
        <v>0.36781609199999998</v>
      </c>
      <c r="H6" s="1"/>
      <c r="I6" s="1"/>
      <c r="J6" s="1"/>
      <c r="K6" s="1"/>
      <c r="L6" s="1"/>
      <c r="M6" s="1"/>
      <c r="N6" s="1"/>
      <c r="O6" s="1"/>
      <c r="P6" s="1" t="s">
        <v>29</v>
      </c>
      <c r="Q6" s="8">
        <v>0.72499999999999998</v>
      </c>
      <c r="R6" s="8">
        <v>0.80701754390000002</v>
      </c>
      <c r="S6" s="1"/>
      <c r="T6" s="1"/>
      <c r="U6" s="1"/>
      <c r="V6" s="1"/>
      <c r="W6" s="1"/>
      <c r="X6" s="1"/>
      <c r="Y6" s="1"/>
      <c r="Z6" s="1"/>
    </row>
    <row r="7" spans="1:26" ht="12.4" customHeight="1">
      <c r="A7" s="7" t="s">
        <v>32</v>
      </c>
      <c r="B7" s="1" t="s">
        <v>33</v>
      </c>
      <c r="C7" s="1" t="s">
        <v>34</v>
      </c>
      <c r="D7" s="1">
        <v>46</v>
      </c>
      <c r="E7" s="8">
        <v>0.71739130429999998</v>
      </c>
      <c r="F7" s="8">
        <v>0.81159420289999995</v>
      </c>
      <c r="G7" s="9">
        <v>0.25062656639999997</v>
      </c>
      <c r="H7" s="1"/>
      <c r="I7" s="1"/>
      <c r="J7" s="1"/>
      <c r="K7" s="1"/>
      <c r="L7" s="1"/>
      <c r="M7" s="1"/>
      <c r="N7" s="1"/>
      <c r="O7" s="1"/>
      <c r="P7" s="1" t="s">
        <v>32</v>
      </c>
      <c r="Q7" s="8">
        <v>0.71739130429999998</v>
      </c>
      <c r="R7" s="8">
        <v>0.81159420289999995</v>
      </c>
      <c r="S7" s="1"/>
      <c r="T7" s="1"/>
      <c r="U7" s="1"/>
      <c r="V7" s="1"/>
      <c r="W7" s="1"/>
      <c r="X7" s="1"/>
      <c r="Y7" s="1"/>
      <c r="Z7" s="1"/>
    </row>
    <row r="8" spans="1:26" ht="12.4" customHeight="1">
      <c r="A8" s="10" t="s">
        <v>35</v>
      </c>
      <c r="B8" s="11" t="s">
        <v>36</v>
      </c>
      <c r="C8" s="11" t="s">
        <v>31</v>
      </c>
      <c r="D8" s="11">
        <v>40</v>
      </c>
      <c r="E8" s="12">
        <v>0.7</v>
      </c>
      <c r="F8" s="12">
        <v>0.8064516129</v>
      </c>
      <c r="G8" s="13">
        <v>0.15194346289999999</v>
      </c>
      <c r="H8" s="1"/>
      <c r="I8" s="1"/>
      <c r="J8" s="1"/>
      <c r="K8" s="1"/>
      <c r="L8" s="1"/>
      <c r="M8" s="1"/>
      <c r="N8" s="1"/>
      <c r="O8" s="1"/>
      <c r="P8" s="1" t="s">
        <v>35</v>
      </c>
      <c r="Q8" s="8">
        <v>0.7</v>
      </c>
      <c r="R8" s="8">
        <v>0.8064516129</v>
      </c>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99" t="s">
        <v>37</v>
      </c>
      <c r="B11" s="100"/>
      <c r="C11" s="100"/>
      <c r="D11" s="100"/>
      <c r="E11" s="100"/>
      <c r="F11" s="100"/>
      <c r="G11" s="100"/>
      <c r="H11" s="1"/>
      <c r="I11" s="1"/>
      <c r="J11" s="1"/>
      <c r="K11" s="1"/>
      <c r="L11" s="1"/>
      <c r="M11" s="1"/>
      <c r="N11" s="1"/>
      <c r="O11" s="1"/>
      <c r="P11" s="1"/>
      <c r="Q11" s="1"/>
      <c r="R11" s="1"/>
      <c r="S11" s="1"/>
      <c r="T11" s="1"/>
      <c r="U11" s="1"/>
      <c r="V11" s="1"/>
      <c r="W11" s="1"/>
      <c r="X11" s="1"/>
      <c r="Y11" s="1"/>
      <c r="Z11" s="1"/>
    </row>
    <row r="12" spans="1:26" ht="15.15" customHeight="1">
      <c r="A12" s="14" t="s">
        <v>29</v>
      </c>
      <c r="B12" s="101" t="s">
        <v>38</v>
      </c>
      <c r="C12" s="101"/>
      <c r="D12" s="101"/>
      <c r="E12" s="101"/>
      <c r="F12" s="101"/>
      <c r="G12" s="102"/>
      <c r="H12" s="1"/>
      <c r="I12" s="1"/>
      <c r="J12" s="1"/>
      <c r="K12" s="1"/>
      <c r="L12" s="1"/>
      <c r="M12" s="1"/>
      <c r="N12" s="1"/>
      <c r="O12" s="1"/>
      <c r="P12" s="44" t="s">
        <v>172</v>
      </c>
      <c r="Q12" s="56" t="s">
        <v>173</v>
      </c>
      <c r="R12" s="56" t="s">
        <v>174</v>
      </c>
      <c r="S12" s="45" t="s">
        <v>175</v>
      </c>
      <c r="T12" s="1"/>
      <c r="U12" s="1"/>
      <c r="V12" s="1"/>
      <c r="W12" s="1"/>
      <c r="X12" s="1"/>
      <c r="Y12" s="1"/>
      <c r="Z12" s="1"/>
    </row>
    <row r="13" spans="1:26" ht="15.15" customHeight="1">
      <c r="A13" s="15" t="s">
        <v>39</v>
      </c>
      <c r="B13" s="95" t="s">
        <v>40</v>
      </c>
      <c r="C13" s="95"/>
      <c r="D13" s="95"/>
      <c r="E13" s="95"/>
      <c r="F13" s="95"/>
      <c r="G13" s="96"/>
      <c r="H13" s="1"/>
      <c r="I13" s="1"/>
      <c r="J13" s="1"/>
      <c r="K13" s="1"/>
      <c r="L13" s="1"/>
      <c r="M13" s="1"/>
      <c r="N13" s="1"/>
      <c r="O13" s="1"/>
      <c r="P13" s="46" t="s">
        <v>176</v>
      </c>
      <c r="Q13" s="58">
        <v>0.6875</v>
      </c>
      <c r="R13" s="58">
        <v>0.48470200000000002</v>
      </c>
      <c r="S13" s="66">
        <v>0.49007000000000001</v>
      </c>
      <c r="T13" s="1"/>
      <c r="U13" s="1"/>
      <c r="V13" s="1"/>
      <c r="W13" s="1"/>
      <c r="X13" s="1"/>
      <c r="Y13" s="1"/>
      <c r="Z13" s="1"/>
    </row>
    <row r="14" spans="1:26" ht="15.15" customHeight="1">
      <c r="A14" s="15" t="s">
        <v>41</v>
      </c>
      <c r="B14" s="95" t="s">
        <v>42</v>
      </c>
      <c r="C14" s="95"/>
      <c r="D14" s="95"/>
      <c r="E14" s="95"/>
      <c r="F14" s="95"/>
      <c r="G14" s="96"/>
      <c r="H14" s="1"/>
      <c r="I14" s="1"/>
      <c r="J14" s="1"/>
      <c r="K14" s="1"/>
      <c r="L14" s="1"/>
      <c r="M14" s="1"/>
      <c r="N14" s="1"/>
      <c r="O14" s="1"/>
      <c r="P14" s="48" t="s">
        <v>177</v>
      </c>
      <c r="Q14" s="60">
        <v>0.65625</v>
      </c>
      <c r="R14" s="60">
        <v>0.43859599999999999</v>
      </c>
      <c r="S14" s="67">
        <v>0.44444400000000001</v>
      </c>
      <c r="T14" s="1"/>
      <c r="U14" s="1"/>
      <c r="V14" s="1"/>
      <c r="W14" s="1"/>
      <c r="X14" s="1"/>
      <c r="Y14" s="1"/>
      <c r="Z14" s="1"/>
    </row>
    <row r="15" spans="1:26" ht="15.15" customHeight="1">
      <c r="A15" s="17" t="s">
        <v>43</v>
      </c>
      <c r="B15" s="97" t="s">
        <v>44</v>
      </c>
      <c r="C15" s="97"/>
      <c r="D15" s="97"/>
      <c r="E15" s="97"/>
      <c r="F15" s="97"/>
      <c r="G15" s="98"/>
      <c r="H15" s="1"/>
      <c r="I15" s="1"/>
      <c r="J15" s="1"/>
      <c r="K15" s="1"/>
      <c r="L15" s="1"/>
      <c r="M15" s="1"/>
      <c r="N15" s="1"/>
      <c r="O15" s="1"/>
      <c r="P15" s="50" t="s">
        <v>178</v>
      </c>
      <c r="Q15" s="62">
        <v>0.214286</v>
      </c>
      <c r="R15" s="62">
        <v>0.15151500000000001</v>
      </c>
      <c r="S15" s="68">
        <v>0.17171700000000001</v>
      </c>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29">
      <c r="A17" s="43" t="s">
        <v>179</v>
      </c>
      <c r="B17" s="43"/>
      <c r="C17" s="43"/>
      <c r="D17" s="43"/>
      <c r="E17" s="43"/>
      <c r="F17" s="43"/>
      <c r="G17" s="43"/>
      <c r="H17" s="43"/>
      <c r="I17" s="43"/>
      <c r="J17" s="43"/>
      <c r="K17" s="43"/>
      <c r="L17" s="43"/>
      <c r="M17" s="43"/>
      <c r="N17" s="43"/>
      <c r="O17" s="43"/>
      <c r="P17" s="43"/>
      <c r="Q17" s="43"/>
      <c r="R17" s="43"/>
      <c r="S17" s="43"/>
      <c r="T17" s="1"/>
      <c r="U17" s="1"/>
      <c r="V17" s="1"/>
      <c r="W17" s="1"/>
      <c r="X17" s="1"/>
      <c r="Y17" s="1"/>
      <c r="Z17" s="1"/>
    </row>
    <row r="18" spans="1:26" ht="26">
      <c r="A18" s="44" t="s">
        <v>180</v>
      </c>
      <c r="B18" s="56" t="s">
        <v>181</v>
      </c>
      <c r="C18" s="56" t="s">
        <v>173</v>
      </c>
      <c r="D18" s="56" t="s">
        <v>174</v>
      </c>
      <c r="E18" s="56" t="s">
        <v>175</v>
      </c>
      <c r="F18" s="45" t="s">
        <v>182</v>
      </c>
      <c r="G18" s="1"/>
      <c r="H18" s="1"/>
      <c r="I18" s="1"/>
      <c r="J18" s="1"/>
      <c r="K18" s="1"/>
      <c r="L18" s="1"/>
      <c r="M18" s="1"/>
      <c r="N18" s="1"/>
      <c r="O18" s="1"/>
      <c r="P18" s="1"/>
      <c r="Q18" s="1"/>
      <c r="R18" s="1"/>
      <c r="S18" s="1"/>
      <c r="T18" s="1"/>
      <c r="U18" s="1"/>
      <c r="V18" s="1"/>
      <c r="W18" s="1"/>
      <c r="X18" s="1"/>
      <c r="Y18" s="1"/>
      <c r="Z18" s="1"/>
    </row>
    <row r="19" spans="1:26" ht="24" customHeight="1">
      <c r="A19" s="46" t="s">
        <v>183</v>
      </c>
      <c r="B19" s="57">
        <v>32</v>
      </c>
      <c r="C19" s="58">
        <v>0.6875</v>
      </c>
      <c r="D19" s="63">
        <v>0.48470200000000002</v>
      </c>
      <c r="E19" s="63">
        <v>0.49007000000000001</v>
      </c>
      <c r="F19" s="47" t="s">
        <v>184</v>
      </c>
      <c r="G19" s="1"/>
      <c r="H19" s="1"/>
      <c r="I19" s="1"/>
      <c r="J19" s="1"/>
      <c r="K19" s="1"/>
      <c r="L19" s="1"/>
      <c r="M19" s="1"/>
      <c r="N19" s="1"/>
      <c r="O19" s="1"/>
      <c r="P19" s="1"/>
      <c r="Q19" s="1"/>
      <c r="R19" s="1"/>
      <c r="S19" s="1"/>
      <c r="T19" s="1"/>
      <c r="U19" s="1"/>
      <c r="V19" s="1"/>
      <c r="W19" s="1"/>
      <c r="X19" s="1"/>
      <c r="Y19" s="1"/>
      <c r="Z19" s="1"/>
    </row>
    <row r="20" spans="1:26" ht="24" customHeight="1">
      <c r="A20" s="48" t="s">
        <v>185</v>
      </c>
      <c r="B20" s="59">
        <v>32</v>
      </c>
      <c r="C20" s="60">
        <v>0.65625</v>
      </c>
      <c r="D20" s="64">
        <v>0.43859599999999999</v>
      </c>
      <c r="E20" s="64">
        <v>0.44444400000000001</v>
      </c>
      <c r="F20" s="49" t="s">
        <v>186</v>
      </c>
      <c r="G20" s="1"/>
      <c r="H20" s="1"/>
      <c r="I20" s="1"/>
      <c r="J20" s="1"/>
      <c r="K20" s="1"/>
      <c r="L20" s="1"/>
      <c r="M20" s="1"/>
      <c r="N20" s="1"/>
      <c r="O20" s="1"/>
      <c r="P20" s="1"/>
      <c r="Q20" s="1"/>
      <c r="R20" s="1"/>
      <c r="S20" s="1"/>
      <c r="T20" s="1"/>
      <c r="U20" s="1"/>
      <c r="V20" s="1"/>
      <c r="W20" s="1"/>
      <c r="X20" s="1"/>
      <c r="Y20" s="1"/>
      <c r="Z20" s="1"/>
    </row>
    <row r="21" spans="1:26" ht="24" customHeight="1">
      <c r="A21" s="50" t="s">
        <v>187</v>
      </c>
      <c r="B21" s="61">
        <v>14</v>
      </c>
      <c r="C21" s="62">
        <v>0.214286</v>
      </c>
      <c r="D21" s="65">
        <v>0.15151500000000001</v>
      </c>
      <c r="E21" s="65">
        <v>0.17171700000000001</v>
      </c>
      <c r="F21" s="51" t="s">
        <v>188</v>
      </c>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65" customHeight="1">
      <c r="A23" s="86" t="s">
        <v>189</v>
      </c>
      <c r="B23" s="86"/>
      <c r="C23" s="86"/>
      <c r="D23" s="86"/>
      <c r="E23" s="86"/>
      <c r="F23" s="86"/>
      <c r="G23" s="86"/>
      <c r="H23" s="1"/>
      <c r="I23" s="1"/>
      <c r="J23" s="1"/>
      <c r="K23" s="1"/>
      <c r="L23" s="1"/>
      <c r="M23" s="1"/>
      <c r="N23" s="1"/>
      <c r="O23" s="1"/>
      <c r="P23" s="1"/>
      <c r="Q23" s="1"/>
      <c r="R23" s="1"/>
      <c r="S23" s="1"/>
      <c r="T23" s="1"/>
      <c r="U23" s="1"/>
      <c r="V23" s="1"/>
      <c r="W23" s="1"/>
      <c r="X23" s="1"/>
      <c r="Y23" s="1"/>
      <c r="Z23" s="1"/>
    </row>
    <row r="24" spans="1:26">
      <c r="A24" s="44" t="s">
        <v>190</v>
      </c>
      <c r="B24" s="45" t="s">
        <v>191</v>
      </c>
      <c r="C24" s="1"/>
      <c r="D24" s="1"/>
      <c r="E24" s="1"/>
      <c r="F24" s="1"/>
      <c r="G24" s="1"/>
      <c r="H24" s="1"/>
      <c r="I24" s="1"/>
      <c r="J24" s="1"/>
      <c r="K24" s="1"/>
      <c r="L24" s="1"/>
      <c r="M24" s="1"/>
      <c r="N24" s="1"/>
      <c r="O24" s="1"/>
      <c r="P24" s="1"/>
      <c r="Q24" s="1"/>
      <c r="R24" s="1"/>
      <c r="S24" s="1"/>
      <c r="T24" s="1"/>
      <c r="U24" s="1"/>
      <c r="V24" s="1"/>
      <c r="W24" s="1"/>
      <c r="X24" s="1"/>
      <c r="Y24" s="1"/>
      <c r="Z24" s="1"/>
    </row>
    <row r="25" spans="1:26" ht="24" customHeight="1">
      <c r="A25" s="46" t="s">
        <v>192</v>
      </c>
      <c r="B25" s="47" t="s">
        <v>193</v>
      </c>
      <c r="C25" s="1"/>
      <c r="D25" s="1"/>
      <c r="E25" s="1"/>
      <c r="F25" s="1"/>
      <c r="G25" s="1"/>
      <c r="H25" s="1"/>
      <c r="I25" s="1"/>
      <c r="J25" s="1"/>
      <c r="K25" s="1"/>
      <c r="L25" s="1"/>
      <c r="M25" s="1"/>
      <c r="N25" s="1"/>
      <c r="O25" s="1"/>
      <c r="P25" s="1"/>
      <c r="Q25" s="1"/>
      <c r="R25" s="1"/>
      <c r="S25" s="1"/>
      <c r="T25" s="1"/>
      <c r="U25" s="1"/>
      <c r="V25" s="1"/>
      <c r="W25" s="1"/>
      <c r="X25" s="1"/>
      <c r="Y25" s="1"/>
      <c r="Z25" s="1"/>
    </row>
    <row r="26" spans="1:26" ht="24" customHeight="1">
      <c r="A26" s="48" t="s">
        <v>46</v>
      </c>
      <c r="B26" s="49" t="s">
        <v>194</v>
      </c>
      <c r="C26" s="1"/>
      <c r="D26" s="1"/>
      <c r="E26" s="1"/>
      <c r="F26" s="1"/>
      <c r="G26" s="1"/>
      <c r="H26" s="1"/>
      <c r="I26" s="1"/>
      <c r="J26" s="1"/>
      <c r="K26" s="1"/>
      <c r="L26" s="1"/>
      <c r="M26" s="1"/>
      <c r="N26" s="1"/>
      <c r="O26" s="1"/>
      <c r="P26" s="1"/>
      <c r="Q26" s="1"/>
      <c r="R26" s="1"/>
      <c r="S26" s="1"/>
      <c r="T26" s="1"/>
      <c r="U26" s="1"/>
      <c r="V26" s="1"/>
      <c r="W26" s="1"/>
      <c r="X26" s="1"/>
      <c r="Y26" s="1"/>
      <c r="Z26" s="1"/>
    </row>
    <row r="27" spans="1:26" ht="24" customHeight="1">
      <c r="A27" s="48" t="s">
        <v>195</v>
      </c>
      <c r="B27" s="49" t="s">
        <v>196</v>
      </c>
      <c r="C27" s="1"/>
      <c r="D27" s="1"/>
      <c r="E27" s="1"/>
      <c r="F27" s="1"/>
      <c r="G27" s="1"/>
      <c r="H27" s="1"/>
      <c r="I27" s="1"/>
      <c r="J27" s="1"/>
      <c r="K27" s="1"/>
      <c r="L27" s="1"/>
      <c r="M27" s="1"/>
      <c r="N27" s="1"/>
      <c r="O27" s="1"/>
      <c r="P27" s="1"/>
      <c r="Q27" s="1"/>
      <c r="R27" s="1"/>
      <c r="S27" s="1"/>
      <c r="T27" s="1"/>
      <c r="U27" s="1"/>
      <c r="V27" s="1"/>
      <c r="W27" s="1"/>
      <c r="X27" s="1"/>
      <c r="Y27" s="1"/>
      <c r="Z27" s="1"/>
    </row>
    <row r="28" spans="1:26" ht="24" customHeight="1">
      <c r="A28" s="48" t="s">
        <v>197</v>
      </c>
      <c r="B28" s="49" t="s">
        <v>198</v>
      </c>
      <c r="C28" s="1"/>
      <c r="D28" s="1"/>
      <c r="E28" s="1"/>
      <c r="F28" s="1"/>
      <c r="G28" s="1"/>
      <c r="H28" s="1"/>
      <c r="I28" s="1"/>
      <c r="J28" s="1"/>
      <c r="K28" s="1"/>
      <c r="L28" s="1"/>
      <c r="M28" s="1"/>
      <c r="N28" s="1"/>
      <c r="O28" s="1"/>
      <c r="P28" s="1"/>
      <c r="Q28" s="1"/>
      <c r="R28" s="1"/>
      <c r="S28" s="1"/>
      <c r="T28" s="1"/>
      <c r="U28" s="1"/>
      <c r="V28" s="1"/>
      <c r="W28" s="1"/>
      <c r="X28" s="1"/>
      <c r="Y28" s="1"/>
      <c r="Z28" s="1"/>
    </row>
    <row r="29" spans="1:26" ht="24" customHeight="1">
      <c r="A29" s="50" t="s">
        <v>199</v>
      </c>
      <c r="B29" s="51" t="s">
        <v>200</v>
      </c>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9.4" customHeight="1">
      <c r="A31" s="87" t="s">
        <v>201</v>
      </c>
      <c r="B31" s="103"/>
      <c r="C31" s="103"/>
      <c r="D31" s="103"/>
      <c r="E31" s="103"/>
      <c r="F31" s="103"/>
      <c r="G31" s="88"/>
      <c r="H31" s="1"/>
      <c r="I31" s="1"/>
      <c r="J31" s="1"/>
      <c r="K31" s="1"/>
      <c r="L31" s="1"/>
      <c r="M31" s="1"/>
      <c r="N31" s="1"/>
      <c r="O31" s="1"/>
      <c r="P31" s="1"/>
      <c r="Q31" s="1"/>
      <c r="R31" s="1"/>
      <c r="S31" s="1"/>
      <c r="T31" s="1"/>
      <c r="U31" s="1"/>
      <c r="V31" s="1"/>
      <c r="W31" s="1"/>
      <c r="X31" s="1"/>
      <c r="Y31" s="1"/>
      <c r="Z31" s="1"/>
    </row>
    <row r="32" spans="1:26" ht="29.4" customHeight="1">
      <c r="A32" s="91"/>
      <c r="B32" s="104"/>
      <c r="C32" s="104"/>
      <c r="D32" s="104"/>
      <c r="E32" s="104"/>
      <c r="F32" s="104"/>
      <c r="G32" s="92"/>
      <c r="H32" s="1"/>
      <c r="I32" s="1"/>
      <c r="J32" s="1"/>
      <c r="K32" s="1"/>
      <c r="L32" s="1"/>
      <c r="M32" s="1"/>
      <c r="N32" s="1"/>
      <c r="O32" s="1"/>
      <c r="P32" s="1"/>
      <c r="Q32" s="1"/>
      <c r="R32" s="1"/>
      <c r="S32" s="1"/>
      <c r="T32" s="1"/>
      <c r="U32" s="1"/>
      <c r="V32" s="1"/>
      <c r="W32" s="1"/>
      <c r="X32" s="1"/>
      <c r="Y32" s="1"/>
      <c r="Z32" s="1"/>
    </row>
    <row r="33" spans="1:26" ht="37.4" customHeight="1">
      <c r="A33" s="52"/>
      <c r="B33" s="42"/>
      <c r="C33" s="42"/>
      <c r="D33" s="42"/>
      <c r="E33" s="42"/>
      <c r="F33" s="42"/>
      <c r="G33" s="53"/>
      <c r="H33" s="1"/>
      <c r="I33" s="1"/>
      <c r="J33" s="1"/>
      <c r="K33" s="1"/>
      <c r="L33" s="1"/>
      <c r="M33" s="1"/>
      <c r="N33" s="1"/>
      <c r="O33" s="1"/>
      <c r="P33" s="1"/>
      <c r="Q33" s="1"/>
      <c r="R33" s="1"/>
      <c r="S33" s="1"/>
      <c r="T33" s="1"/>
      <c r="U33" s="1"/>
      <c r="V33" s="1"/>
      <c r="W33" s="1"/>
      <c r="X33" s="1"/>
      <c r="Y33" s="1"/>
      <c r="Z33" s="1"/>
    </row>
    <row r="34" spans="1:26" ht="37.4" customHeight="1">
      <c r="A34" s="54"/>
      <c r="B34" s="69"/>
      <c r="C34" s="69"/>
      <c r="D34" s="69"/>
      <c r="E34" s="69"/>
      <c r="F34" s="69"/>
      <c r="G34" s="55"/>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9">
    <mergeCell ref="A23:G23"/>
    <mergeCell ref="A1:S1"/>
    <mergeCell ref="A2:S3"/>
    <mergeCell ref="A31:G32"/>
    <mergeCell ref="B14:G14"/>
    <mergeCell ref="B15:G15"/>
    <mergeCell ref="A11:G11"/>
    <mergeCell ref="B12:G12"/>
    <mergeCell ref="B13:G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0"/>
  <sheetViews>
    <sheetView workbookViewId="0"/>
  </sheetViews>
  <sheetFormatPr defaultRowHeight="14"/>
  <cols>
    <col min="1" max="1" width="20" customWidth="1"/>
    <col min="2" max="2" width="25" customWidth="1"/>
    <col min="3" max="3" width="28" customWidth="1"/>
    <col min="4" max="4" width="31" customWidth="1"/>
    <col min="5" max="5" width="28" customWidth="1"/>
    <col min="6" max="6" width="24" customWidth="1"/>
    <col min="7" max="7" width="38" customWidth="1"/>
  </cols>
  <sheetData>
    <row r="1" spans="1:26" ht="18.649999999999999" customHeight="1">
      <c r="A1" s="93" t="s">
        <v>4</v>
      </c>
      <c r="B1" s="93"/>
      <c r="C1" s="93"/>
      <c r="D1" s="93"/>
      <c r="E1" s="93"/>
      <c r="F1" s="93"/>
      <c r="G1" s="93"/>
      <c r="H1" s="6"/>
      <c r="I1" s="6"/>
      <c r="J1" s="6"/>
      <c r="K1" s="6"/>
      <c r="L1" s="6"/>
      <c r="M1" s="6"/>
      <c r="N1" s="6"/>
      <c r="O1" s="6"/>
      <c r="P1" s="6"/>
      <c r="Q1" s="6"/>
      <c r="R1" s="6"/>
      <c r="S1" s="6"/>
      <c r="T1" s="6"/>
      <c r="U1" s="6"/>
      <c r="V1" s="6"/>
      <c r="W1" s="6"/>
      <c r="X1" s="6"/>
      <c r="Y1" s="6"/>
      <c r="Z1" s="6"/>
    </row>
    <row r="2" spans="1:26" ht="13.4" customHeight="1">
      <c r="A2" s="94" t="s">
        <v>202</v>
      </c>
      <c r="B2" s="94"/>
      <c r="C2" s="94"/>
      <c r="D2" s="94"/>
      <c r="E2" s="94"/>
      <c r="F2" s="94"/>
      <c r="G2" s="94"/>
      <c r="H2" s="1"/>
      <c r="I2" s="1"/>
      <c r="J2" s="1"/>
      <c r="K2" s="1"/>
      <c r="L2" s="1"/>
      <c r="M2" s="1"/>
      <c r="N2" s="1"/>
      <c r="O2" s="1"/>
      <c r="P2" s="1"/>
      <c r="Q2" s="1"/>
      <c r="R2" s="1"/>
      <c r="S2" s="1"/>
      <c r="T2" s="1"/>
      <c r="U2" s="1"/>
      <c r="V2" s="1"/>
      <c r="W2" s="1"/>
      <c r="X2" s="1"/>
      <c r="Y2" s="1"/>
      <c r="Z2" s="1"/>
    </row>
    <row r="3" spans="1:26" ht="13.4" customHeight="1">
      <c r="A3" s="94"/>
      <c r="B3" s="94"/>
      <c r="C3" s="94"/>
      <c r="D3" s="94"/>
      <c r="E3" s="94"/>
      <c r="F3" s="94"/>
      <c r="G3" s="94"/>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3" t="s">
        <v>45</v>
      </c>
      <c r="B5" s="35" t="s">
        <v>1</v>
      </c>
      <c r="C5" s="35" t="s">
        <v>46</v>
      </c>
      <c r="D5" s="35" t="s">
        <v>47</v>
      </c>
      <c r="E5" s="35" t="s">
        <v>48</v>
      </c>
      <c r="F5" s="35" t="s">
        <v>49</v>
      </c>
      <c r="G5" s="34" t="s">
        <v>50</v>
      </c>
      <c r="H5" s="1"/>
      <c r="I5" s="1"/>
      <c r="J5" s="1"/>
      <c r="K5" s="1"/>
      <c r="L5" s="1"/>
      <c r="M5" s="1"/>
      <c r="N5" s="1"/>
      <c r="O5" s="1"/>
      <c r="P5" s="1"/>
      <c r="Q5" s="1"/>
      <c r="R5" s="1"/>
      <c r="S5" s="1"/>
      <c r="T5" s="1"/>
      <c r="U5" s="1"/>
      <c r="V5" s="1"/>
      <c r="W5" s="1"/>
      <c r="X5" s="1"/>
      <c r="Y5" s="1"/>
      <c r="Z5" s="1"/>
    </row>
    <row r="6" spans="1:26" ht="29.4" customHeight="1">
      <c r="A6" s="2" t="s">
        <v>51</v>
      </c>
      <c r="B6" s="16" t="s">
        <v>52</v>
      </c>
      <c r="C6" s="16" t="s">
        <v>53</v>
      </c>
      <c r="D6" s="16" t="s">
        <v>54</v>
      </c>
      <c r="E6" s="16" t="s">
        <v>55</v>
      </c>
      <c r="F6" s="39" t="s">
        <v>56</v>
      </c>
      <c r="G6" s="3" t="s">
        <v>57</v>
      </c>
      <c r="H6" s="1"/>
      <c r="I6" s="1"/>
      <c r="J6" s="1"/>
      <c r="K6" s="1"/>
      <c r="L6" s="1"/>
      <c r="M6" s="1"/>
      <c r="N6" s="1"/>
      <c r="O6" s="1"/>
      <c r="P6" s="1"/>
      <c r="Q6" s="1"/>
      <c r="R6" s="1"/>
      <c r="S6" s="1"/>
      <c r="T6" s="1"/>
      <c r="U6" s="1"/>
      <c r="V6" s="1"/>
      <c r="W6" s="1"/>
      <c r="X6" s="1"/>
      <c r="Y6" s="1"/>
      <c r="Z6" s="1"/>
    </row>
    <row r="7" spans="1:26" ht="29.4" customHeight="1">
      <c r="A7" s="2" t="s">
        <v>58</v>
      </c>
      <c r="B7" s="16" t="s">
        <v>59</v>
      </c>
      <c r="C7" s="16" t="s">
        <v>53</v>
      </c>
      <c r="D7" s="16" t="s">
        <v>60</v>
      </c>
      <c r="E7" s="16" t="s">
        <v>61</v>
      </c>
      <c r="F7" s="39" t="s">
        <v>56</v>
      </c>
      <c r="G7" s="3" t="s">
        <v>62</v>
      </c>
      <c r="H7" s="1"/>
      <c r="I7" s="1"/>
      <c r="J7" s="1"/>
      <c r="K7" s="1"/>
      <c r="L7" s="1"/>
      <c r="M7" s="1"/>
      <c r="N7" s="1"/>
      <c r="O7" s="1"/>
      <c r="P7" s="1"/>
      <c r="Q7" s="1"/>
      <c r="R7" s="1"/>
      <c r="S7" s="1"/>
      <c r="T7" s="1"/>
      <c r="U7" s="1"/>
      <c r="V7" s="1"/>
      <c r="W7" s="1"/>
      <c r="X7" s="1"/>
      <c r="Y7" s="1"/>
      <c r="Z7" s="1"/>
    </row>
    <row r="8" spans="1:26" ht="29.4" customHeight="1">
      <c r="A8" s="2" t="s">
        <v>63</v>
      </c>
      <c r="B8" s="16" t="s">
        <v>64</v>
      </c>
      <c r="C8" s="16" t="s">
        <v>53</v>
      </c>
      <c r="D8" s="16" t="s">
        <v>65</v>
      </c>
      <c r="E8" s="16" t="s">
        <v>66</v>
      </c>
      <c r="F8" s="39" t="s">
        <v>67</v>
      </c>
      <c r="G8" s="3" t="s">
        <v>68</v>
      </c>
      <c r="H8" s="1"/>
      <c r="I8" s="1"/>
      <c r="J8" s="1"/>
      <c r="K8" s="1"/>
      <c r="L8" s="1"/>
      <c r="M8" s="1"/>
      <c r="N8" s="1"/>
      <c r="O8" s="1"/>
      <c r="P8" s="1"/>
      <c r="Q8" s="1"/>
      <c r="R8" s="1"/>
      <c r="S8" s="1"/>
      <c r="T8" s="1"/>
      <c r="U8" s="1"/>
      <c r="V8" s="1"/>
      <c r="W8" s="1"/>
      <c r="X8" s="1"/>
      <c r="Y8" s="1"/>
      <c r="Z8" s="1"/>
    </row>
    <row r="9" spans="1:26" ht="29.4" customHeight="1">
      <c r="A9" s="2" t="s">
        <v>69</v>
      </c>
      <c r="B9" s="16" t="s">
        <v>70</v>
      </c>
      <c r="C9" s="16" t="s">
        <v>71</v>
      </c>
      <c r="D9" s="16" t="s">
        <v>72</v>
      </c>
      <c r="E9" s="16" t="s">
        <v>73</v>
      </c>
      <c r="F9" s="16" t="s">
        <v>74</v>
      </c>
      <c r="G9" s="3" t="s">
        <v>75</v>
      </c>
      <c r="H9" s="1"/>
      <c r="I9" s="1"/>
      <c r="J9" s="1"/>
      <c r="K9" s="1"/>
      <c r="L9" s="1"/>
      <c r="M9" s="1"/>
      <c r="N9" s="1"/>
      <c r="O9" s="1"/>
      <c r="P9" s="1"/>
      <c r="Q9" s="1"/>
      <c r="R9" s="1"/>
      <c r="S9" s="1"/>
      <c r="T9" s="1"/>
      <c r="U9" s="1"/>
      <c r="V9" s="1"/>
      <c r="W9" s="1"/>
      <c r="X9" s="1"/>
      <c r="Y9" s="1"/>
      <c r="Z9" s="1"/>
    </row>
    <row r="10" spans="1:26" ht="29.4" customHeight="1">
      <c r="A10" s="40" t="s">
        <v>76</v>
      </c>
      <c r="B10" s="16" t="s">
        <v>77</v>
      </c>
      <c r="C10" s="16" t="s">
        <v>78</v>
      </c>
      <c r="D10" s="16" t="s">
        <v>79</v>
      </c>
      <c r="E10" s="16" t="s">
        <v>80</v>
      </c>
      <c r="F10" s="16" t="s">
        <v>81</v>
      </c>
      <c r="G10" s="3" t="s">
        <v>82</v>
      </c>
      <c r="H10" s="1"/>
      <c r="I10" s="1"/>
      <c r="J10" s="1"/>
      <c r="K10" s="1"/>
      <c r="L10" s="1"/>
      <c r="M10" s="1"/>
      <c r="N10" s="1"/>
      <c r="O10" s="1"/>
      <c r="P10" s="1"/>
      <c r="Q10" s="1"/>
      <c r="R10" s="1"/>
      <c r="S10" s="1"/>
      <c r="T10" s="1"/>
      <c r="U10" s="1"/>
      <c r="V10" s="1"/>
      <c r="W10" s="1"/>
      <c r="X10" s="1"/>
      <c r="Y10" s="1"/>
      <c r="Z10" s="1"/>
    </row>
    <row r="11" spans="1:26" ht="29.4" customHeight="1">
      <c r="A11" s="2" t="s">
        <v>83</v>
      </c>
      <c r="B11" s="16" t="s">
        <v>84</v>
      </c>
      <c r="C11" s="39" t="s">
        <v>85</v>
      </c>
      <c r="D11" s="16" t="s">
        <v>86</v>
      </c>
      <c r="E11" s="16" t="s">
        <v>87</v>
      </c>
      <c r="F11" s="16" t="s">
        <v>88</v>
      </c>
      <c r="G11" s="3" t="s">
        <v>89</v>
      </c>
      <c r="H11" s="1"/>
      <c r="I11" s="1"/>
      <c r="J11" s="1"/>
      <c r="K11" s="1"/>
      <c r="L11" s="1"/>
      <c r="M11" s="1"/>
      <c r="N11" s="1"/>
      <c r="O11" s="1"/>
      <c r="P11" s="1"/>
      <c r="Q11" s="1"/>
      <c r="R11" s="1"/>
      <c r="S11" s="1"/>
      <c r="T11" s="1"/>
      <c r="U11" s="1"/>
      <c r="V11" s="1"/>
      <c r="W11" s="1"/>
      <c r="X11" s="1"/>
      <c r="Y11" s="1"/>
      <c r="Z11" s="1"/>
    </row>
    <row r="12" spans="1:26" ht="29.4" customHeight="1">
      <c r="A12" s="70" t="s">
        <v>203</v>
      </c>
      <c r="B12" s="71" t="s">
        <v>204</v>
      </c>
      <c r="C12" s="71" t="s">
        <v>205</v>
      </c>
      <c r="D12" s="71" t="s">
        <v>206</v>
      </c>
      <c r="E12" s="71" t="s">
        <v>207</v>
      </c>
      <c r="F12" s="71" t="s">
        <v>208</v>
      </c>
      <c r="G12" s="72" t="s">
        <v>209</v>
      </c>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2">
    <mergeCell ref="A1:G1"/>
    <mergeCell ref="A2:G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0"/>
  <sheetViews>
    <sheetView workbookViewId="0"/>
  </sheetViews>
  <sheetFormatPr defaultRowHeight="14"/>
  <cols>
    <col min="1" max="1" width="37" customWidth="1"/>
    <col min="2" max="5" width="18" customWidth="1"/>
    <col min="6" max="6" width="44" customWidth="1"/>
    <col min="7" max="7" width="18" customWidth="1"/>
  </cols>
  <sheetData>
    <row r="1" spans="1:26" ht="18.649999999999999" customHeight="1">
      <c r="A1" s="93" t="s">
        <v>210</v>
      </c>
      <c r="B1" s="93"/>
      <c r="C1" s="93"/>
      <c r="D1" s="93"/>
      <c r="E1" s="93"/>
      <c r="F1" s="93"/>
      <c r="G1" s="93"/>
      <c r="H1" s="6"/>
      <c r="I1" s="6"/>
      <c r="J1" s="6"/>
      <c r="K1" s="6"/>
      <c r="L1" s="6"/>
      <c r="M1" s="6"/>
      <c r="N1" s="6"/>
      <c r="O1" s="6"/>
      <c r="P1" s="6"/>
      <c r="Q1" s="6"/>
      <c r="R1" s="6"/>
      <c r="S1" s="6"/>
      <c r="T1" s="6"/>
      <c r="U1" s="6"/>
      <c r="V1" s="6"/>
      <c r="W1" s="6"/>
      <c r="X1" s="6"/>
      <c r="Y1" s="6"/>
      <c r="Z1" s="6"/>
    </row>
    <row r="2" spans="1:26" ht="13.4" customHeight="1">
      <c r="A2" s="94" t="s">
        <v>211</v>
      </c>
      <c r="B2" s="94"/>
      <c r="C2" s="94"/>
      <c r="D2" s="94"/>
      <c r="E2" s="94"/>
      <c r="F2" s="94"/>
      <c r="G2" s="94"/>
      <c r="H2" s="36"/>
      <c r="I2" s="1"/>
      <c r="J2" s="1"/>
      <c r="K2" s="1"/>
      <c r="L2" s="1"/>
      <c r="M2" s="1"/>
      <c r="N2" s="1"/>
      <c r="O2" s="1"/>
      <c r="P2" s="1"/>
      <c r="Q2" s="1"/>
      <c r="R2" s="1"/>
      <c r="S2" s="1"/>
      <c r="T2" s="1"/>
      <c r="U2" s="1"/>
      <c r="V2" s="1"/>
      <c r="W2" s="1"/>
      <c r="X2" s="1"/>
      <c r="Y2" s="1"/>
      <c r="Z2" s="1"/>
    </row>
    <row r="3" spans="1:26" ht="13.4" customHeight="1">
      <c r="A3" s="94"/>
      <c r="B3" s="94"/>
      <c r="C3" s="94"/>
      <c r="D3" s="94"/>
      <c r="E3" s="94"/>
      <c r="F3" s="94"/>
      <c r="G3" s="94"/>
      <c r="H3" s="36"/>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3" t="s">
        <v>90</v>
      </c>
      <c r="B5" s="35" t="s">
        <v>91</v>
      </c>
      <c r="C5" s="35" t="s">
        <v>92</v>
      </c>
      <c r="D5" s="35" t="s">
        <v>93</v>
      </c>
      <c r="E5" s="35" t="s">
        <v>94</v>
      </c>
      <c r="F5" s="35" t="s">
        <v>95</v>
      </c>
      <c r="G5" s="34" t="s">
        <v>96</v>
      </c>
      <c r="H5" s="1"/>
      <c r="I5" s="1"/>
      <c r="J5" s="1"/>
      <c r="K5" s="1"/>
      <c r="L5" s="1"/>
      <c r="M5" s="1"/>
      <c r="N5" s="1"/>
      <c r="O5" s="1"/>
      <c r="P5" s="1"/>
      <c r="Q5" s="1"/>
      <c r="R5" s="1"/>
      <c r="S5" s="1"/>
      <c r="T5" s="1"/>
      <c r="U5" s="1"/>
      <c r="V5" s="1"/>
      <c r="W5" s="1"/>
      <c r="X5" s="1"/>
      <c r="Y5" s="1"/>
      <c r="Z5" s="1"/>
    </row>
    <row r="6" spans="1:26">
      <c r="A6" s="7" t="s">
        <v>34</v>
      </c>
      <c r="B6" s="1">
        <v>11</v>
      </c>
      <c r="C6" s="1">
        <v>1</v>
      </c>
      <c r="D6" s="1">
        <v>10</v>
      </c>
      <c r="E6" s="8">
        <v>9.0909090900000003E-2</v>
      </c>
      <c r="F6" s="1">
        <v>322</v>
      </c>
      <c r="G6" s="21">
        <v>1.2600000000000001E-3</v>
      </c>
      <c r="H6" s="1"/>
      <c r="I6" s="1"/>
      <c r="J6" s="1"/>
      <c r="K6" s="1"/>
      <c r="L6" s="1"/>
      <c r="M6" s="1"/>
      <c r="N6" s="1"/>
      <c r="O6" s="1"/>
      <c r="P6" s="1"/>
      <c r="Q6" s="1"/>
      <c r="R6" s="1"/>
      <c r="S6" s="1"/>
      <c r="T6" s="1"/>
      <c r="U6" s="1"/>
      <c r="V6" s="1"/>
      <c r="W6" s="1"/>
      <c r="X6" s="1"/>
      <c r="Y6" s="1"/>
      <c r="Z6" s="1"/>
    </row>
    <row r="7" spans="1:26">
      <c r="A7" s="7" t="s">
        <v>97</v>
      </c>
      <c r="B7" s="1">
        <v>11</v>
      </c>
      <c r="C7" s="1">
        <v>3</v>
      </c>
      <c r="D7" s="1">
        <v>8</v>
      </c>
      <c r="E7" s="8">
        <v>0.27272727270000002</v>
      </c>
      <c r="F7" s="1">
        <v>2050</v>
      </c>
      <c r="G7" s="21">
        <v>5.1900000000000002E-3</v>
      </c>
      <c r="H7" s="1"/>
      <c r="I7" s="1"/>
      <c r="J7" s="1"/>
      <c r="K7" s="1"/>
      <c r="L7" s="1"/>
      <c r="M7" s="1"/>
      <c r="N7" s="1"/>
      <c r="O7" s="1"/>
      <c r="P7" s="1"/>
      <c r="Q7" s="1"/>
      <c r="R7" s="1"/>
      <c r="S7" s="1"/>
      <c r="T7" s="1"/>
      <c r="U7" s="1"/>
      <c r="V7" s="1"/>
      <c r="W7" s="1"/>
      <c r="X7" s="1"/>
      <c r="Y7" s="1"/>
      <c r="Z7" s="1"/>
    </row>
    <row r="8" spans="1:26">
      <c r="A8" s="7" t="s">
        <v>31</v>
      </c>
      <c r="B8" s="1">
        <v>11</v>
      </c>
      <c r="C8" s="1">
        <v>4</v>
      </c>
      <c r="D8" s="1">
        <v>7</v>
      </c>
      <c r="E8" s="8">
        <v>0.36363636360000001</v>
      </c>
      <c r="F8" s="1">
        <v>3073</v>
      </c>
      <c r="G8" s="21">
        <v>7.45E-3</v>
      </c>
      <c r="H8" s="1"/>
      <c r="I8" s="1"/>
      <c r="J8" s="1"/>
      <c r="K8" s="1"/>
      <c r="L8" s="1"/>
      <c r="M8" s="1"/>
      <c r="N8" s="1"/>
      <c r="O8" s="1"/>
      <c r="P8" s="1"/>
      <c r="Q8" s="1"/>
      <c r="R8" s="1"/>
      <c r="S8" s="1"/>
      <c r="T8" s="1"/>
      <c r="U8" s="1"/>
      <c r="V8" s="1"/>
      <c r="W8" s="1"/>
      <c r="X8" s="1"/>
      <c r="Y8" s="1"/>
      <c r="Z8" s="1"/>
    </row>
    <row r="9" spans="1:26">
      <c r="A9" s="10" t="s">
        <v>98</v>
      </c>
      <c r="B9" s="11">
        <v>11</v>
      </c>
      <c r="C9" s="11">
        <v>4</v>
      </c>
      <c r="D9" s="11">
        <v>7</v>
      </c>
      <c r="E9" s="12">
        <v>0.36363636360000001</v>
      </c>
      <c r="F9" s="11">
        <v>3656</v>
      </c>
      <c r="G9" s="22">
        <v>8.6999999999999994E-3</v>
      </c>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33" t="s">
        <v>22</v>
      </c>
      <c r="B12" s="35" t="s">
        <v>99</v>
      </c>
      <c r="C12" s="35" t="s">
        <v>100</v>
      </c>
      <c r="D12" s="35" t="s">
        <v>101</v>
      </c>
      <c r="E12" s="35" t="s">
        <v>102</v>
      </c>
      <c r="F12" s="34" t="s">
        <v>103</v>
      </c>
      <c r="G12" s="1"/>
      <c r="H12" s="1"/>
      <c r="I12" s="1"/>
      <c r="J12" s="1"/>
      <c r="K12" s="1"/>
      <c r="L12" s="1"/>
      <c r="M12" s="1"/>
      <c r="N12" s="1"/>
      <c r="O12" s="1"/>
      <c r="P12" s="1"/>
      <c r="Q12" s="1"/>
      <c r="R12" s="1"/>
      <c r="S12" s="1"/>
      <c r="T12" s="1"/>
      <c r="U12" s="1"/>
      <c r="V12" s="1"/>
      <c r="W12" s="1"/>
      <c r="X12" s="1"/>
      <c r="Y12" s="1"/>
      <c r="Z12" s="1"/>
    </row>
    <row r="13" spans="1:26">
      <c r="A13" s="2" t="s">
        <v>29</v>
      </c>
      <c r="B13" s="16" t="s">
        <v>104</v>
      </c>
      <c r="C13" s="16">
        <v>44</v>
      </c>
      <c r="D13" s="16">
        <v>44</v>
      </c>
      <c r="E13" s="16">
        <v>0</v>
      </c>
      <c r="F13" s="3" t="s">
        <v>105</v>
      </c>
      <c r="G13" s="1"/>
      <c r="H13" s="1"/>
      <c r="I13" s="1"/>
      <c r="J13" s="1"/>
      <c r="K13" s="1"/>
      <c r="L13" s="1"/>
      <c r="M13" s="1"/>
      <c r="N13" s="1"/>
      <c r="O13" s="1"/>
      <c r="P13" s="1"/>
      <c r="Q13" s="1"/>
      <c r="R13" s="1"/>
      <c r="S13" s="1"/>
      <c r="T13" s="1"/>
      <c r="U13" s="1"/>
      <c r="V13" s="1"/>
      <c r="W13" s="1"/>
      <c r="X13" s="1"/>
      <c r="Y13" s="1"/>
      <c r="Z13" s="1"/>
    </row>
    <row r="14" spans="1:26">
      <c r="A14" s="2" t="s">
        <v>32</v>
      </c>
      <c r="B14" s="16" t="s">
        <v>106</v>
      </c>
      <c r="C14" s="16">
        <v>44</v>
      </c>
      <c r="D14" s="16">
        <v>9</v>
      </c>
      <c r="E14" s="16">
        <v>35</v>
      </c>
      <c r="F14" s="3" t="s">
        <v>107</v>
      </c>
      <c r="G14" s="1"/>
      <c r="H14" s="1"/>
      <c r="I14" s="1"/>
      <c r="J14" s="1"/>
      <c r="K14" s="1"/>
      <c r="L14" s="1"/>
      <c r="M14" s="1"/>
      <c r="N14" s="1"/>
      <c r="O14" s="1"/>
      <c r="P14" s="1"/>
      <c r="Q14" s="1"/>
      <c r="R14" s="1"/>
      <c r="S14" s="1"/>
      <c r="T14" s="1"/>
      <c r="U14" s="1"/>
      <c r="V14" s="1"/>
      <c r="W14" s="1"/>
      <c r="X14" s="1"/>
      <c r="Y14" s="1"/>
      <c r="Z14" s="1"/>
    </row>
    <row r="15" spans="1:26">
      <c r="A15" s="4" t="s">
        <v>35</v>
      </c>
      <c r="B15" s="18" t="s">
        <v>108</v>
      </c>
      <c r="C15" s="18">
        <v>44</v>
      </c>
      <c r="D15" s="18">
        <v>0</v>
      </c>
      <c r="E15" s="18">
        <v>44</v>
      </c>
      <c r="F15" s="5" t="s">
        <v>109</v>
      </c>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5.4" customHeight="1">
      <c r="A18" s="105" t="s">
        <v>110</v>
      </c>
      <c r="B18" s="105"/>
      <c r="C18" s="105"/>
      <c r="D18" s="105"/>
      <c r="E18" s="105"/>
      <c r="F18" s="105"/>
      <c r="G18" s="105"/>
      <c r="H18" s="106"/>
      <c r="I18" s="1"/>
      <c r="J18" s="1"/>
      <c r="K18" s="1"/>
      <c r="L18" s="1"/>
      <c r="M18" s="1"/>
      <c r="N18" s="1"/>
      <c r="O18" s="1"/>
      <c r="P18" s="1"/>
      <c r="Q18" s="1"/>
      <c r="R18" s="1"/>
      <c r="S18" s="1"/>
      <c r="T18" s="1"/>
      <c r="U18" s="1"/>
      <c r="V18" s="1"/>
      <c r="W18" s="1"/>
      <c r="X18" s="1"/>
      <c r="Y18" s="1"/>
      <c r="Z18" s="1"/>
    </row>
    <row r="19" spans="1:26">
      <c r="A19" s="106"/>
      <c r="B19" s="106"/>
      <c r="C19" s="106"/>
      <c r="D19" s="106"/>
      <c r="E19" s="106"/>
      <c r="F19" s="106"/>
      <c r="G19" s="106"/>
      <c r="H19" s="106"/>
      <c r="I19" s="1"/>
      <c r="J19" s="1"/>
      <c r="K19" s="1"/>
      <c r="L19" s="1"/>
      <c r="M19" s="1"/>
      <c r="N19" s="1"/>
      <c r="O19" s="1"/>
      <c r="P19" s="1"/>
      <c r="Q19" s="1"/>
      <c r="R19" s="1"/>
      <c r="S19" s="1"/>
      <c r="T19" s="1"/>
      <c r="U19" s="1"/>
      <c r="V19" s="1"/>
      <c r="W19" s="1"/>
      <c r="X19" s="1"/>
      <c r="Y19" s="1"/>
      <c r="Z19" s="1"/>
    </row>
    <row r="20" spans="1:26">
      <c r="A20" s="106"/>
      <c r="B20" s="106"/>
      <c r="C20" s="106"/>
      <c r="D20" s="106"/>
      <c r="E20" s="106"/>
      <c r="F20" s="106"/>
      <c r="G20" s="106"/>
      <c r="H20" s="106"/>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8:H20"/>
    <mergeCell ref="A1:G1"/>
    <mergeCell ref="A2:G3"/>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0"/>
  <sheetViews>
    <sheetView workbookViewId="0"/>
  </sheetViews>
  <sheetFormatPr defaultRowHeight="14"/>
  <cols>
    <col min="1" max="1" width="38" customWidth="1"/>
    <col min="2" max="7" width="17" customWidth="1"/>
  </cols>
  <sheetData>
    <row r="1" spans="1:26" ht="18.649999999999999" customHeight="1">
      <c r="A1" s="93" t="s">
        <v>212</v>
      </c>
      <c r="B1" s="93"/>
      <c r="C1" s="93"/>
      <c r="D1" s="93"/>
      <c r="E1" s="93"/>
      <c r="F1" s="93"/>
      <c r="G1" s="93"/>
      <c r="H1" s="93"/>
      <c r="I1" s="93"/>
      <c r="J1" s="93"/>
      <c r="K1" s="6"/>
      <c r="L1" s="6"/>
      <c r="M1" s="6"/>
      <c r="N1" s="6"/>
      <c r="O1" s="6"/>
      <c r="P1" s="6"/>
      <c r="Q1" s="6"/>
      <c r="R1" s="6"/>
      <c r="S1" s="6"/>
      <c r="T1" s="6"/>
      <c r="U1" s="6"/>
      <c r="V1" s="6"/>
      <c r="W1" s="6"/>
      <c r="X1" s="6"/>
      <c r="Y1" s="6"/>
      <c r="Z1" s="6"/>
    </row>
    <row r="2" spans="1:26" ht="13.4" customHeight="1">
      <c r="A2" s="94" t="s">
        <v>213</v>
      </c>
      <c r="B2" s="94"/>
      <c r="C2" s="94"/>
      <c r="D2" s="94"/>
      <c r="E2" s="94"/>
      <c r="F2" s="94"/>
      <c r="G2" s="94"/>
      <c r="H2" s="94"/>
      <c r="I2" s="94"/>
      <c r="J2" s="94"/>
      <c r="K2" s="1"/>
      <c r="L2" s="1"/>
      <c r="M2" s="1"/>
      <c r="N2" s="1"/>
      <c r="O2" s="1"/>
      <c r="P2" s="1"/>
      <c r="Q2" s="1"/>
      <c r="R2" s="1"/>
      <c r="S2" s="1"/>
      <c r="T2" s="1"/>
      <c r="U2" s="1"/>
      <c r="V2" s="1"/>
      <c r="W2" s="1"/>
      <c r="X2" s="1"/>
      <c r="Y2" s="1"/>
      <c r="Z2" s="1"/>
    </row>
    <row r="3" spans="1:26" ht="13.4" customHeight="1">
      <c r="A3" s="94"/>
      <c r="B3" s="94"/>
      <c r="C3" s="94"/>
      <c r="D3" s="94"/>
      <c r="E3" s="94"/>
      <c r="F3" s="94"/>
      <c r="G3" s="94"/>
      <c r="H3" s="94"/>
      <c r="I3" s="94"/>
      <c r="J3" s="94"/>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3" t="s">
        <v>111</v>
      </c>
      <c r="B5" s="35" t="s">
        <v>91</v>
      </c>
      <c r="C5" s="35" t="s">
        <v>92</v>
      </c>
      <c r="D5" s="35" t="s">
        <v>93</v>
      </c>
      <c r="E5" s="35" t="s">
        <v>112</v>
      </c>
      <c r="F5" s="35" t="s">
        <v>113</v>
      </c>
      <c r="G5" s="34" t="s">
        <v>94</v>
      </c>
      <c r="H5" s="1"/>
      <c r="I5" s="1" t="s">
        <v>114</v>
      </c>
      <c r="J5" s="1" t="s">
        <v>94</v>
      </c>
      <c r="K5" s="1"/>
      <c r="L5" s="1"/>
      <c r="M5" s="1"/>
      <c r="N5" s="1"/>
      <c r="O5" s="1"/>
      <c r="P5" s="1"/>
      <c r="Q5" s="1"/>
      <c r="R5" s="1"/>
      <c r="S5" s="1"/>
      <c r="T5" s="1"/>
      <c r="U5" s="1"/>
      <c r="V5" s="1"/>
      <c r="W5" s="1"/>
      <c r="X5" s="1"/>
      <c r="Y5" s="1"/>
      <c r="Z5" s="1"/>
    </row>
    <row r="6" spans="1:26">
      <c r="A6" s="7" t="s">
        <v>34</v>
      </c>
      <c r="B6" s="1">
        <v>11</v>
      </c>
      <c r="C6" s="1">
        <v>2</v>
      </c>
      <c r="D6" s="1">
        <v>9</v>
      </c>
      <c r="E6" s="1">
        <v>6057</v>
      </c>
      <c r="F6" s="23">
        <v>2.3538000000000001E-3</v>
      </c>
      <c r="G6" s="9">
        <v>0.18181818180000001</v>
      </c>
      <c r="H6" s="1"/>
      <c r="I6" s="1" t="s">
        <v>34</v>
      </c>
      <c r="J6" s="8">
        <v>0.18181818180000001</v>
      </c>
      <c r="K6" s="1"/>
      <c r="L6" s="1"/>
      <c r="M6" s="1"/>
      <c r="N6" s="1"/>
      <c r="O6" s="1"/>
      <c r="P6" s="1"/>
      <c r="Q6" s="1"/>
      <c r="R6" s="1"/>
      <c r="S6" s="1"/>
      <c r="T6" s="1"/>
      <c r="U6" s="1"/>
      <c r="V6" s="1"/>
      <c r="W6" s="1"/>
      <c r="X6" s="1"/>
      <c r="Y6" s="1"/>
      <c r="Z6" s="1"/>
    </row>
    <row r="7" spans="1:26">
      <c r="A7" s="7" t="s">
        <v>97</v>
      </c>
      <c r="B7" s="1">
        <v>11</v>
      </c>
      <c r="C7" s="1">
        <v>6</v>
      </c>
      <c r="D7" s="1">
        <v>5</v>
      </c>
      <c r="E7" s="1">
        <v>27991</v>
      </c>
      <c r="F7" s="23">
        <v>7.0178000000000003E-3</v>
      </c>
      <c r="G7" s="9">
        <v>0.54545454550000005</v>
      </c>
      <c r="H7" s="1"/>
      <c r="I7" s="1" t="s">
        <v>97</v>
      </c>
      <c r="J7" s="8">
        <v>0.54545454550000005</v>
      </c>
      <c r="K7" s="1"/>
      <c r="L7" s="1"/>
      <c r="M7" s="1"/>
      <c r="N7" s="1"/>
      <c r="O7" s="1"/>
      <c r="P7" s="1"/>
      <c r="Q7" s="1"/>
      <c r="R7" s="1"/>
      <c r="S7" s="1"/>
      <c r="T7" s="1"/>
      <c r="U7" s="1"/>
      <c r="V7" s="1"/>
      <c r="W7" s="1"/>
      <c r="X7" s="1"/>
      <c r="Y7" s="1"/>
      <c r="Z7" s="1"/>
    </row>
    <row r="8" spans="1:26">
      <c r="A8" s="7" t="s">
        <v>31</v>
      </c>
      <c r="B8" s="1">
        <v>11</v>
      </c>
      <c r="C8" s="1">
        <v>7</v>
      </c>
      <c r="D8" s="1">
        <v>4</v>
      </c>
      <c r="E8" s="1">
        <v>41417</v>
      </c>
      <c r="F8" s="23">
        <v>9.6977499999999998E-3</v>
      </c>
      <c r="G8" s="9">
        <v>0.63636363640000004</v>
      </c>
      <c r="H8" s="1"/>
      <c r="I8" s="1" t="s">
        <v>31</v>
      </c>
      <c r="J8" s="8">
        <v>0.63636363640000004</v>
      </c>
      <c r="K8" s="1"/>
      <c r="L8" s="1"/>
      <c r="M8" s="1"/>
      <c r="N8" s="1"/>
      <c r="O8" s="1"/>
      <c r="P8" s="1"/>
      <c r="Q8" s="1"/>
      <c r="R8" s="1"/>
      <c r="S8" s="1"/>
      <c r="T8" s="1"/>
      <c r="U8" s="1"/>
      <c r="V8" s="1"/>
      <c r="W8" s="1"/>
      <c r="X8" s="1"/>
      <c r="Y8" s="1"/>
      <c r="Z8" s="1"/>
    </row>
    <row r="9" spans="1:26">
      <c r="A9" s="10" t="s">
        <v>98</v>
      </c>
      <c r="B9" s="11">
        <v>11</v>
      </c>
      <c r="C9" s="11">
        <v>8</v>
      </c>
      <c r="D9" s="11">
        <v>3</v>
      </c>
      <c r="E9" s="11">
        <v>43670</v>
      </c>
      <c r="F9" s="24">
        <v>1.01116E-2</v>
      </c>
      <c r="G9" s="13">
        <v>0.72727272730000003</v>
      </c>
      <c r="H9" s="1"/>
      <c r="I9" s="1" t="s">
        <v>98</v>
      </c>
      <c r="J9" s="8">
        <v>0.72727272730000003</v>
      </c>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25.4" customHeight="1">
      <c r="A12" s="105" t="s">
        <v>115</v>
      </c>
      <c r="B12" s="105"/>
      <c r="C12" s="105"/>
      <c r="D12" s="105"/>
      <c r="E12" s="105"/>
      <c r="F12" s="105"/>
      <c r="G12" s="105"/>
      <c r="H12" s="1"/>
      <c r="I12" s="1"/>
      <c r="J12" s="1"/>
      <c r="K12" s="1"/>
      <c r="L12" s="1"/>
      <c r="M12" s="1"/>
      <c r="N12" s="1"/>
      <c r="O12" s="1"/>
      <c r="P12" s="1"/>
      <c r="Q12" s="1"/>
      <c r="R12" s="1"/>
      <c r="S12" s="1"/>
      <c r="T12" s="1"/>
      <c r="U12" s="1"/>
      <c r="V12" s="1"/>
      <c r="W12" s="1"/>
      <c r="X12" s="1"/>
      <c r="Y12" s="1"/>
      <c r="Z12" s="1"/>
    </row>
    <row r="13" spans="1:26">
      <c r="A13" s="107"/>
      <c r="B13" s="107"/>
      <c r="C13" s="107"/>
      <c r="D13" s="107"/>
      <c r="E13" s="107"/>
      <c r="F13" s="107"/>
      <c r="G13" s="107"/>
      <c r="H13" s="1"/>
      <c r="I13" s="1"/>
      <c r="J13" s="1"/>
      <c r="K13" s="1"/>
      <c r="L13" s="1"/>
      <c r="M13" s="1"/>
      <c r="N13" s="1"/>
      <c r="O13" s="1"/>
      <c r="P13" s="1"/>
      <c r="Q13" s="1"/>
      <c r="R13" s="1"/>
      <c r="S13" s="1"/>
      <c r="T13" s="1"/>
      <c r="U13" s="1"/>
      <c r="V13" s="1"/>
      <c r="W13" s="1"/>
      <c r="X13" s="1"/>
      <c r="Y13" s="1"/>
      <c r="Z13" s="1"/>
    </row>
    <row r="14" spans="1:26">
      <c r="A14" s="107"/>
      <c r="B14" s="107"/>
      <c r="C14" s="107"/>
      <c r="D14" s="107"/>
      <c r="E14" s="107"/>
      <c r="F14" s="107"/>
      <c r="G14" s="107"/>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2:G14"/>
    <mergeCell ref="A1:J1"/>
    <mergeCell ref="A2:J3"/>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60"/>
  <sheetViews>
    <sheetView workbookViewId="0"/>
  </sheetViews>
  <sheetFormatPr defaultRowHeight="14"/>
  <cols>
    <col min="1" max="1" width="22" customWidth="1"/>
    <col min="2" max="2" width="30" customWidth="1"/>
    <col min="3" max="5" width="8" customWidth="1"/>
    <col min="6" max="6" width="14" customWidth="1"/>
    <col min="7" max="7" width="16" customWidth="1"/>
    <col min="8" max="8" width="12" customWidth="1"/>
    <col min="9" max="9" width="36" customWidth="1"/>
  </cols>
  <sheetData>
    <row r="1" spans="1:26" ht="18.649999999999999" customHeight="1">
      <c r="A1" s="93" t="s">
        <v>214</v>
      </c>
      <c r="B1" s="93"/>
      <c r="C1" s="93"/>
      <c r="D1" s="93"/>
      <c r="E1" s="93"/>
      <c r="F1" s="93"/>
      <c r="G1" s="93"/>
      <c r="H1" s="93"/>
      <c r="I1" s="93"/>
      <c r="J1" s="93"/>
      <c r="K1" s="6"/>
      <c r="L1" s="6"/>
      <c r="M1" s="6"/>
      <c r="N1" s="6"/>
      <c r="O1" s="6"/>
      <c r="P1" s="6"/>
      <c r="Q1" s="6"/>
      <c r="R1" s="6"/>
      <c r="S1" s="6"/>
      <c r="T1" s="6"/>
      <c r="U1" s="6"/>
      <c r="V1" s="6"/>
      <c r="W1" s="6"/>
      <c r="X1" s="6"/>
      <c r="Y1" s="6"/>
      <c r="Z1" s="6"/>
    </row>
    <row r="2" spans="1:26" ht="13.4" customHeight="1">
      <c r="A2" s="94" t="s">
        <v>215</v>
      </c>
      <c r="B2" s="94"/>
      <c r="C2" s="94"/>
      <c r="D2" s="94"/>
      <c r="E2" s="94"/>
      <c r="F2" s="94"/>
      <c r="G2" s="94"/>
      <c r="H2" s="94"/>
      <c r="I2" s="94"/>
      <c r="J2" s="94"/>
      <c r="K2" s="1"/>
      <c r="L2" s="1"/>
      <c r="M2" s="1"/>
      <c r="N2" s="1"/>
      <c r="O2" s="1"/>
      <c r="P2" s="1"/>
      <c r="Q2" s="1"/>
      <c r="R2" s="1"/>
      <c r="S2" s="1"/>
      <c r="T2" s="1"/>
      <c r="U2" s="1"/>
      <c r="V2" s="1"/>
      <c r="W2" s="1"/>
      <c r="X2" s="1"/>
      <c r="Y2" s="1"/>
      <c r="Z2" s="1"/>
    </row>
    <row r="3" spans="1:26" ht="13.4" customHeight="1">
      <c r="A3" s="94"/>
      <c r="B3" s="94"/>
      <c r="C3" s="94"/>
      <c r="D3" s="94"/>
      <c r="E3" s="94"/>
      <c r="F3" s="94"/>
      <c r="G3" s="94"/>
      <c r="H3" s="94"/>
      <c r="I3" s="94"/>
      <c r="J3" s="94"/>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39">
      <c r="A5" s="33" t="s">
        <v>111</v>
      </c>
      <c r="B5" s="35" t="s">
        <v>116</v>
      </c>
      <c r="C5" s="35" t="s">
        <v>117</v>
      </c>
      <c r="D5" s="35" t="s">
        <v>118</v>
      </c>
      <c r="E5" s="35" t="s">
        <v>119</v>
      </c>
      <c r="F5" s="35" t="s">
        <v>120</v>
      </c>
      <c r="G5" s="34" t="s">
        <v>121</v>
      </c>
      <c r="H5" s="1"/>
      <c r="I5" s="1" t="s">
        <v>114</v>
      </c>
      <c r="J5" s="1" t="s">
        <v>122</v>
      </c>
      <c r="K5" s="1"/>
      <c r="L5" s="1"/>
      <c r="M5" s="1"/>
      <c r="N5" s="1"/>
      <c r="O5" s="1"/>
      <c r="P5" s="1"/>
      <c r="Q5" s="1"/>
      <c r="R5" s="1"/>
      <c r="S5" s="1"/>
      <c r="T5" s="1"/>
      <c r="U5" s="1"/>
      <c r="V5" s="1"/>
      <c r="W5" s="1"/>
      <c r="X5" s="1"/>
      <c r="Y5" s="1"/>
      <c r="Z5" s="1"/>
    </row>
    <row r="6" spans="1:26">
      <c r="A6" s="7" t="s">
        <v>34</v>
      </c>
      <c r="B6" s="1">
        <v>7</v>
      </c>
      <c r="C6" s="8">
        <v>0.61038961039999995</v>
      </c>
      <c r="D6" s="8">
        <v>0.63636363640000004</v>
      </c>
      <c r="E6" s="8">
        <v>0.27272727270000002</v>
      </c>
      <c r="F6" s="8">
        <v>0.90909090910000001</v>
      </c>
      <c r="G6" s="25">
        <v>7.3298150000000006E-2</v>
      </c>
      <c r="H6" s="1"/>
      <c r="I6" s="1" t="s">
        <v>34</v>
      </c>
      <c r="J6" s="8">
        <v>0.61038961039999995</v>
      </c>
      <c r="K6" s="1"/>
      <c r="L6" s="1"/>
      <c r="M6" s="1"/>
      <c r="N6" s="1"/>
      <c r="O6" s="1"/>
      <c r="P6" s="1"/>
      <c r="Q6" s="1"/>
      <c r="R6" s="1"/>
      <c r="S6" s="1"/>
      <c r="T6" s="1"/>
      <c r="U6" s="1"/>
      <c r="V6" s="1"/>
      <c r="W6" s="1"/>
      <c r="X6" s="1"/>
      <c r="Y6" s="1"/>
      <c r="Z6" s="1"/>
    </row>
    <row r="7" spans="1:26">
      <c r="A7" s="7" t="s">
        <v>97</v>
      </c>
      <c r="B7" s="1">
        <v>6</v>
      </c>
      <c r="C7" s="8">
        <v>0.77272727269999997</v>
      </c>
      <c r="D7" s="8">
        <v>0.77272727269999997</v>
      </c>
      <c r="E7" s="8">
        <v>0.54545454550000005</v>
      </c>
      <c r="F7" s="8">
        <v>1</v>
      </c>
      <c r="G7" s="25">
        <v>0.22188345000000001</v>
      </c>
      <c r="H7" s="1"/>
      <c r="I7" s="1" t="s">
        <v>97</v>
      </c>
      <c r="J7" s="8">
        <v>0.77272727269999997</v>
      </c>
      <c r="K7" s="1"/>
      <c r="L7" s="1"/>
      <c r="M7" s="1"/>
      <c r="N7" s="1"/>
      <c r="O7" s="1"/>
      <c r="P7" s="1"/>
      <c r="Q7" s="1"/>
      <c r="R7" s="1"/>
      <c r="S7" s="1"/>
      <c r="T7" s="1"/>
      <c r="U7" s="1"/>
      <c r="V7" s="1"/>
      <c r="W7" s="1"/>
      <c r="X7" s="1"/>
      <c r="Y7" s="1"/>
      <c r="Z7" s="1"/>
    </row>
    <row r="8" spans="1:26">
      <c r="A8" s="7" t="s">
        <v>31</v>
      </c>
      <c r="B8" s="1">
        <v>5</v>
      </c>
      <c r="C8" s="8">
        <v>0.85454545449999997</v>
      </c>
      <c r="D8" s="8">
        <v>0.81818181820000002</v>
      </c>
      <c r="E8" s="8">
        <v>0.72727272730000003</v>
      </c>
      <c r="F8" s="8">
        <v>1</v>
      </c>
      <c r="G8" s="25">
        <v>0.2438978</v>
      </c>
      <c r="H8" s="1"/>
      <c r="I8" s="1" t="s">
        <v>31</v>
      </c>
      <c r="J8" s="8">
        <v>0.85454545449999997</v>
      </c>
      <c r="K8" s="1"/>
      <c r="L8" s="1"/>
      <c r="M8" s="1"/>
      <c r="N8" s="1"/>
      <c r="O8" s="1"/>
      <c r="P8" s="1"/>
      <c r="Q8" s="1"/>
      <c r="R8" s="1"/>
      <c r="S8" s="1"/>
      <c r="T8" s="1"/>
      <c r="U8" s="1"/>
      <c r="V8" s="1"/>
      <c r="W8" s="1"/>
      <c r="X8" s="1"/>
      <c r="Y8" s="1"/>
      <c r="Z8" s="1"/>
    </row>
    <row r="9" spans="1:26">
      <c r="A9" s="10" t="s">
        <v>98</v>
      </c>
      <c r="B9" s="11">
        <v>5</v>
      </c>
      <c r="C9" s="12">
        <v>0.78181818179999996</v>
      </c>
      <c r="D9" s="12">
        <v>0.72727272730000003</v>
      </c>
      <c r="E9" s="12">
        <v>0.63636363640000004</v>
      </c>
      <c r="F9" s="12">
        <v>1</v>
      </c>
      <c r="G9" s="26">
        <v>0.25418960000000002</v>
      </c>
      <c r="H9" s="1"/>
      <c r="I9" s="1" t="s">
        <v>98</v>
      </c>
      <c r="J9" s="8">
        <v>0.78181818179999996</v>
      </c>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26">
      <c r="A12" s="33" t="s">
        <v>123</v>
      </c>
      <c r="B12" s="35" t="s">
        <v>124</v>
      </c>
      <c r="C12" s="35" t="s">
        <v>101</v>
      </c>
      <c r="D12" s="34" t="s">
        <v>125</v>
      </c>
      <c r="E12" s="1"/>
      <c r="F12" s="1"/>
      <c r="G12" s="1"/>
      <c r="H12" s="1"/>
      <c r="I12" s="1"/>
      <c r="J12" s="1"/>
      <c r="K12" s="1"/>
      <c r="L12" s="1"/>
      <c r="M12" s="1"/>
      <c r="N12" s="1"/>
      <c r="O12" s="1"/>
      <c r="P12" s="1"/>
      <c r="Q12" s="1"/>
      <c r="R12" s="1"/>
      <c r="S12" s="1"/>
      <c r="T12" s="1"/>
      <c r="U12" s="1"/>
      <c r="V12" s="1"/>
      <c r="W12" s="1"/>
      <c r="X12" s="1"/>
      <c r="Y12" s="1"/>
      <c r="Z12" s="1"/>
    </row>
    <row r="13" spans="1:26">
      <c r="A13" s="10" t="s">
        <v>126</v>
      </c>
      <c r="B13" s="11">
        <v>263</v>
      </c>
      <c r="C13" s="11">
        <v>259</v>
      </c>
      <c r="D13" s="13">
        <v>0.98479087452471481</v>
      </c>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25.4" customHeight="1">
      <c r="A16" s="42" t="s">
        <v>127</v>
      </c>
      <c r="B16" s="42"/>
      <c r="C16" s="42"/>
      <c r="D16" s="42"/>
      <c r="E16" s="42"/>
      <c r="F16" s="42"/>
      <c r="G16" s="42"/>
      <c r="H16" s="42"/>
      <c r="I16" s="42"/>
      <c r="J16" s="42"/>
      <c r="K16" s="1"/>
      <c r="L16" s="1"/>
      <c r="M16" s="1"/>
      <c r="N16" s="1"/>
      <c r="O16" s="1"/>
      <c r="P16" s="1"/>
      <c r="Q16" s="1"/>
      <c r="R16" s="1"/>
      <c r="S16" s="1"/>
      <c r="T16" s="1"/>
      <c r="U16" s="1"/>
      <c r="V16" s="1"/>
      <c r="W16" s="1"/>
      <c r="X16" s="1"/>
      <c r="Y16" s="1"/>
      <c r="Z16" s="1"/>
    </row>
    <row r="17" spans="1:26">
      <c r="A17" s="38"/>
      <c r="B17" s="38"/>
      <c r="C17" s="38"/>
      <c r="D17" s="38"/>
      <c r="E17" s="38"/>
      <c r="F17" s="38"/>
      <c r="G17" s="38"/>
      <c r="H17" s="1"/>
      <c r="I17" s="1"/>
      <c r="J17" s="1"/>
      <c r="K17" s="1"/>
      <c r="L17" s="1"/>
      <c r="M17" s="1"/>
      <c r="N17" s="1"/>
      <c r="O17" s="1"/>
      <c r="P17" s="1"/>
      <c r="Q17" s="1"/>
      <c r="R17" s="1"/>
      <c r="S17" s="1"/>
      <c r="T17" s="1"/>
      <c r="U17" s="1"/>
      <c r="V17" s="1"/>
      <c r="W17" s="1"/>
      <c r="X17" s="1"/>
      <c r="Y17" s="1"/>
      <c r="Z17" s="1"/>
    </row>
    <row r="18" spans="1:26" ht="14.65" customHeight="1">
      <c r="A18" s="86" t="s">
        <v>216</v>
      </c>
      <c r="B18" s="86"/>
      <c r="C18" s="86"/>
      <c r="D18" s="86"/>
      <c r="E18" s="86"/>
      <c r="F18" s="86"/>
      <c r="G18" s="86"/>
      <c r="H18" s="86"/>
      <c r="I18" s="86"/>
      <c r="J18" s="1"/>
      <c r="K18" s="1"/>
      <c r="L18" s="1"/>
      <c r="M18" s="1"/>
      <c r="N18" s="1"/>
      <c r="O18" s="1"/>
      <c r="P18" s="1"/>
      <c r="Q18" s="1"/>
      <c r="R18" s="1"/>
      <c r="S18" s="1"/>
      <c r="T18" s="1"/>
      <c r="U18" s="1"/>
      <c r="V18" s="1"/>
      <c r="W18" s="1"/>
      <c r="X18" s="1"/>
      <c r="Y18" s="1"/>
      <c r="Z18" s="1"/>
    </row>
    <row r="19" spans="1:26">
      <c r="A19" s="44" t="s">
        <v>23</v>
      </c>
      <c r="B19" s="56" t="s">
        <v>111</v>
      </c>
      <c r="C19" s="56" t="s">
        <v>128</v>
      </c>
      <c r="D19" s="56" t="s">
        <v>129</v>
      </c>
      <c r="E19" s="56" t="s">
        <v>132</v>
      </c>
      <c r="F19" s="56" t="s">
        <v>217</v>
      </c>
      <c r="G19" s="56" t="s">
        <v>137</v>
      </c>
      <c r="H19" s="56" t="s">
        <v>113</v>
      </c>
      <c r="I19" s="45" t="s">
        <v>182</v>
      </c>
      <c r="J19" s="1"/>
      <c r="K19" s="1"/>
      <c r="L19" s="1"/>
      <c r="M19" s="1"/>
      <c r="N19" s="1"/>
      <c r="O19" s="1"/>
      <c r="P19" s="1"/>
      <c r="Q19" s="1"/>
      <c r="R19" s="1"/>
      <c r="S19" s="1"/>
      <c r="T19" s="1"/>
      <c r="U19" s="1"/>
      <c r="V19" s="1"/>
      <c r="W19" s="1"/>
      <c r="X19" s="1"/>
      <c r="Y19" s="1"/>
      <c r="Z19" s="1"/>
    </row>
    <row r="20" spans="1:26" ht="25.4" customHeight="1">
      <c r="A20" s="46" t="s">
        <v>36</v>
      </c>
      <c r="B20" s="57" t="s">
        <v>218</v>
      </c>
      <c r="C20" s="57">
        <v>11</v>
      </c>
      <c r="D20" s="57">
        <v>11</v>
      </c>
      <c r="E20" s="57">
        <v>0</v>
      </c>
      <c r="F20" s="73">
        <v>1</v>
      </c>
      <c r="G20" s="58">
        <v>0.67727300000000001</v>
      </c>
      <c r="H20" s="76">
        <v>0.112584</v>
      </c>
      <c r="I20" s="47" t="s">
        <v>219</v>
      </c>
      <c r="J20" s="1"/>
      <c r="K20" s="1"/>
      <c r="L20" s="1"/>
      <c r="M20" s="1"/>
      <c r="N20" s="1"/>
      <c r="O20" s="1"/>
      <c r="P20" s="1"/>
      <c r="Q20" s="1"/>
      <c r="R20" s="1"/>
      <c r="S20" s="1"/>
      <c r="T20" s="1"/>
      <c r="U20" s="1"/>
      <c r="V20" s="1"/>
      <c r="W20" s="1"/>
      <c r="X20" s="1"/>
      <c r="Y20" s="1"/>
      <c r="Z20" s="1"/>
    </row>
    <row r="21" spans="1:26" ht="25.4" customHeight="1">
      <c r="A21" s="48" t="s">
        <v>36</v>
      </c>
      <c r="B21" s="59" t="s">
        <v>31</v>
      </c>
      <c r="C21" s="59">
        <v>11</v>
      </c>
      <c r="D21" s="59">
        <v>11</v>
      </c>
      <c r="E21" s="59">
        <v>0</v>
      </c>
      <c r="F21" s="74">
        <v>1</v>
      </c>
      <c r="G21" s="60"/>
      <c r="H21" s="77">
        <v>0.158494</v>
      </c>
      <c r="I21" s="49" t="s">
        <v>220</v>
      </c>
      <c r="J21" s="1"/>
      <c r="K21" s="1"/>
      <c r="L21" s="1"/>
      <c r="M21" s="1"/>
      <c r="N21" s="1"/>
      <c r="O21" s="1"/>
      <c r="P21" s="1"/>
      <c r="Q21" s="1"/>
      <c r="R21" s="1"/>
      <c r="S21" s="1"/>
      <c r="T21" s="1"/>
      <c r="U21" s="1"/>
      <c r="V21" s="1"/>
      <c r="W21" s="1"/>
      <c r="X21" s="1"/>
      <c r="Y21" s="1"/>
      <c r="Z21" s="1"/>
    </row>
    <row r="22" spans="1:26" ht="25.4" customHeight="1">
      <c r="A22" s="50" t="s">
        <v>36</v>
      </c>
      <c r="B22" s="61" t="s">
        <v>98</v>
      </c>
      <c r="C22" s="61">
        <v>11</v>
      </c>
      <c r="D22" s="61">
        <v>11</v>
      </c>
      <c r="E22" s="61">
        <v>0</v>
      </c>
      <c r="F22" s="75">
        <v>1</v>
      </c>
      <c r="G22" s="62"/>
      <c r="H22" s="78">
        <v>0.16470199999999999</v>
      </c>
      <c r="I22" s="51" t="s">
        <v>221</v>
      </c>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36.65" customHeight="1">
      <c r="A24" s="87" t="s">
        <v>222</v>
      </c>
      <c r="B24" s="103"/>
      <c r="C24" s="103"/>
      <c r="D24" s="103"/>
      <c r="E24" s="103"/>
      <c r="F24" s="103"/>
      <c r="G24" s="103"/>
      <c r="H24" s="103"/>
      <c r="I24" s="88"/>
      <c r="J24" s="1"/>
      <c r="K24" s="1"/>
      <c r="L24" s="1"/>
      <c r="M24" s="1"/>
      <c r="N24" s="1"/>
      <c r="O24" s="1"/>
      <c r="P24" s="1"/>
      <c r="Q24" s="1"/>
      <c r="R24" s="1"/>
      <c r="S24" s="1"/>
      <c r="T24" s="1"/>
      <c r="U24" s="1"/>
      <c r="V24" s="1"/>
      <c r="W24" s="1"/>
      <c r="X24" s="1"/>
      <c r="Y24" s="1"/>
      <c r="Z24" s="1"/>
    </row>
    <row r="25" spans="1:26" ht="36.65" customHeight="1">
      <c r="A25" s="89"/>
      <c r="B25" s="105"/>
      <c r="C25" s="105"/>
      <c r="D25" s="105"/>
      <c r="E25" s="105"/>
      <c r="F25" s="105"/>
      <c r="G25" s="105"/>
      <c r="H25" s="105"/>
      <c r="I25" s="90"/>
      <c r="J25" s="1"/>
      <c r="K25" s="1"/>
      <c r="L25" s="1"/>
      <c r="M25" s="1"/>
      <c r="N25" s="1"/>
      <c r="O25" s="1"/>
      <c r="P25" s="1"/>
      <c r="Q25" s="1"/>
      <c r="R25" s="1"/>
      <c r="S25" s="1"/>
      <c r="T25" s="1"/>
      <c r="U25" s="1"/>
      <c r="V25" s="1"/>
      <c r="W25" s="1"/>
      <c r="X25" s="1"/>
      <c r="Y25" s="1"/>
      <c r="Z25" s="1"/>
    </row>
    <row r="26" spans="1:26" ht="36.65" customHeight="1">
      <c r="A26" s="89"/>
      <c r="B26" s="105"/>
      <c r="C26" s="105"/>
      <c r="D26" s="105"/>
      <c r="E26" s="105"/>
      <c r="F26" s="105"/>
      <c r="G26" s="105"/>
      <c r="H26" s="105"/>
      <c r="I26" s="90"/>
      <c r="J26" s="1"/>
      <c r="K26" s="1"/>
      <c r="L26" s="1"/>
      <c r="M26" s="1"/>
      <c r="N26" s="1"/>
      <c r="O26" s="1"/>
      <c r="P26" s="1"/>
      <c r="Q26" s="1"/>
      <c r="R26" s="1"/>
      <c r="S26" s="1"/>
      <c r="T26" s="1"/>
      <c r="U26" s="1"/>
      <c r="V26" s="1"/>
      <c r="W26" s="1"/>
      <c r="X26" s="1"/>
      <c r="Y26" s="1"/>
      <c r="Z26" s="1"/>
    </row>
    <row r="27" spans="1:26" ht="36.65" customHeight="1">
      <c r="A27" s="91"/>
      <c r="B27" s="104"/>
      <c r="C27" s="104"/>
      <c r="D27" s="104"/>
      <c r="E27" s="104"/>
      <c r="F27" s="104"/>
      <c r="G27" s="104"/>
      <c r="H27" s="104"/>
      <c r="I27" s="92"/>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4">
    <mergeCell ref="A18:I18"/>
    <mergeCell ref="A24:I27"/>
    <mergeCell ref="A1:J1"/>
    <mergeCell ref="A2:J3"/>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60"/>
  <sheetViews>
    <sheetView workbookViewId="0"/>
  </sheetViews>
  <sheetFormatPr defaultRowHeight="14"/>
  <cols>
    <col min="1" max="1" width="23" customWidth="1"/>
    <col min="2" max="2" width="29" customWidth="1"/>
    <col min="3" max="3" width="8" customWidth="1"/>
    <col min="4" max="4" width="11" customWidth="1"/>
    <col min="5" max="6" width="8" customWidth="1"/>
    <col min="7" max="7" width="15" customWidth="1"/>
    <col min="8" max="9" width="8" customWidth="1"/>
    <col min="10" max="10" width="14" customWidth="1"/>
    <col min="11" max="11" width="25" customWidth="1"/>
    <col min="12" max="12" width="15" customWidth="1"/>
    <col min="13" max="14" width="8" customWidth="1"/>
    <col min="15" max="15" width="13" customWidth="1"/>
    <col min="16" max="16" width="36" customWidth="1"/>
    <col min="17" max="17" width="15" customWidth="1"/>
  </cols>
  <sheetData>
    <row r="1" spans="1:26" ht="18.649999999999999" customHeight="1">
      <c r="A1" s="93" t="s">
        <v>223</v>
      </c>
      <c r="B1" s="93"/>
      <c r="C1" s="93"/>
      <c r="D1" s="93"/>
      <c r="E1" s="93"/>
      <c r="F1" s="93"/>
      <c r="G1" s="93"/>
      <c r="H1" s="93"/>
      <c r="I1" s="93"/>
      <c r="J1" s="93"/>
      <c r="K1" s="93"/>
      <c r="L1" s="93"/>
      <c r="M1" s="93"/>
      <c r="N1" s="93"/>
      <c r="O1" s="93"/>
      <c r="P1" s="93"/>
      <c r="Q1" s="93"/>
      <c r="R1" s="93"/>
      <c r="S1" s="93"/>
      <c r="T1" s="93"/>
      <c r="U1" s="6"/>
      <c r="V1" s="6"/>
      <c r="W1" s="6"/>
      <c r="X1" s="6"/>
      <c r="Y1" s="6"/>
      <c r="Z1" s="6"/>
    </row>
    <row r="2" spans="1:26" ht="13.4" customHeight="1">
      <c r="A2" s="94" t="s">
        <v>224</v>
      </c>
      <c r="B2" s="94"/>
      <c r="C2" s="94"/>
      <c r="D2" s="94"/>
      <c r="E2" s="94"/>
      <c r="F2" s="94"/>
      <c r="G2" s="94"/>
      <c r="H2" s="94"/>
      <c r="I2" s="94"/>
      <c r="J2" s="94"/>
      <c r="K2" s="94"/>
      <c r="L2" s="94"/>
      <c r="M2" s="94"/>
      <c r="N2" s="94"/>
      <c r="O2" s="94"/>
      <c r="P2" s="94"/>
      <c r="Q2" s="94"/>
      <c r="R2" s="94"/>
      <c r="S2" s="94"/>
      <c r="T2" s="94"/>
      <c r="U2" s="1"/>
      <c r="V2" s="1"/>
      <c r="W2" s="1"/>
      <c r="X2" s="1"/>
      <c r="Y2" s="1"/>
      <c r="Z2" s="1"/>
    </row>
    <row r="3" spans="1:26" ht="13.4" customHeight="1">
      <c r="A3" s="94"/>
      <c r="B3" s="94"/>
      <c r="C3" s="94"/>
      <c r="D3" s="94"/>
      <c r="E3" s="94"/>
      <c r="F3" s="94"/>
      <c r="G3" s="94"/>
      <c r="H3" s="94"/>
      <c r="I3" s="94"/>
      <c r="J3" s="94"/>
      <c r="K3" s="94"/>
      <c r="L3" s="94"/>
      <c r="M3" s="94"/>
      <c r="N3" s="94"/>
      <c r="O3" s="94"/>
      <c r="P3" s="94"/>
      <c r="Q3" s="94"/>
      <c r="R3" s="94"/>
      <c r="S3" s="94"/>
      <c r="T3" s="94"/>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
      <c r="A5" s="33" t="s">
        <v>22</v>
      </c>
      <c r="B5" s="35" t="s">
        <v>23</v>
      </c>
      <c r="C5" s="35" t="s">
        <v>128</v>
      </c>
      <c r="D5" s="35" t="s">
        <v>129</v>
      </c>
      <c r="E5" s="35" t="s">
        <v>130</v>
      </c>
      <c r="F5" s="35" t="s">
        <v>131</v>
      </c>
      <c r="G5" s="35" t="s">
        <v>132</v>
      </c>
      <c r="H5" s="35" t="s">
        <v>26</v>
      </c>
      <c r="I5" s="35" t="s">
        <v>133</v>
      </c>
      <c r="J5" s="35" t="s">
        <v>56</v>
      </c>
      <c r="K5" s="35" t="s">
        <v>134</v>
      </c>
      <c r="L5" s="35" t="s">
        <v>27</v>
      </c>
      <c r="M5" s="35" t="s">
        <v>135</v>
      </c>
      <c r="N5" s="35" t="s">
        <v>136</v>
      </c>
      <c r="O5" s="35" t="s">
        <v>137</v>
      </c>
      <c r="P5" s="35" t="s">
        <v>113</v>
      </c>
      <c r="Q5" s="34" t="s">
        <v>138</v>
      </c>
      <c r="R5" s="1"/>
      <c r="S5" s="1" t="s">
        <v>23</v>
      </c>
      <c r="T5" s="1" t="s">
        <v>56</v>
      </c>
      <c r="U5" s="1"/>
      <c r="V5" s="1"/>
      <c r="W5" s="1"/>
      <c r="X5" s="1"/>
      <c r="Y5" s="1"/>
      <c r="Z5" s="1"/>
    </row>
    <row r="6" spans="1:26">
      <c r="A6" s="7" t="s">
        <v>35</v>
      </c>
      <c r="B6" s="1" t="s">
        <v>139</v>
      </c>
      <c r="C6" s="1">
        <v>49</v>
      </c>
      <c r="D6" s="1">
        <v>21</v>
      </c>
      <c r="E6" s="1">
        <v>10</v>
      </c>
      <c r="F6" s="1">
        <v>0</v>
      </c>
      <c r="G6" s="1">
        <v>18</v>
      </c>
      <c r="H6" s="8">
        <f>(D6+E6)/C6</f>
        <v>0.63265306122448983</v>
      </c>
      <c r="I6" s="8">
        <f>IF((D6+F6)=0,0,D6/(D6+F6))</f>
        <v>1</v>
      </c>
      <c r="J6" s="8">
        <f>IF((D6+G6)=0,0,D6/(D6+G6))</f>
        <v>0.53846153846153844</v>
      </c>
      <c r="K6" s="8">
        <f>IF((E6+F6)=0,0,E6/(E6+F6))</f>
        <v>1</v>
      </c>
      <c r="L6" s="8">
        <f>IF((2*D6+F6+G6)=0,0,2*D6/(2*D6+F6+G6))</f>
        <v>0.7</v>
      </c>
      <c r="M6" s="8">
        <f>(J6+K6)/2</f>
        <v>0.76923076923076916</v>
      </c>
      <c r="N6" s="8">
        <f>(H6-(((D6+G6)*(D6+F6)+(E6+F6)*(E6+G6))/(C6*C6)))/(1-(((D6+G6)*(D6+F6)+(E6+F6)*(E6+G6))/(C6*C6)))</f>
        <v>0.32258064516129037</v>
      </c>
      <c r="O6" s="8">
        <v>0.87612199999999996</v>
      </c>
      <c r="P6" s="27">
        <v>0.17191400000000001</v>
      </c>
      <c r="Q6" s="28">
        <v>1.876328</v>
      </c>
      <c r="R6" s="1"/>
      <c r="S6" s="1" t="s">
        <v>139</v>
      </c>
      <c r="T6" s="8">
        <f>J6</f>
        <v>0.53846153846153844</v>
      </c>
      <c r="U6" s="1"/>
      <c r="V6" s="1"/>
      <c r="W6" s="1"/>
      <c r="X6" s="1"/>
      <c r="Y6" s="1"/>
      <c r="Z6" s="1"/>
    </row>
    <row r="7" spans="1:26">
      <c r="A7" s="7" t="s">
        <v>32</v>
      </c>
      <c r="B7" s="1" t="s">
        <v>33</v>
      </c>
      <c r="C7" s="1">
        <v>49</v>
      </c>
      <c r="D7" s="1">
        <v>18</v>
      </c>
      <c r="E7" s="1">
        <v>9</v>
      </c>
      <c r="F7" s="1">
        <v>1</v>
      </c>
      <c r="G7" s="1">
        <v>21</v>
      </c>
      <c r="H7" s="8">
        <f>(D7+E7)/C7</f>
        <v>0.55102040816326525</v>
      </c>
      <c r="I7" s="8">
        <f>IF((D7+F7)=0,0,D7/(D7+F7))</f>
        <v>0.94736842105263153</v>
      </c>
      <c r="J7" s="8">
        <f>IF((D7+G7)=0,0,D7/(D7+G7))</f>
        <v>0.46153846153846156</v>
      </c>
      <c r="K7" s="8">
        <f>IF((E7+F7)=0,0,E7/(E7+F7))</f>
        <v>0.9</v>
      </c>
      <c r="L7" s="8">
        <f>IF((2*D7+F7+G7)=0,0,2*D7/(2*D7+F7+G7))</f>
        <v>0.62068965517241381</v>
      </c>
      <c r="M7" s="8">
        <f>(J7+K7)/2</f>
        <v>0.68076923076923079</v>
      </c>
      <c r="N7" s="8">
        <f>(H7-(((D7+G7)*(D7+F7)+(E7+F7)*(E7+G7))/(C7*C7)))/(1-(((D7+G7)*(D7+F7)+(E7+F7)*(E7+G7))/(C7*C7)))</f>
        <v>0.20735294117647052</v>
      </c>
      <c r="O7" s="8">
        <v>0.91428600000000004</v>
      </c>
      <c r="P7" s="27">
        <v>0.105835</v>
      </c>
      <c r="Q7" s="28">
        <v>1.1495610000000001</v>
      </c>
      <c r="R7" s="1"/>
      <c r="S7" s="1" t="s">
        <v>33</v>
      </c>
      <c r="T7" s="8">
        <f>J7</f>
        <v>0.46153846153846156</v>
      </c>
      <c r="U7" s="1"/>
      <c r="V7" s="1"/>
      <c r="W7" s="1"/>
      <c r="X7" s="1"/>
      <c r="Y7" s="1"/>
      <c r="Z7" s="1"/>
    </row>
    <row r="8" spans="1:26">
      <c r="A8" s="7" t="s">
        <v>35</v>
      </c>
      <c r="B8" s="1" t="s">
        <v>36</v>
      </c>
      <c r="C8" s="1">
        <v>49</v>
      </c>
      <c r="D8" s="1">
        <v>14</v>
      </c>
      <c r="E8" s="1">
        <v>10</v>
      </c>
      <c r="F8" s="1">
        <v>0</v>
      </c>
      <c r="G8" s="1">
        <v>25</v>
      </c>
      <c r="H8" s="8">
        <f>(D8+E8)/C8</f>
        <v>0.48979591836734693</v>
      </c>
      <c r="I8" s="8">
        <f>IF((D8+F8)=0,0,D8/(D8+F8))</f>
        <v>1</v>
      </c>
      <c r="J8" s="8">
        <f>IF((D8+G8)=0,0,D8/(D8+G8))</f>
        <v>0.35897435897435898</v>
      </c>
      <c r="K8" s="8">
        <f>IF((E8+F8)=0,0,E8/(E8+F8))</f>
        <v>1</v>
      </c>
      <c r="L8" s="8">
        <f>IF((2*D8+F8+G8)=0,0,2*D8/(2*D8+F8+G8))</f>
        <v>0.52830188679245282</v>
      </c>
      <c r="M8" s="8">
        <f>(J8+K8)/2</f>
        <v>0.67948717948717952</v>
      </c>
      <c r="N8" s="8">
        <f>(H8-(((D8+G8)*(D8+F8)+(E8+F8)*(E8+G8))/(C8*C8)))/(1-(((D8+G8)*(D8+F8)+(E8+F8)*(E8+G8))/(C8*C8)))</f>
        <v>0.18604651162790695</v>
      </c>
      <c r="O8" s="8">
        <v>0.73061200000000004</v>
      </c>
      <c r="P8" s="27">
        <v>0.48236600000000002</v>
      </c>
      <c r="Q8" s="28">
        <v>3.1660010000000001</v>
      </c>
      <c r="R8" s="1"/>
      <c r="S8" s="1" t="s">
        <v>36</v>
      </c>
      <c r="T8" s="8">
        <f>J8</f>
        <v>0.35897435897435898</v>
      </c>
      <c r="U8" s="1"/>
      <c r="V8" s="1"/>
      <c r="W8" s="1"/>
      <c r="X8" s="1"/>
      <c r="Y8" s="1"/>
      <c r="Z8" s="1"/>
    </row>
    <row r="9" spans="1:26">
      <c r="A9" s="7" t="s">
        <v>29</v>
      </c>
      <c r="B9" s="1" t="s">
        <v>140</v>
      </c>
      <c r="C9" s="1">
        <v>49</v>
      </c>
      <c r="D9" s="1">
        <v>11</v>
      </c>
      <c r="E9" s="1">
        <v>10</v>
      </c>
      <c r="F9" s="1">
        <v>0</v>
      </c>
      <c r="G9" s="1">
        <v>28</v>
      </c>
      <c r="H9" s="8">
        <f>(D9+E9)/C9</f>
        <v>0.42857142857142855</v>
      </c>
      <c r="I9" s="8">
        <f>IF((D9+F9)=0,0,D9/(D9+F9))</f>
        <v>1</v>
      </c>
      <c r="J9" s="8">
        <f>IF((D9+G9)=0,0,D9/(D9+G9))</f>
        <v>0.28205128205128205</v>
      </c>
      <c r="K9" s="8">
        <f>IF((E9+F9)=0,0,E9/(E9+F9))</f>
        <v>1</v>
      </c>
      <c r="L9" s="8">
        <f>IF((2*D9+F9+G9)=0,0,2*D9/(2*D9+F9+G9))</f>
        <v>0.44</v>
      </c>
      <c r="M9" s="8">
        <f>(J9+K9)/2</f>
        <v>0.64102564102564097</v>
      </c>
      <c r="N9" s="8">
        <f>(H9-(((D9+G9)*(D9+F9)+(E9+F9)*(E9+G9))/(C9*C9)))/(1-(((D9+G9)*(D9+F9)+(E9+F9)*(E9+G9))/(C9*C9)))</f>
        <v>0.13819095477386933</v>
      </c>
      <c r="O9" s="8">
        <v>0.91020400000000001</v>
      </c>
      <c r="P9" s="27">
        <v>3.2667000000000002E-2</v>
      </c>
      <c r="Q9" s="28">
        <v>2.5658750000000001</v>
      </c>
      <c r="R9" s="1"/>
      <c r="S9" s="1" t="s">
        <v>140</v>
      </c>
      <c r="T9" s="8">
        <f>J9</f>
        <v>0.28205128205128205</v>
      </c>
      <c r="U9" s="1"/>
      <c r="V9" s="1"/>
      <c r="W9" s="1"/>
      <c r="X9" s="1"/>
      <c r="Y9" s="1"/>
      <c r="Z9" s="1"/>
    </row>
    <row r="10" spans="1:26">
      <c r="A10" s="10" t="s">
        <v>29</v>
      </c>
      <c r="B10" s="11" t="s">
        <v>30</v>
      </c>
      <c r="C10" s="11">
        <v>49</v>
      </c>
      <c r="D10" s="11">
        <v>9</v>
      </c>
      <c r="E10" s="11">
        <v>10</v>
      </c>
      <c r="F10" s="11">
        <v>0</v>
      </c>
      <c r="G10" s="11">
        <v>30</v>
      </c>
      <c r="H10" s="12">
        <f>(D10+E10)/C10</f>
        <v>0.38775510204081631</v>
      </c>
      <c r="I10" s="12">
        <f>IF((D10+F10)=0,0,D10/(D10+F10))</f>
        <v>1</v>
      </c>
      <c r="J10" s="12">
        <f>IF((D10+G10)=0,0,D10/(D10+G10))</f>
        <v>0.23076923076923078</v>
      </c>
      <c r="K10" s="12">
        <f>IF((E10+F10)=0,0,E10/(E10+F10))</f>
        <v>1</v>
      </c>
      <c r="L10" s="12">
        <f>IF((2*D10+F10+G10)=0,0,2*D10/(2*D10+F10+G10))</f>
        <v>0.375</v>
      </c>
      <c r="M10" s="12">
        <f>(J10+K10)/2</f>
        <v>0.61538461538461542</v>
      </c>
      <c r="N10" s="12">
        <f>(H10-(((D10+G10)*(D10+F10)+(E10+F10)*(E10+G10))/(C10*C10)))/(1-(((D10+G10)*(D10+F10)+(E10+F10)*(E10+G10))/(C10*C10)))</f>
        <v>0.10909090909090906</v>
      </c>
      <c r="O10" s="12">
        <v>0.93530599999999997</v>
      </c>
      <c r="P10" s="29">
        <v>2.9937999999999999E-2</v>
      </c>
      <c r="Q10" s="30">
        <v>1.7618780000000001</v>
      </c>
      <c r="R10" s="1"/>
      <c r="S10" s="1" t="s">
        <v>30</v>
      </c>
      <c r="T10" s="8">
        <f>J10</f>
        <v>0.23076923076923078</v>
      </c>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28" customHeight="1">
      <c r="A13" s="42" t="s">
        <v>141</v>
      </c>
      <c r="B13" s="42"/>
      <c r="C13" s="42"/>
      <c r="D13" s="42"/>
      <c r="E13" s="42"/>
      <c r="F13" s="42"/>
      <c r="G13" s="42"/>
      <c r="H13" s="42"/>
      <c r="I13" s="42"/>
      <c r="J13" s="42"/>
      <c r="K13" s="42"/>
      <c r="L13" s="42"/>
      <c r="M13" s="42"/>
      <c r="N13" s="42"/>
      <c r="O13" s="42"/>
      <c r="P13" s="42"/>
      <c r="Q13" s="42"/>
      <c r="R13" s="42"/>
      <c r="S13" s="42"/>
      <c r="T13" s="42"/>
      <c r="U13" s="1"/>
      <c r="V13" s="1"/>
      <c r="W13" s="1"/>
      <c r="X13" s="1"/>
      <c r="Y13" s="1"/>
      <c r="Z13" s="1"/>
    </row>
    <row r="14" spans="1:26">
      <c r="A14" s="37"/>
      <c r="B14" s="37"/>
      <c r="C14" s="37"/>
      <c r="D14" s="37"/>
      <c r="E14" s="37"/>
      <c r="F14" s="37"/>
      <c r="G14" s="37"/>
      <c r="H14" s="37"/>
      <c r="I14" s="37"/>
      <c r="J14" s="37"/>
      <c r="K14" s="37"/>
      <c r="L14" s="37"/>
      <c r="M14" s="37"/>
      <c r="N14" s="37"/>
      <c r="O14" s="37"/>
      <c r="P14" s="37"/>
      <c r="Q14" s="37"/>
      <c r="R14" s="1"/>
      <c r="S14" s="1"/>
      <c r="T14" s="1"/>
      <c r="U14" s="1"/>
      <c r="V14" s="1"/>
      <c r="W14" s="1"/>
      <c r="X14" s="1"/>
      <c r="Y14" s="1"/>
      <c r="Z14" s="1"/>
    </row>
    <row r="15" spans="1:26" ht="14.65" customHeight="1">
      <c r="A15" s="86" t="s">
        <v>225</v>
      </c>
      <c r="B15" s="86"/>
      <c r="C15" s="86"/>
      <c r="D15" s="86"/>
      <c r="E15" s="86"/>
      <c r="F15" s="86"/>
      <c r="G15" s="86"/>
      <c r="H15" s="86"/>
      <c r="I15" s="86"/>
      <c r="J15" s="37"/>
      <c r="K15" s="86" t="s">
        <v>226</v>
      </c>
      <c r="L15" s="86"/>
      <c r="M15" s="86"/>
      <c r="N15" s="86"/>
      <c r="O15" s="86"/>
      <c r="P15" s="86"/>
      <c r="Q15" s="37"/>
      <c r="R15" s="1"/>
      <c r="S15" s="1"/>
      <c r="T15" s="1"/>
      <c r="U15" s="1"/>
      <c r="V15" s="1"/>
      <c r="W15" s="1"/>
      <c r="X15" s="1"/>
      <c r="Y15" s="1"/>
      <c r="Z15" s="1"/>
    </row>
    <row r="16" spans="1:26" ht="26">
      <c r="A16" s="44" t="s">
        <v>23</v>
      </c>
      <c r="B16" s="56" t="s">
        <v>142</v>
      </c>
      <c r="C16" s="56" t="s">
        <v>91</v>
      </c>
      <c r="D16" s="56" t="s">
        <v>227</v>
      </c>
      <c r="E16" s="56" t="s">
        <v>129</v>
      </c>
      <c r="F16" s="56" t="s">
        <v>132</v>
      </c>
      <c r="G16" s="56" t="s">
        <v>217</v>
      </c>
      <c r="H16" s="56" t="s">
        <v>131</v>
      </c>
      <c r="I16" s="45" t="s">
        <v>130</v>
      </c>
      <c r="J16" s="1"/>
      <c r="K16" s="44" t="s">
        <v>142</v>
      </c>
      <c r="L16" s="56" t="s">
        <v>228</v>
      </c>
      <c r="M16" s="56" t="s">
        <v>129</v>
      </c>
      <c r="N16" s="56" t="s">
        <v>132</v>
      </c>
      <c r="O16" s="56" t="s">
        <v>122</v>
      </c>
      <c r="P16" s="45" t="s">
        <v>182</v>
      </c>
      <c r="Q16" s="1"/>
      <c r="R16" s="1"/>
      <c r="S16" s="1"/>
      <c r="T16" s="1"/>
      <c r="U16" s="1"/>
      <c r="V16" s="1"/>
      <c r="W16" s="1"/>
      <c r="X16" s="1"/>
      <c r="Y16" s="1"/>
      <c r="Z16" s="1"/>
    </row>
    <row r="17" spans="1:26" ht="36.65" customHeight="1">
      <c r="A17" s="46" t="s">
        <v>139</v>
      </c>
      <c r="B17" s="57" t="s">
        <v>144</v>
      </c>
      <c r="C17" s="57">
        <v>25</v>
      </c>
      <c r="D17" s="57">
        <v>20</v>
      </c>
      <c r="E17" s="57">
        <v>6</v>
      </c>
      <c r="F17" s="57">
        <v>14</v>
      </c>
      <c r="G17" s="58">
        <v>0.3</v>
      </c>
      <c r="H17" s="57">
        <v>0</v>
      </c>
      <c r="I17" s="47">
        <v>5</v>
      </c>
      <c r="J17" s="1"/>
      <c r="K17" s="46" t="s">
        <v>144</v>
      </c>
      <c r="L17" s="57">
        <v>100</v>
      </c>
      <c r="M17" s="57">
        <v>8</v>
      </c>
      <c r="N17" s="57">
        <v>92</v>
      </c>
      <c r="O17" s="58">
        <v>0.08</v>
      </c>
      <c r="P17" s="47" t="s">
        <v>229</v>
      </c>
      <c r="Q17" s="1"/>
      <c r="R17" s="1"/>
      <c r="S17" s="1"/>
      <c r="T17" s="1"/>
      <c r="U17" s="1"/>
      <c r="V17" s="1"/>
      <c r="W17" s="1"/>
      <c r="X17" s="1"/>
      <c r="Y17" s="1"/>
      <c r="Z17" s="1"/>
    </row>
    <row r="18" spans="1:26" ht="36.65" customHeight="1">
      <c r="A18" s="48" t="s">
        <v>139</v>
      </c>
      <c r="B18" s="59" t="s">
        <v>143</v>
      </c>
      <c r="C18" s="59">
        <v>14</v>
      </c>
      <c r="D18" s="59">
        <v>10</v>
      </c>
      <c r="E18" s="59">
        <v>6</v>
      </c>
      <c r="F18" s="59">
        <v>4</v>
      </c>
      <c r="G18" s="60">
        <v>0.6</v>
      </c>
      <c r="H18" s="59">
        <v>0</v>
      </c>
      <c r="I18" s="49">
        <v>4</v>
      </c>
      <c r="J18" s="1"/>
      <c r="K18" s="48" t="s">
        <v>143</v>
      </c>
      <c r="L18" s="59">
        <v>50</v>
      </c>
      <c r="M18" s="59">
        <v>28</v>
      </c>
      <c r="N18" s="59">
        <v>22</v>
      </c>
      <c r="O18" s="60">
        <v>0.56000000000000005</v>
      </c>
      <c r="P18" s="49" t="s">
        <v>230</v>
      </c>
      <c r="Q18" s="1"/>
      <c r="R18" s="1"/>
      <c r="S18" s="1"/>
      <c r="T18" s="1"/>
      <c r="U18" s="1"/>
      <c r="V18" s="1"/>
      <c r="W18" s="1"/>
      <c r="X18" s="1"/>
      <c r="Y18" s="1"/>
      <c r="Z18" s="1"/>
    </row>
    <row r="19" spans="1:26" ht="36.65" customHeight="1">
      <c r="A19" s="48" t="s">
        <v>139</v>
      </c>
      <c r="B19" s="59" t="s">
        <v>145</v>
      </c>
      <c r="C19" s="59">
        <v>10</v>
      </c>
      <c r="D19" s="59">
        <v>9</v>
      </c>
      <c r="E19" s="59">
        <v>9</v>
      </c>
      <c r="F19" s="59">
        <v>0</v>
      </c>
      <c r="G19" s="60">
        <v>1</v>
      </c>
      <c r="H19" s="59">
        <v>0</v>
      </c>
      <c r="I19" s="49">
        <v>1</v>
      </c>
      <c r="J19" s="1"/>
      <c r="K19" s="50" t="s">
        <v>145</v>
      </c>
      <c r="L19" s="61">
        <v>45</v>
      </c>
      <c r="M19" s="61">
        <v>37</v>
      </c>
      <c r="N19" s="61">
        <v>8</v>
      </c>
      <c r="O19" s="62">
        <v>0.82222200000000001</v>
      </c>
      <c r="P19" s="51" t="s">
        <v>231</v>
      </c>
      <c r="Q19" s="1"/>
      <c r="R19" s="1"/>
      <c r="S19" s="1"/>
      <c r="T19" s="1"/>
      <c r="U19" s="1"/>
      <c r="V19" s="1"/>
      <c r="W19" s="1"/>
      <c r="X19" s="1"/>
      <c r="Y19" s="1"/>
      <c r="Z19" s="1"/>
    </row>
    <row r="20" spans="1:26" ht="18.649999999999999" customHeight="1">
      <c r="A20" s="48" t="s">
        <v>33</v>
      </c>
      <c r="B20" s="59" t="s">
        <v>144</v>
      </c>
      <c r="C20" s="59">
        <v>25</v>
      </c>
      <c r="D20" s="59">
        <v>20</v>
      </c>
      <c r="E20" s="59">
        <v>2</v>
      </c>
      <c r="F20" s="59">
        <v>18</v>
      </c>
      <c r="G20" s="60">
        <v>0.1</v>
      </c>
      <c r="H20" s="59">
        <v>0</v>
      </c>
      <c r="I20" s="49">
        <v>5</v>
      </c>
      <c r="J20" s="1"/>
      <c r="K20" s="1"/>
      <c r="L20" s="1"/>
      <c r="M20" s="1"/>
      <c r="N20" s="1"/>
      <c r="O20" s="1"/>
      <c r="P20" s="1"/>
      <c r="Q20" s="1"/>
      <c r="R20" s="1"/>
      <c r="S20" s="1"/>
      <c r="T20" s="1"/>
      <c r="U20" s="1"/>
      <c r="V20" s="1"/>
      <c r="W20" s="1"/>
      <c r="X20" s="1"/>
      <c r="Y20" s="1"/>
      <c r="Z20" s="1"/>
    </row>
    <row r="21" spans="1:26" ht="18.649999999999999" customHeight="1">
      <c r="A21" s="48" t="s">
        <v>33</v>
      </c>
      <c r="B21" s="59" t="s">
        <v>143</v>
      </c>
      <c r="C21" s="59">
        <v>14</v>
      </c>
      <c r="D21" s="59">
        <v>10</v>
      </c>
      <c r="E21" s="59">
        <v>7</v>
      </c>
      <c r="F21" s="59">
        <v>3</v>
      </c>
      <c r="G21" s="60">
        <v>0.7</v>
      </c>
      <c r="H21" s="59">
        <v>1</v>
      </c>
      <c r="I21" s="49">
        <v>3</v>
      </c>
      <c r="J21" s="1"/>
      <c r="K21" s="1"/>
      <c r="L21" s="1"/>
      <c r="M21" s="1"/>
      <c r="N21" s="1"/>
      <c r="O21" s="1"/>
      <c r="P21" s="1"/>
      <c r="Q21" s="1"/>
      <c r="R21" s="1"/>
      <c r="S21" s="1"/>
      <c r="T21" s="1"/>
      <c r="U21" s="1"/>
      <c r="V21" s="1"/>
      <c r="W21" s="1"/>
      <c r="X21" s="1"/>
      <c r="Y21" s="1"/>
      <c r="Z21" s="1"/>
    </row>
    <row r="22" spans="1:26" ht="30.65" customHeight="1">
      <c r="A22" s="48" t="s">
        <v>33</v>
      </c>
      <c r="B22" s="59" t="s">
        <v>145</v>
      </c>
      <c r="C22" s="59">
        <v>10</v>
      </c>
      <c r="D22" s="59">
        <v>9</v>
      </c>
      <c r="E22" s="59">
        <v>9</v>
      </c>
      <c r="F22" s="59">
        <v>0</v>
      </c>
      <c r="G22" s="60">
        <v>1</v>
      </c>
      <c r="H22" s="59">
        <v>0</v>
      </c>
      <c r="I22" s="49">
        <v>1</v>
      </c>
      <c r="J22" s="1"/>
      <c r="K22" s="87" t="s">
        <v>232</v>
      </c>
      <c r="L22" s="103"/>
      <c r="M22" s="103"/>
      <c r="N22" s="103"/>
      <c r="O22" s="103"/>
      <c r="P22" s="88"/>
      <c r="Q22" s="1"/>
      <c r="R22" s="1"/>
      <c r="S22" s="1"/>
      <c r="T22" s="1"/>
      <c r="U22" s="1"/>
      <c r="V22" s="1"/>
      <c r="W22" s="1"/>
      <c r="X22" s="1"/>
      <c r="Y22" s="1"/>
      <c r="Z22" s="1"/>
    </row>
    <row r="23" spans="1:26" ht="30.65" customHeight="1">
      <c r="A23" s="48" t="s">
        <v>36</v>
      </c>
      <c r="B23" s="59" t="s">
        <v>144</v>
      </c>
      <c r="C23" s="59">
        <v>25</v>
      </c>
      <c r="D23" s="59">
        <v>20</v>
      </c>
      <c r="E23" s="59">
        <v>0</v>
      </c>
      <c r="F23" s="59">
        <v>20</v>
      </c>
      <c r="G23" s="60">
        <v>0</v>
      </c>
      <c r="H23" s="59">
        <v>0</v>
      </c>
      <c r="I23" s="49">
        <v>5</v>
      </c>
      <c r="J23" s="1"/>
      <c r="K23" s="89"/>
      <c r="L23" s="105"/>
      <c r="M23" s="105"/>
      <c r="N23" s="105"/>
      <c r="O23" s="105"/>
      <c r="P23" s="90"/>
      <c r="Q23" s="1"/>
      <c r="R23" s="1"/>
      <c r="S23" s="1"/>
      <c r="T23" s="1"/>
      <c r="U23" s="1"/>
      <c r="V23" s="1"/>
      <c r="W23" s="1"/>
      <c r="X23" s="1"/>
      <c r="Y23" s="1"/>
      <c r="Z23" s="1"/>
    </row>
    <row r="24" spans="1:26" ht="30.65" customHeight="1">
      <c r="A24" s="48" t="s">
        <v>36</v>
      </c>
      <c r="B24" s="59" t="s">
        <v>143</v>
      </c>
      <c r="C24" s="59">
        <v>14</v>
      </c>
      <c r="D24" s="59">
        <v>10</v>
      </c>
      <c r="E24" s="59">
        <v>6</v>
      </c>
      <c r="F24" s="59">
        <v>4</v>
      </c>
      <c r="G24" s="60">
        <v>0.6</v>
      </c>
      <c r="H24" s="59">
        <v>0</v>
      </c>
      <c r="I24" s="49">
        <v>4</v>
      </c>
      <c r="J24" s="1"/>
      <c r="K24" s="91"/>
      <c r="L24" s="104"/>
      <c r="M24" s="104"/>
      <c r="N24" s="104"/>
      <c r="O24" s="104"/>
      <c r="P24" s="92"/>
      <c r="Q24" s="1"/>
      <c r="R24" s="1"/>
      <c r="S24" s="1"/>
      <c r="T24" s="1"/>
      <c r="U24" s="1"/>
      <c r="V24" s="1"/>
      <c r="W24" s="1"/>
      <c r="X24" s="1"/>
      <c r="Y24" s="1"/>
      <c r="Z24" s="1"/>
    </row>
    <row r="25" spans="1:26" ht="41.4" customHeight="1">
      <c r="A25" s="48" t="s">
        <v>36</v>
      </c>
      <c r="B25" s="59" t="s">
        <v>145</v>
      </c>
      <c r="C25" s="59">
        <v>10</v>
      </c>
      <c r="D25" s="59">
        <v>9</v>
      </c>
      <c r="E25" s="59">
        <v>8</v>
      </c>
      <c r="F25" s="59">
        <v>1</v>
      </c>
      <c r="G25" s="60">
        <v>0.88888900000000004</v>
      </c>
      <c r="H25" s="59">
        <v>0</v>
      </c>
      <c r="I25" s="49">
        <v>1</v>
      </c>
      <c r="J25" s="1"/>
      <c r="K25" s="52"/>
      <c r="L25" s="42"/>
      <c r="M25" s="42"/>
      <c r="N25" s="42"/>
      <c r="O25" s="42"/>
      <c r="P25" s="53"/>
      <c r="Q25" s="1"/>
      <c r="R25" s="1"/>
      <c r="S25" s="1"/>
      <c r="T25" s="1"/>
      <c r="U25" s="1"/>
      <c r="V25" s="1"/>
      <c r="W25" s="1"/>
      <c r="X25" s="1"/>
      <c r="Y25" s="1"/>
      <c r="Z25" s="1"/>
    </row>
    <row r="26" spans="1:26" ht="33.4" customHeight="1">
      <c r="A26" s="48" t="s">
        <v>140</v>
      </c>
      <c r="B26" s="59" t="s">
        <v>144</v>
      </c>
      <c r="C26" s="59">
        <v>25</v>
      </c>
      <c r="D26" s="59">
        <v>20</v>
      </c>
      <c r="E26" s="59">
        <v>0</v>
      </c>
      <c r="F26" s="59">
        <v>20</v>
      </c>
      <c r="G26" s="60">
        <v>0</v>
      </c>
      <c r="H26" s="59">
        <v>0</v>
      </c>
      <c r="I26" s="49">
        <v>5</v>
      </c>
      <c r="J26" s="1"/>
      <c r="K26" s="108" t="s">
        <v>233</v>
      </c>
      <c r="L26" s="109"/>
      <c r="M26" s="109"/>
      <c r="N26" s="109"/>
      <c r="O26" s="109"/>
      <c r="P26" s="110"/>
      <c r="Q26" s="1"/>
      <c r="R26" s="1"/>
      <c r="S26" s="1"/>
      <c r="T26" s="1"/>
      <c r="U26" s="1"/>
      <c r="V26" s="1"/>
      <c r="W26" s="1"/>
      <c r="X26" s="1"/>
      <c r="Y26" s="1"/>
      <c r="Z26" s="1"/>
    </row>
    <row r="27" spans="1:26" ht="33.4" customHeight="1">
      <c r="A27" s="48" t="s">
        <v>140</v>
      </c>
      <c r="B27" s="59" t="s">
        <v>143</v>
      </c>
      <c r="C27" s="59">
        <v>14</v>
      </c>
      <c r="D27" s="59">
        <v>10</v>
      </c>
      <c r="E27" s="59">
        <v>4</v>
      </c>
      <c r="F27" s="59">
        <v>6</v>
      </c>
      <c r="G27" s="60">
        <v>0.4</v>
      </c>
      <c r="H27" s="59">
        <v>0</v>
      </c>
      <c r="I27" s="49">
        <v>4</v>
      </c>
      <c r="J27" s="1"/>
      <c r="K27" s="89"/>
      <c r="L27" s="105"/>
      <c r="M27" s="105"/>
      <c r="N27" s="105"/>
      <c r="O27" s="105"/>
      <c r="P27" s="90"/>
      <c r="Q27" s="1"/>
      <c r="R27" s="1"/>
      <c r="S27" s="1"/>
      <c r="T27" s="1"/>
      <c r="U27" s="1"/>
      <c r="V27" s="1"/>
      <c r="W27" s="1"/>
      <c r="X27" s="1"/>
      <c r="Y27" s="1"/>
      <c r="Z27" s="1"/>
    </row>
    <row r="28" spans="1:26" ht="33.4" customHeight="1">
      <c r="A28" s="48" t="s">
        <v>140</v>
      </c>
      <c r="B28" s="59" t="s">
        <v>145</v>
      </c>
      <c r="C28" s="59">
        <v>10</v>
      </c>
      <c r="D28" s="59">
        <v>9</v>
      </c>
      <c r="E28" s="59">
        <v>7</v>
      </c>
      <c r="F28" s="59">
        <v>2</v>
      </c>
      <c r="G28" s="60">
        <v>0.77777799999999997</v>
      </c>
      <c r="H28" s="59">
        <v>0</v>
      </c>
      <c r="I28" s="49">
        <v>1</v>
      </c>
      <c r="J28" s="1"/>
      <c r="K28" s="87"/>
      <c r="L28" s="103"/>
      <c r="M28" s="103"/>
      <c r="N28" s="103"/>
      <c r="O28" s="103"/>
      <c r="P28" s="88"/>
      <c r="Q28" s="1"/>
      <c r="R28" s="1"/>
      <c r="S28" s="1"/>
      <c r="T28" s="1"/>
      <c r="U28" s="1"/>
      <c r="V28" s="1"/>
      <c r="W28" s="1"/>
      <c r="X28" s="1"/>
      <c r="Y28" s="1"/>
      <c r="Z28" s="1"/>
    </row>
    <row r="29" spans="1:26" ht="33.4" customHeight="1">
      <c r="A29" s="48" t="s">
        <v>30</v>
      </c>
      <c r="B29" s="59" t="s">
        <v>144</v>
      </c>
      <c r="C29" s="59">
        <v>25</v>
      </c>
      <c r="D29" s="59">
        <v>20</v>
      </c>
      <c r="E29" s="59">
        <v>0</v>
      </c>
      <c r="F29" s="59">
        <v>20</v>
      </c>
      <c r="G29" s="60">
        <v>0</v>
      </c>
      <c r="H29" s="59">
        <v>0</v>
      </c>
      <c r="I29" s="49">
        <v>5</v>
      </c>
      <c r="J29" s="1"/>
      <c r="K29" s="91"/>
      <c r="L29" s="104"/>
      <c r="M29" s="104"/>
      <c r="N29" s="104"/>
      <c r="O29" s="104"/>
      <c r="P29" s="92"/>
      <c r="Q29" s="1"/>
      <c r="R29" s="1"/>
      <c r="S29" s="1"/>
      <c r="T29" s="1"/>
      <c r="U29" s="1"/>
      <c r="V29" s="1"/>
      <c r="W29" s="1"/>
      <c r="X29" s="1"/>
      <c r="Y29" s="1"/>
      <c r="Z29" s="1"/>
    </row>
    <row r="30" spans="1:26" ht="46.65" customHeight="1">
      <c r="A30" s="48" t="s">
        <v>30</v>
      </c>
      <c r="B30" s="59" t="s">
        <v>143</v>
      </c>
      <c r="C30" s="59">
        <v>14</v>
      </c>
      <c r="D30" s="59">
        <v>10</v>
      </c>
      <c r="E30" s="59">
        <v>5</v>
      </c>
      <c r="F30" s="59">
        <v>5</v>
      </c>
      <c r="G30" s="60">
        <v>0.5</v>
      </c>
      <c r="H30" s="59">
        <v>0</v>
      </c>
      <c r="I30" s="49">
        <v>4</v>
      </c>
      <c r="J30" s="1"/>
      <c r="K30" s="52"/>
      <c r="L30" s="42"/>
      <c r="M30" s="42"/>
      <c r="N30" s="42"/>
      <c r="O30" s="42"/>
      <c r="P30" s="53"/>
      <c r="Q30" s="1"/>
      <c r="R30" s="1"/>
      <c r="S30" s="1"/>
      <c r="T30" s="1"/>
      <c r="U30" s="1"/>
      <c r="V30" s="1"/>
      <c r="W30" s="1"/>
      <c r="X30" s="1"/>
      <c r="Y30" s="1"/>
      <c r="Z30" s="1"/>
    </row>
    <row r="31" spans="1:26" ht="46.65" customHeight="1">
      <c r="A31" s="50" t="s">
        <v>30</v>
      </c>
      <c r="B31" s="61" t="s">
        <v>145</v>
      </c>
      <c r="C31" s="61">
        <v>10</v>
      </c>
      <c r="D31" s="61">
        <v>9</v>
      </c>
      <c r="E31" s="61">
        <v>4</v>
      </c>
      <c r="F31" s="61">
        <v>5</v>
      </c>
      <c r="G31" s="62">
        <v>0.44444400000000001</v>
      </c>
      <c r="H31" s="61">
        <v>0</v>
      </c>
      <c r="I31" s="51">
        <v>1</v>
      </c>
      <c r="J31" s="1"/>
      <c r="K31" s="52"/>
      <c r="L31" s="42"/>
      <c r="M31" s="42"/>
      <c r="N31" s="42"/>
      <c r="O31" s="42"/>
      <c r="P31" s="53"/>
      <c r="Q31" s="1"/>
      <c r="R31" s="1"/>
      <c r="S31" s="1"/>
      <c r="T31" s="1"/>
      <c r="U31" s="1"/>
      <c r="V31" s="1"/>
      <c r="W31" s="1"/>
      <c r="X31" s="1"/>
      <c r="Y31" s="1"/>
      <c r="Z31" s="1"/>
    </row>
    <row r="32" spans="1:26" ht="46.65" customHeight="1">
      <c r="A32" s="1"/>
      <c r="B32" s="1"/>
      <c r="C32" s="1"/>
      <c r="D32" s="1"/>
      <c r="E32" s="1"/>
      <c r="F32" s="1"/>
      <c r="G32" s="1"/>
      <c r="H32" s="1"/>
      <c r="I32" s="1"/>
      <c r="J32" s="1"/>
      <c r="K32" s="52"/>
      <c r="L32" s="42"/>
      <c r="M32" s="42"/>
      <c r="N32" s="42"/>
      <c r="O32" s="42"/>
      <c r="P32" s="53"/>
      <c r="Q32" s="1"/>
      <c r="R32" s="1"/>
      <c r="S32" s="1"/>
      <c r="T32" s="1"/>
      <c r="U32" s="1"/>
      <c r="V32" s="1"/>
      <c r="W32" s="1"/>
      <c r="X32" s="1"/>
      <c r="Y32" s="1"/>
      <c r="Z32" s="1"/>
    </row>
    <row r="33" spans="1:26" ht="46.65" customHeight="1">
      <c r="A33" s="1"/>
      <c r="B33" s="1"/>
      <c r="C33" s="1"/>
      <c r="D33" s="1"/>
      <c r="E33" s="1"/>
      <c r="F33" s="1"/>
      <c r="G33" s="1"/>
      <c r="H33" s="1"/>
      <c r="I33" s="1"/>
      <c r="J33" s="1"/>
      <c r="K33" s="54"/>
      <c r="L33" s="69"/>
      <c r="M33" s="69"/>
      <c r="N33" s="69"/>
      <c r="O33" s="69"/>
      <c r="P33" s="55"/>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6">
    <mergeCell ref="K26:P29"/>
    <mergeCell ref="A15:I15"/>
    <mergeCell ref="K15:P15"/>
    <mergeCell ref="A1:T1"/>
    <mergeCell ref="A2:T3"/>
    <mergeCell ref="K22:P24"/>
  </mergeCells>
  <conditionalFormatting sqref="G17:G31">
    <cfRule type="colorScale" priority="5">
      <colorScale>
        <cfvo type="min"/>
        <cfvo type="percentile" val="50"/>
        <cfvo type="max"/>
        <color rgb="FFF4CCCC"/>
        <color rgb="FFFFF2CC"/>
        <color rgb="FFD9EAD3"/>
      </colorScale>
    </cfRule>
  </conditionalFormatting>
  <conditionalFormatting sqref="J6:J10">
    <cfRule type="dataBar" priority="1">
      <dataBar>
        <cfvo type="min"/>
        <cfvo type="max"/>
        <color rgb="FF2F75B5"/>
      </dataBar>
    </cfRule>
    <cfRule type="dataBar" priority="3">
      <dataBar>
        <cfvo type="min"/>
        <cfvo type="max"/>
        <color rgb="FF2F75B5"/>
      </dataBar>
    </cfRule>
    <cfRule type="dataBar" priority="6">
      <dataBar>
        <cfvo type="min"/>
        <cfvo type="max"/>
        <color rgb="FF2F75B5"/>
      </dataBar>
      <extLst>
        <ext xmlns:x14="http://schemas.microsoft.com/office/spreadsheetml/2009/9/main" uri="{B025F937-C7B1-47D3-B67F-A62EFF666E3E}">
          <x14:id>{4A1C3431-3E56-AA89-59C8-D7D402C16C9D}</x14:id>
        </ext>
      </extLst>
    </cfRule>
  </conditionalFormatting>
  <conditionalFormatting sqref="L6:L10">
    <cfRule type="dataBar" priority="2">
      <dataBar>
        <cfvo type="min"/>
        <cfvo type="max"/>
        <color rgb="FF70AD47"/>
      </dataBar>
    </cfRule>
    <cfRule type="dataBar" priority="4">
      <dataBar>
        <cfvo type="min"/>
        <cfvo type="max"/>
        <color rgb="FF70AD47"/>
      </dataBar>
    </cfRule>
    <cfRule type="dataBar" priority="7">
      <dataBar>
        <cfvo type="min"/>
        <cfvo type="max"/>
        <color rgb="FF70AD47"/>
      </dataBar>
      <extLst>
        <ext xmlns:x14="http://schemas.microsoft.com/office/spreadsheetml/2009/9/main" uri="{B025F937-C7B1-47D3-B67F-A62EFF666E3E}">
          <x14:id>{8D589863-3CB1-9D01-643D-3E25749C1522}</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A1C3431-3E56-AA89-59C8-D7D402C16C9D}">
            <x14:dataBar>
              <x14:cfvo type="min"/>
              <x14:cfvo type="max"/>
              <x14:negativeFillColor auto="1"/>
              <x14:axisColor auto="1"/>
            </x14:dataBar>
          </x14:cfRule>
          <xm:sqref>J6:J10</xm:sqref>
        </x14:conditionalFormatting>
        <x14:conditionalFormatting xmlns:xm="http://schemas.microsoft.com/office/excel/2006/main">
          <x14:cfRule type="dataBar" id="{8D589863-3CB1-9D01-643D-3E25749C1522}">
            <x14:dataBar>
              <x14:cfvo type="min"/>
              <x14:cfvo type="max"/>
              <x14:negativeFillColor auto="1"/>
              <x14:axisColor auto="1"/>
            </x14:dataBar>
          </x14:cfRule>
          <xm:sqref>L6:L10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60"/>
  <sheetViews>
    <sheetView workbookViewId="0"/>
  </sheetViews>
  <sheetFormatPr defaultRowHeight="14"/>
  <cols>
    <col min="1" max="1" width="31" customWidth="1"/>
    <col min="2" max="2" width="40" customWidth="1"/>
    <col min="3" max="7" width="8" customWidth="1"/>
    <col min="8" max="12" width="13" customWidth="1"/>
    <col min="13" max="13" width="16" customWidth="1"/>
    <col min="14" max="14" width="12" customWidth="1"/>
    <col min="15" max="15" width="15" customWidth="1"/>
    <col min="16" max="16" width="13" customWidth="1"/>
    <col min="17" max="17" width="15" customWidth="1"/>
  </cols>
  <sheetData>
    <row r="1" spans="1:26" ht="18.649999999999999" customHeight="1">
      <c r="A1" s="93" t="s">
        <v>234</v>
      </c>
      <c r="B1" s="93"/>
      <c r="C1" s="93"/>
      <c r="D1" s="93"/>
      <c r="E1" s="93"/>
      <c r="F1" s="93"/>
      <c r="G1" s="93"/>
      <c r="H1" s="93"/>
      <c r="I1" s="93"/>
      <c r="J1" s="93"/>
      <c r="K1" s="93"/>
      <c r="L1" s="93"/>
      <c r="M1" s="93"/>
      <c r="N1" s="93"/>
      <c r="O1" s="93"/>
      <c r="P1" s="93"/>
      <c r="Q1" s="93"/>
      <c r="R1" s="6"/>
      <c r="S1" s="6"/>
      <c r="T1" s="6"/>
      <c r="U1" s="6"/>
      <c r="V1" s="6"/>
      <c r="W1" s="6"/>
      <c r="X1" s="6"/>
      <c r="Y1" s="6"/>
      <c r="Z1" s="6"/>
    </row>
    <row r="2" spans="1:26" ht="13.4" customHeight="1">
      <c r="A2" s="94" t="s">
        <v>235</v>
      </c>
      <c r="B2" s="94"/>
      <c r="C2" s="94"/>
      <c r="D2" s="94"/>
      <c r="E2" s="94"/>
      <c r="F2" s="94"/>
      <c r="G2" s="94"/>
      <c r="H2" s="94"/>
      <c r="I2" s="94"/>
      <c r="J2" s="94"/>
      <c r="K2" s="94"/>
      <c r="L2" s="94"/>
      <c r="M2" s="94"/>
      <c r="N2" s="94"/>
      <c r="O2" s="94"/>
      <c r="P2" s="94"/>
      <c r="Q2" s="94"/>
      <c r="R2" s="1"/>
      <c r="S2" s="1"/>
      <c r="T2" s="1"/>
      <c r="U2" s="1"/>
      <c r="V2" s="1"/>
      <c r="W2" s="1"/>
      <c r="X2" s="1"/>
      <c r="Y2" s="1"/>
      <c r="Z2" s="1"/>
    </row>
    <row r="3" spans="1:26" ht="13.4" customHeight="1">
      <c r="A3" s="94"/>
      <c r="B3" s="94"/>
      <c r="C3" s="94"/>
      <c r="D3" s="94"/>
      <c r="E3" s="94"/>
      <c r="F3" s="94"/>
      <c r="G3" s="94"/>
      <c r="H3" s="94"/>
      <c r="I3" s="94"/>
      <c r="J3" s="94"/>
      <c r="K3" s="94"/>
      <c r="L3" s="94"/>
      <c r="M3" s="94"/>
      <c r="N3" s="94"/>
      <c r="O3" s="94"/>
      <c r="P3" s="94"/>
      <c r="Q3" s="94"/>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3" t="s">
        <v>22</v>
      </c>
      <c r="B5" s="35" t="s">
        <v>23</v>
      </c>
      <c r="C5" s="35" t="s">
        <v>128</v>
      </c>
      <c r="D5" s="35" t="s">
        <v>129</v>
      </c>
      <c r="E5" s="35" t="s">
        <v>130</v>
      </c>
      <c r="F5" s="35" t="s">
        <v>131</v>
      </c>
      <c r="G5" s="35" t="s">
        <v>132</v>
      </c>
      <c r="H5" s="35" t="s">
        <v>26</v>
      </c>
      <c r="I5" s="35" t="s">
        <v>133</v>
      </c>
      <c r="J5" s="35" t="s">
        <v>56</v>
      </c>
      <c r="K5" s="35" t="s">
        <v>134</v>
      </c>
      <c r="L5" s="35" t="s">
        <v>27</v>
      </c>
      <c r="M5" s="35" t="s">
        <v>135</v>
      </c>
      <c r="N5" s="35" t="s">
        <v>136</v>
      </c>
      <c r="O5" s="35" t="s">
        <v>137</v>
      </c>
      <c r="P5" s="35" t="s">
        <v>113</v>
      </c>
      <c r="Q5" s="34" t="s">
        <v>138</v>
      </c>
      <c r="R5" s="1"/>
      <c r="S5" s="1"/>
      <c r="T5" s="1"/>
      <c r="U5" s="1"/>
      <c r="V5" s="1"/>
      <c r="W5" s="1"/>
      <c r="X5" s="1"/>
      <c r="Y5" s="1"/>
      <c r="Z5" s="1"/>
    </row>
    <row r="6" spans="1:26">
      <c r="A6" s="7" t="s">
        <v>35</v>
      </c>
      <c r="B6" s="1" t="s">
        <v>36</v>
      </c>
      <c r="C6" s="1">
        <v>42</v>
      </c>
      <c r="D6" s="1">
        <v>9</v>
      </c>
      <c r="E6" s="1">
        <v>10</v>
      </c>
      <c r="F6" s="1">
        <v>0</v>
      </c>
      <c r="G6" s="1">
        <v>23</v>
      </c>
      <c r="H6" s="8">
        <f>(D6+E6)/C6</f>
        <v>0.45238095238095238</v>
      </c>
      <c r="I6" s="8">
        <f>IF((D6+F6)=0,0,D6/(D6+F6))</f>
        <v>1</v>
      </c>
      <c r="J6" s="8">
        <f>IF((D6+G6)=0,0,D6/(D6+G6))</f>
        <v>0.28125</v>
      </c>
      <c r="K6" s="8">
        <f>IF((E6+F6)=0,0,E6/(E6+F6))</f>
        <v>1</v>
      </c>
      <c r="L6" s="8">
        <f>IF((2*D6+F6+G6)=0,0,2*D6/(2*D6+F6+G6))</f>
        <v>0.43902439024390244</v>
      </c>
      <c r="M6" s="8">
        <f>(J6+K6)/2</f>
        <v>0.640625</v>
      </c>
      <c r="N6" s="8">
        <f>(H6-(((D6+G6)*(D6+F6)+(E6+F6)*(E6+G6))/(C6*C6)))/(1-(((D6+G6)*(D6+F6)+(E6+F6)*(E6+G6))/(C6*C6)))</f>
        <v>0.15706806282722516</v>
      </c>
      <c r="O6" s="8">
        <v>0.71952400000000005</v>
      </c>
      <c r="P6" s="27">
        <v>0.64254999999999995</v>
      </c>
      <c r="Q6" s="28">
        <v>4.6415280000000001</v>
      </c>
      <c r="R6" s="1"/>
      <c r="S6" s="1"/>
      <c r="T6" s="1"/>
      <c r="U6" s="1"/>
      <c r="V6" s="1"/>
      <c r="W6" s="1"/>
      <c r="X6" s="1"/>
      <c r="Y6" s="1"/>
      <c r="Z6" s="1"/>
    </row>
    <row r="7" spans="1:26">
      <c r="A7" s="7" t="s">
        <v>32</v>
      </c>
      <c r="B7" s="1" t="s">
        <v>33</v>
      </c>
      <c r="C7" s="1">
        <v>42</v>
      </c>
      <c r="D7" s="1">
        <v>14</v>
      </c>
      <c r="E7" s="1">
        <v>9</v>
      </c>
      <c r="F7" s="1">
        <v>1</v>
      </c>
      <c r="G7" s="1">
        <v>18</v>
      </c>
      <c r="H7" s="8">
        <f>(D7+E7)/C7</f>
        <v>0.54761904761904767</v>
      </c>
      <c r="I7" s="8">
        <f>IF((D7+F7)=0,0,D7/(D7+F7))</f>
        <v>0.93333333333333335</v>
      </c>
      <c r="J7" s="8">
        <f>IF((D7+G7)=0,0,D7/(D7+G7))</f>
        <v>0.4375</v>
      </c>
      <c r="K7" s="8">
        <f>IF((E7+F7)=0,0,E7/(E7+F7))</f>
        <v>0.9</v>
      </c>
      <c r="L7" s="8">
        <f>IF((2*D7+F7+G7)=0,0,2*D7/(2*D7+F7+G7))</f>
        <v>0.5957446808510638</v>
      </c>
      <c r="M7" s="8">
        <f>(J7+K7)/2</f>
        <v>0.66874999999999996</v>
      </c>
      <c r="N7" s="8">
        <f>(H7-(((D7+G7)*(D7+F7)+(E7+F7)*(E7+G7))/(C7*C7)))/(1-(((D7+G7)*(D7+F7)+(E7+F7)*(E7+G7))/(C7*C7)))</f>
        <v>0.21301775147929006</v>
      </c>
      <c r="O7" s="8">
        <v>0.92618999999999996</v>
      </c>
      <c r="P7" s="27">
        <v>0.14049800000000001</v>
      </c>
      <c r="Q7" s="28">
        <v>1.0979319999999999</v>
      </c>
      <c r="R7" s="1"/>
      <c r="S7" s="1"/>
      <c r="T7" s="1"/>
      <c r="U7" s="1"/>
      <c r="V7" s="1"/>
      <c r="W7" s="1"/>
      <c r="X7" s="1"/>
      <c r="Y7" s="1"/>
      <c r="Z7" s="1"/>
    </row>
    <row r="8" spans="1:26">
      <c r="A8" s="10" t="s">
        <v>29</v>
      </c>
      <c r="B8" s="11" t="s">
        <v>30</v>
      </c>
      <c r="C8" s="11">
        <v>42</v>
      </c>
      <c r="D8" s="11">
        <v>7</v>
      </c>
      <c r="E8" s="11">
        <v>10</v>
      </c>
      <c r="F8" s="11">
        <v>0</v>
      </c>
      <c r="G8" s="11">
        <v>25</v>
      </c>
      <c r="H8" s="12">
        <f>(D8+E8)/C8</f>
        <v>0.40476190476190477</v>
      </c>
      <c r="I8" s="12">
        <f>IF((D8+F8)=0,0,D8/(D8+F8))</f>
        <v>1</v>
      </c>
      <c r="J8" s="12">
        <f>IF((D8+G8)=0,0,D8/(D8+G8))</f>
        <v>0.21875</v>
      </c>
      <c r="K8" s="12">
        <f>IF((E8+F8)=0,0,E8/(E8+F8))</f>
        <v>1</v>
      </c>
      <c r="L8" s="12">
        <f>IF((2*D8+F8+G8)=0,0,2*D8/(2*D8+F8+G8))</f>
        <v>0.35897435897435898</v>
      </c>
      <c r="M8" s="12">
        <f>(J8+K8)/2</f>
        <v>0.609375</v>
      </c>
      <c r="N8" s="12">
        <f>(H8-(((D8+G8)*(D8+F8)+(E8+F8)*(E8+G8))/(C8*C8)))/(1-(((D8+G8)*(D8+F8)+(E8+F8)*(E8+G8))/(C8*C8)))</f>
        <v>0.1176470588235294</v>
      </c>
      <c r="O8" s="12">
        <v>0.93071400000000004</v>
      </c>
      <c r="P8" s="29">
        <v>4.2165000000000001E-2</v>
      </c>
      <c r="Q8" s="30">
        <v>3.8071510000000002</v>
      </c>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33" t="s">
        <v>142</v>
      </c>
      <c r="B11" s="35" t="s">
        <v>23</v>
      </c>
      <c r="C11" s="35" t="s">
        <v>128</v>
      </c>
      <c r="D11" s="35" t="s">
        <v>129</v>
      </c>
      <c r="E11" s="35" t="s">
        <v>130</v>
      </c>
      <c r="F11" s="35" t="s">
        <v>131</v>
      </c>
      <c r="G11" s="35" t="s">
        <v>132</v>
      </c>
      <c r="H11" s="35" t="s">
        <v>26</v>
      </c>
      <c r="I11" s="35" t="s">
        <v>133</v>
      </c>
      <c r="J11" s="35" t="s">
        <v>56</v>
      </c>
      <c r="K11" s="35" t="s">
        <v>134</v>
      </c>
      <c r="L11" s="35" t="s">
        <v>27</v>
      </c>
      <c r="M11" s="35" t="s">
        <v>135</v>
      </c>
      <c r="N11" s="34" t="s">
        <v>136</v>
      </c>
      <c r="O11" s="1"/>
      <c r="P11" s="1"/>
      <c r="Q11" s="1"/>
      <c r="R11" s="1"/>
      <c r="S11" s="1"/>
      <c r="T11" s="1"/>
      <c r="U11" s="1"/>
      <c r="V11" s="1"/>
      <c r="W11" s="1"/>
      <c r="X11" s="1"/>
      <c r="Y11" s="1"/>
      <c r="Z11" s="1"/>
    </row>
    <row r="12" spans="1:26" ht="13.4" customHeight="1">
      <c r="A12" s="2" t="s">
        <v>143</v>
      </c>
      <c r="B12" s="16" t="s">
        <v>36</v>
      </c>
      <c r="C12" s="16">
        <v>14</v>
      </c>
      <c r="D12" s="16">
        <v>5</v>
      </c>
      <c r="E12" s="16">
        <v>4</v>
      </c>
      <c r="F12" s="16">
        <v>0</v>
      </c>
      <c r="G12" s="16">
        <v>5</v>
      </c>
      <c r="H12" s="19">
        <f t="shared" ref="H12:H20" si="0">(D12+E12)/C12</f>
        <v>0.6428571428571429</v>
      </c>
      <c r="I12" s="19">
        <f t="shared" ref="I12:I20" si="1">IF((D12+F12)=0,0,D12/(D12+F12))</f>
        <v>1</v>
      </c>
      <c r="J12" s="19">
        <f t="shared" ref="J12:J20" si="2">IF((D12+G12)=0,0,D12/(D12+G12))</f>
        <v>0.5</v>
      </c>
      <c r="K12" s="19">
        <f t="shared" ref="K12:K20" si="3">IF((E12+F12)=0,0,E12/(E12+F12))</f>
        <v>1</v>
      </c>
      <c r="L12" s="19">
        <f t="shared" ref="L12:L20" si="4">IF((2*D12+F12+G12)=0,0,2*D12/(2*D12+F12+G12))</f>
        <v>0.66666666666666663</v>
      </c>
      <c r="M12" s="19">
        <f t="shared" ref="M12:M20" si="5">(J12+K12)/2</f>
        <v>0.75</v>
      </c>
      <c r="N12" s="31">
        <f t="shared" ref="N12:N20" si="6">(H12-(((D12+G12)*(D12+F12)+(E12+F12)*(E12+G12))/(C12*C12)))/(1-(((D12+G12)*(D12+F12)+(E12+F12)*(E12+G12))/(C12*C12)))</f>
        <v>0.3636363636363637</v>
      </c>
      <c r="O12" s="1"/>
      <c r="P12" s="1"/>
      <c r="Q12" s="1"/>
      <c r="R12" s="1"/>
      <c r="S12" s="1"/>
      <c r="T12" s="1"/>
      <c r="U12" s="1"/>
      <c r="V12" s="1"/>
      <c r="W12" s="1"/>
      <c r="X12" s="1"/>
      <c r="Y12" s="1"/>
      <c r="Z12" s="1"/>
    </row>
    <row r="13" spans="1:26" ht="13.4" customHeight="1">
      <c r="A13" s="2" t="s">
        <v>143</v>
      </c>
      <c r="B13" s="16" t="s">
        <v>33</v>
      </c>
      <c r="C13" s="16">
        <v>14</v>
      </c>
      <c r="D13" s="16">
        <v>8</v>
      </c>
      <c r="E13" s="16">
        <v>4</v>
      </c>
      <c r="F13" s="16">
        <v>0</v>
      </c>
      <c r="G13" s="16">
        <v>2</v>
      </c>
      <c r="H13" s="19">
        <f t="shared" si="0"/>
        <v>0.8571428571428571</v>
      </c>
      <c r="I13" s="19">
        <f t="shared" si="1"/>
        <v>1</v>
      </c>
      <c r="J13" s="19">
        <f t="shared" si="2"/>
        <v>0.8</v>
      </c>
      <c r="K13" s="19">
        <f t="shared" si="3"/>
        <v>1</v>
      </c>
      <c r="L13" s="19">
        <f t="shared" si="4"/>
        <v>0.88888888888888884</v>
      </c>
      <c r="M13" s="19">
        <f t="shared" si="5"/>
        <v>0.9</v>
      </c>
      <c r="N13" s="31">
        <f t="shared" si="6"/>
        <v>0.69565217391304335</v>
      </c>
      <c r="O13" s="1"/>
      <c r="P13" s="1"/>
      <c r="Q13" s="1"/>
      <c r="R13" s="1"/>
      <c r="S13" s="1"/>
      <c r="T13" s="1"/>
      <c r="U13" s="1"/>
      <c r="V13" s="1"/>
      <c r="W13" s="1"/>
      <c r="X13" s="1"/>
      <c r="Y13" s="1"/>
      <c r="Z13" s="1"/>
    </row>
    <row r="14" spans="1:26" ht="13.4" customHeight="1">
      <c r="A14" s="2" t="s">
        <v>143</v>
      </c>
      <c r="B14" s="16" t="s">
        <v>30</v>
      </c>
      <c r="C14" s="16">
        <v>14</v>
      </c>
      <c r="D14" s="16">
        <v>4</v>
      </c>
      <c r="E14" s="16">
        <v>4</v>
      </c>
      <c r="F14" s="16">
        <v>0</v>
      </c>
      <c r="G14" s="16">
        <v>6</v>
      </c>
      <c r="H14" s="19">
        <f t="shared" si="0"/>
        <v>0.5714285714285714</v>
      </c>
      <c r="I14" s="19">
        <f t="shared" si="1"/>
        <v>1</v>
      </c>
      <c r="J14" s="19">
        <f t="shared" si="2"/>
        <v>0.4</v>
      </c>
      <c r="K14" s="19">
        <f t="shared" si="3"/>
        <v>1</v>
      </c>
      <c r="L14" s="19">
        <f t="shared" si="4"/>
        <v>0.5714285714285714</v>
      </c>
      <c r="M14" s="19">
        <f t="shared" si="5"/>
        <v>0.7</v>
      </c>
      <c r="N14" s="31">
        <f t="shared" si="6"/>
        <v>0.27586206896551718</v>
      </c>
      <c r="O14" s="1"/>
      <c r="P14" s="1"/>
      <c r="Q14" s="1"/>
      <c r="R14" s="1"/>
      <c r="S14" s="1"/>
      <c r="T14" s="1"/>
      <c r="U14" s="1"/>
      <c r="V14" s="1"/>
      <c r="W14" s="1"/>
      <c r="X14" s="1"/>
      <c r="Y14" s="1"/>
      <c r="Z14" s="1"/>
    </row>
    <row r="15" spans="1:26" ht="13.4" customHeight="1">
      <c r="A15" s="2" t="s">
        <v>144</v>
      </c>
      <c r="B15" s="16" t="s">
        <v>36</v>
      </c>
      <c r="C15" s="16">
        <v>21</v>
      </c>
      <c r="D15" s="16">
        <v>0</v>
      </c>
      <c r="E15" s="16">
        <v>5</v>
      </c>
      <c r="F15" s="16">
        <v>0</v>
      </c>
      <c r="G15" s="16">
        <v>16</v>
      </c>
      <c r="H15" s="19">
        <f t="shared" si="0"/>
        <v>0.23809523809523808</v>
      </c>
      <c r="I15" s="19">
        <f t="shared" si="1"/>
        <v>0</v>
      </c>
      <c r="J15" s="19">
        <f t="shared" si="2"/>
        <v>0</v>
      </c>
      <c r="K15" s="19">
        <f t="shared" si="3"/>
        <v>1</v>
      </c>
      <c r="L15" s="19">
        <f t="shared" si="4"/>
        <v>0</v>
      </c>
      <c r="M15" s="19">
        <f t="shared" si="5"/>
        <v>0.5</v>
      </c>
      <c r="N15" s="31">
        <f t="shared" si="6"/>
        <v>0</v>
      </c>
      <c r="O15" s="1"/>
      <c r="P15" s="1"/>
      <c r="Q15" s="1"/>
      <c r="R15" s="1"/>
      <c r="S15" s="1"/>
      <c r="T15" s="1"/>
      <c r="U15" s="1"/>
      <c r="V15" s="1"/>
      <c r="W15" s="1"/>
      <c r="X15" s="1"/>
      <c r="Y15" s="1"/>
      <c r="Z15" s="1"/>
    </row>
    <row r="16" spans="1:26" ht="13.4" customHeight="1">
      <c r="A16" s="2" t="s">
        <v>144</v>
      </c>
      <c r="B16" s="16" t="s">
        <v>33</v>
      </c>
      <c r="C16" s="16">
        <v>21</v>
      </c>
      <c r="D16" s="16">
        <v>0</v>
      </c>
      <c r="E16" s="16">
        <v>5</v>
      </c>
      <c r="F16" s="16">
        <v>0</v>
      </c>
      <c r="G16" s="16">
        <v>16</v>
      </c>
      <c r="H16" s="19">
        <f t="shared" si="0"/>
        <v>0.23809523809523808</v>
      </c>
      <c r="I16" s="19">
        <f t="shared" si="1"/>
        <v>0</v>
      </c>
      <c r="J16" s="19">
        <f t="shared" si="2"/>
        <v>0</v>
      </c>
      <c r="K16" s="19">
        <f t="shared" si="3"/>
        <v>1</v>
      </c>
      <c r="L16" s="19">
        <f t="shared" si="4"/>
        <v>0</v>
      </c>
      <c r="M16" s="19">
        <f t="shared" si="5"/>
        <v>0.5</v>
      </c>
      <c r="N16" s="31">
        <f t="shared" si="6"/>
        <v>0</v>
      </c>
      <c r="O16" s="1"/>
      <c r="P16" s="1"/>
      <c r="Q16" s="1"/>
      <c r="R16" s="1"/>
      <c r="S16" s="1"/>
      <c r="T16" s="1"/>
      <c r="U16" s="1"/>
      <c r="V16" s="1"/>
      <c r="W16" s="1"/>
      <c r="X16" s="1"/>
      <c r="Y16" s="1"/>
      <c r="Z16" s="1"/>
    </row>
    <row r="17" spans="1:26" ht="13.4" customHeight="1">
      <c r="A17" s="2" t="s">
        <v>144</v>
      </c>
      <c r="B17" s="16" t="s">
        <v>30</v>
      </c>
      <c r="C17" s="16">
        <v>21</v>
      </c>
      <c r="D17" s="16">
        <v>0</v>
      </c>
      <c r="E17" s="16">
        <v>5</v>
      </c>
      <c r="F17" s="16">
        <v>0</v>
      </c>
      <c r="G17" s="16">
        <v>16</v>
      </c>
      <c r="H17" s="19">
        <f t="shared" si="0"/>
        <v>0.23809523809523808</v>
      </c>
      <c r="I17" s="19">
        <f t="shared" si="1"/>
        <v>0</v>
      </c>
      <c r="J17" s="19">
        <f t="shared" si="2"/>
        <v>0</v>
      </c>
      <c r="K17" s="19">
        <f t="shared" si="3"/>
        <v>1</v>
      </c>
      <c r="L17" s="19">
        <f t="shared" si="4"/>
        <v>0</v>
      </c>
      <c r="M17" s="19">
        <f t="shared" si="5"/>
        <v>0.5</v>
      </c>
      <c r="N17" s="31">
        <f t="shared" si="6"/>
        <v>0</v>
      </c>
      <c r="O17" s="1"/>
      <c r="P17" s="1"/>
      <c r="Q17" s="1"/>
      <c r="R17" s="1"/>
      <c r="S17" s="1"/>
      <c r="T17" s="1"/>
      <c r="U17" s="1"/>
      <c r="V17" s="1"/>
      <c r="W17" s="1"/>
      <c r="X17" s="1"/>
      <c r="Y17" s="1"/>
      <c r="Z17" s="1"/>
    </row>
    <row r="18" spans="1:26" ht="13.4" customHeight="1">
      <c r="A18" s="2" t="s">
        <v>145</v>
      </c>
      <c r="B18" s="16" t="s">
        <v>36</v>
      </c>
      <c r="C18" s="16">
        <v>7</v>
      </c>
      <c r="D18" s="16">
        <v>4</v>
      </c>
      <c r="E18" s="16">
        <v>1</v>
      </c>
      <c r="F18" s="16">
        <v>0</v>
      </c>
      <c r="G18" s="16">
        <v>2</v>
      </c>
      <c r="H18" s="19">
        <f t="shared" si="0"/>
        <v>0.7142857142857143</v>
      </c>
      <c r="I18" s="19">
        <f t="shared" si="1"/>
        <v>1</v>
      </c>
      <c r="J18" s="19">
        <f t="shared" si="2"/>
        <v>0.66666666666666663</v>
      </c>
      <c r="K18" s="19">
        <f t="shared" si="3"/>
        <v>1</v>
      </c>
      <c r="L18" s="19">
        <f t="shared" si="4"/>
        <v>0.8</v>
      </c>
      <c r="M18" s="19">
        <f t="shared" si="5"/>
        <v>0.83333333333333326</v>
      </c>
      <c r="N18" s="31">
        <f t="shared" si="6"/>
        <v>0.36363636363636376</v>
      </c>
      <c r="O18" s="1"/>
      <c r="P18" s="1"/>
      <c r="Q18" s="1"/>
      <c r="R18" s="1"/>
      <c r="S18" s="1"/>
      <c r="T18" s="1"/>
      <c r="U18" s="1"/>
      <c r="V18" s="1"/>
      <c r="W18" s="1"/>
      <c r="X18" s="1"/>
      <c r="Y18" s="1"/>
      <c r="Z18" s="1"/>
    </row>
    <row r="19" spans="1:26" ht="13.4" customHeight="1">
      <c r="A19" s="2" t="s">
        <v>145</v>
      </c>
      <c r="B19" s="16" t="s">
        <v>33</v>
      </c>
      <c r="C19" s="16">
        <v>7</v>
      </c>
      <c r="D19" s="16">
        <v>6</v>
      </c>
      <c r="E19" s="16">
        <v>0</v>
      </c>
      <c r="F19" s="16">
        <v>1</v>
      </c>
      <c r="G19" s="16">
        <v>0</v>
      </c>
      <c r="H19" s="19">
        <f t="shared" si="0"/>
        <v>0.8571428571428571</v>
      </c>
      <c r="I19" s="19">
        <f t="shared" si="1"/>
        <v>0.8571428571428571</v>
      </c>
      <c r="J19" s="19">
        <f t="shared" si="2"/>
        <v>1</v>
      </c>
      <c r="K19" s="19">
        <f t="shared" si="3"/>
        <v>0</v>
      </c>
      <c r="L19" s="19">
        <f t="shared" si="4"/>
        <v>0.92307692307692313</v>
      </c>
      <c r="M19" s="19">
        <f t="shared" si="5"/>
        <v>0.5</v>
      </c>
      <c r="N19" s="31">
        <f t="shared" si="6"/>
        <v>0</v>
      </c>
      <c r="O19" s="1"/>
      <c r="P19" s="1"/>
      <c r="Q19" s="1"/>
      <c r="R19" s="1"/>
      <c r="S19" s="1"/>
      <c r="T19" s="1"/>
      <c r="U19" s="1"/>
      <c r="V19" s="1"/>
      <c r="W19" s="1"/>
      <c r="X19" s="1"/>
      <c r="Y19" s="1"/>
      <c r="Z19" s="1"/>
    </row>
    <row r="20" spans="1:26" ht="13.4" customHeight="1">
      <c r="A20" s="4" t="s">
        <v>145</v>
      </c>
      <c r="B20" s="18" t="s">
        <v>30</v>
      </c>
      <c r="C20" s="18">
        <v>7</v>
      </c>
      <c r="D20" s="18">
        <v>3</v>
      </c>
      <c r="E20" s="18">
        <v>1</v>
      </c>
      <c r="F20" s="18">
        <v>0</v>
      </c>
      <c r="G20" s="18">
        <v>3</v>
      </c>
      <c r="H20" s="20">
        <f t="shared" si="0"/>
        <v>0.5714285714285714</v>
      </c>
      <c r="I20" s="20">
        <f t="shared" si="1"/>
        <v>1</v>
      </c>
      <c r="J20" s="20">
        <f t="shared" si="2"/>
        <v>0.5</v>
      </c>
      <c r="K20" s="20">
        <f t="shared" si="3"/>
        <v>1</v>
      </c>
      <c r="L20" s="20">
        <f t="shared" si="4"/>
        <v>0.66666666666666663</v>
      </c>
      <c r="M20" s="20">
        <f t="shared" si="5"/>
        <v>0.75</v>
      </c>
      <c r="N20" s="32">
        <f t="shared" si="6"/>
        <v>0.22222222222222218</v>
      </c>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8" customHeight="1">
      <c r="A23" s="42" t="s">
        <v>146</v>
      </c>
      <c r="B23" s="42"/>
      <c r="C23" s="42"/>
      <c r="D23" s="42"/>
      <c r="E23" s="42"/>
      <c r="F23" s="42"/>
      <c r="G23" s="42"/>
      <c r="H23" s="42"/>
      <c r="I23" s="42"/>
      <c r="J23" s="42"/>
      <c r="K23" s="42"/>
      <c r="L23" s="42"/>
      <c r="M23" s="42"/>
      <c r="N23" s="42"/>
      <c r="O23" s="42"/>
      <c r="P23" s="42"/>
      <c r="Q23" s="42"/>
      <c r="R23" s="1"/>
      <c r="S23" s="1"/>
      <c r="T23" s="1"/>
      <c r="U23" s="1"/>
      <c r="V23" s="1"/>
      <c r="W23" s="1"/>
      <c r="X23" s="1"/>
      <c r="Y23" s="1"/>
      <c r="Z23" s="1"/>
    </row>
    <row r="24" spans="1:26">
      <c r="A24" s="37"/>
      <c r="B24" s="37"/>
      <c r="C24" s="37"/>
      <c r="D24" s="37"/>
      <c r="E24" s="37"/>
      <c r="F24" s="37"/>
      <c r="G24" s="37"/>
      <c r="H24" s="37"/>
      <c r="I24" s="37"/>
      <c r="J24" s="37"/>
      <c r="K24" s="37"/>
      <c r="L24" s="37"/>
      <c r="M24" s="37"/>
      <c r="N24" s="37"/>
      <c r="O24" s="37"/>
      <c r="P24" s="37"/>
      <c r="Q24" s="37"/>
      <c r="R24" s="1"/>
      <c r="S24" s="1"/>
      <c r="T24" s="1"/>
      <c r="U24" s="1"/>
      <c r="V24" s="1"/>
      <c r="W24" s="1"/>
      <c r="X24" s="1"/>
      <c r="Y24" s="1"/>
      <c r="Z24" s="1"/>
    </row>
    <row r="25" spans="1:26" ht="14.65" customHeight="1">
      <c r="A25" s="86" t="s">
        <v>236</v>
      </c>
      <c r="B25" s="86"/>
      <c r="C25" s="86"/>
      <c r="D25" s="86"/>
      <c r="E25" s="86"/>
      <c r="F25" s="86"/>
      <c r="G25" s="86"/>
      <c r="H25" s="86"/>
      <c r="I25" s="37"/>
      <c r="J25" s="37"/>
      <c r="K25" s="37"/>
      <c r="L25" s="37"/>
      <c r="M25" s="37"/>
      <c r="N25" s="37"/>
      <c r="O25" s="37"/>
      <c r="P25" s="37"/>
      <c r="Q25" s="37"/>
      <c r="R25" s="1"/>
      <c r="S25" s="1"/>
      <c r="T25" s="1"/>
      <c r="U25" s="1"/>
      <c r="V25" s="1"/>
      <c r="W25" s="1"/>
      <c r="X25" s="1"/>
      <c r="Y25" s="1"/>
      <c r="Z25" s="1"/>
    </row>
    <row r="26" spans="1:26">
      <c r="A26" s="44" t="s">
        <v>237</v>
      </c>
      <c r="B26" s="45" t="s">
        <v>238</v>
      </c>
      <c r="C26" s="1"/>
      <c r="D26" s="1"/>
      <c r="E26" s="1"/>
      <c r="F26" s="1"/>
      <c r="G26" s="1"/>
      <c r="H26" s="1"/>
      <c r="I26" s="1"/>
      <c r="J26" s="1"/>
      <c r="K26" s="1"/>
      <c r="L26" s="1"/>
      <c r="M26" s="1"/>
      <c r="N26" s="1"/>
      <c r="O26" s="1"/>
      <c r="P26" s="1"/>
      <c r="Q26" s="1"/>
      <c r="R26" s="1"/>
      <c r="S26" s="1"/>
      <c r="T26" s="1"/>
      <c r="U26" s="1"/>
      <c r="V26" s="1"/>
      <c r="W26" s="1"/>
      <c r="X26" s="1"/>
      <c r="Y26" s="1"/>
      <c r="Z26" s="1"/>
    </row>
    <row r="27" spans="1:26" ht="33.4" customHeight="1">
      <c r="A27" s="46" t="s">
        <v>239</v>
      </c>
      <c r="B27" s="47" t="s">
        <v>240</v>
      </c>
      <c r="C27" s="1"/>
      <c r="D27" s="1"/>
      <c r="E27" s="1"/>
      <c r="F27" s="1"/>
      <c r="G27" s="1"/>
      <c r="H27" s="1"/>
      <c r="I27" s="1"/>
      <c r="J27" s="1"/>
      <c r="K27" s="1"/>
      <c r="L27" s="1"/>
      <c r="M27" s="1"/>
      <c r="N27" s="1"/>
      <c r="O27" s="1"/>
      <c r="P27" s="1"/>
      <c r="Q27" s="1"/>
      <c r="R27" s="1"/>
      <c r="S27" s="1"/>
      <c r="T27" s="1"/>
      <c r="U27" s="1"/>
      <c r="V27" s="1"/>
      <c r="W27" s="1"/>
      <c r="X27" s="1"/>
      <c r="Y27" s="1"/>
      <c r="Z27" s="1"/>
    </row>
    <row r="28" spans="1:26" ht="33.4" customHeight="1">
      <c r="A28" s="48" t="s">
        <v>241</v>
      </c>
      <c r="B28" s="49" t="s">
        <v>242</v>
      </c>
      <c r="C28" s="1"/>
      <c r="D28" s="1"/>
      <c r="E28" s="1"/>
      <c r="F28" s="1"/>
      <c r="G28" s="1"/>
      <c r="H28" s="1"/>
      <c r="I28" s="1"/>
      <c r="J28" s="1"/>
      <c r="K28" s="1"/>
      <c r="L28" s="1"/>
      <c r="M28" s="1"/>
      <c r="N28" s="1"/>
      <c r="O28" s="1"/>
      <c r="P28" s="1"/>
      <c r="Q28" s="1"/>
      <c r="R28" s="1"/>
      <c r="S28" s="1"/>
      <c r="T28" s="1"/>
      <c r="U28" s="1"/>
      <c r="V28" s="1"/>
      <c r="W28" s="1"/>
      <c r="X28" s="1"/>
      <c r="Y28" s="1"/>
      <c r="Z28" s="1"/>
    </row>
    <row r="29" spans="1:26" ht="33.4" customHeight="1">
      <c r="A29" s="48" t="s">
        <v>243</v>
      </c>
      <c r="B29" s="49" t="s">
        <v>244</v>
      </c>
      <c r="C29" s="1"/>
      <c r="D29" s="1"/>
      <c r="E29" s="1"/>
      <c r="F29" s="1"/>
      <c r="G29" s="1"/>
      <c r="H29" s="1"/>
      <c r="I29" s="1"/>
      <c r="J29" s="1"/>
      <c r="K29" s="1"/>
      <c r="L29" s="1"/>
      <c r="M29" s="1"/>
      <c r="N29" s="1"/>
      <c r="O29" s="1"/>
      <c r="P29" s="1"/>
      <c r="Q29" s="1"/>
      <c r="R29" s="1"/>
      <c r="S29" s="1"/>
      <c r="T29" s="1"/>
      <c r="U29" s="1"/>
      <c r="V29" s="1"/>
      <c r="W29" s="1"/>
      <c r="X29" s="1"/>
      <c r="Y29" s="1"/>
      <c r="Z29" s="1"/>
    </row>
    <row r="30" spans="1:26" ht="33.4" customHeight="1">
      <c r="A30" s="48" t="s">
        <v>245</v>
      </c>
      <c r="B30" s="49" t="s">
        <v>246</v>
      </c>
      <c r="C30" s="1"/>
      <c r="D30" s="1"/>
      <c r="E30" s="1"/>
      <c r="F30" s="1"/>
      <c r="G30" s="1"/>
      <c r="H30" s="1"/>
      <c r="I30" s="1"/>
      <c r="J30" s="1"/>
      <c r="K30" s="1"/>
      <c r="L30" s="1"/>
      <c r="M30" s="1"/>
      <c r="N30" s="1"/>
      <c r="O30" s="1"/>
      <c r="P30" s="1"/>
      <c r="Q30" s="1"/>
      <c r="R30" s="1"/>
      <c r="S30" s="1"/>
      <c r="T30" s="1"/>
      <c r="U30" s="1"/>
      <c r="V30" s="1"/>
      <c r="W30" s="1"/>
      <c r="X30" s="1"/>
      <c r="Y30" s="1"/>
      <c r="Z30" s="1"/>
    </row>
    <row r="31" spans="1:26" ht="33.4" customHeight="1">
      <c r="A31" s="50" t="s">
        <v>247</v>
      </c>
      <c r="B31" s="51" t="s">
        <v>248</v>
      </c>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32" customHeight="1">
      <c r="A33" s="87" t="s">
        <v>249</v>
      </c>
      <c r="B33" s="103"/>
      <c r="C33" s="103"/>
      <c r="D33" s="103"/>
      <c r="E33" s="103"/>
      <c r="F33" s="103"/>
      <c r="G33" s="103"/>
      <c r="H33" s="88"/>
      <c r="I33" s="1"/>
      <c r="J33" s="1"/>
      <c r="K33" s="1"/>
      <c r="L33" s="1"/>
      <c r="M33" s="1"/>
      <c r="N33" s="1"/>
      <c r="O33" s="1"/>
      <c r="P33" s="1"/>
      <c r="Q33" s="1"/>
      <c r="R33" s="1"/>
      <c r="S33" s="1"/>
      <c r="T33" s="1"/>
      <c r="U33" s="1"/>
      <c r="V33" s="1"/>
      <c r="W33" s="1"/>
      <c r="X33" s="1"/>
      <c r="Y33" s="1"/>
      <c r="Z33" s="1"/>
    </row>
    <row r="34" spans="1:26" ht="32" customHeight="1">
      <c r="A34" s="89"/>
      <c r="B34" s="105"/>
      <c r="C34" s="105"/>
      <c r="D34" s="105"/>
      <c r="E34" s="105"/>
      <c r="F34" s="105"/>
      <c r="G34" s="105"/>
      <c r="H34" s="90"/>
      <c r="I34" s="1"/>
      <c r="J34" s="1"/>
      <c r="K34" s="1"/>
      <c r="L34" s="1"/>
      <c r="M34" s="1"/>
      <c r="N34" s="1"/>
      <c r="O34" s="1"/>
      <c r="P34" s="1"/>
      <c r="Q34" s="1"/>
      <c r="R34" s="1"/>
      <c r="S34" s="1"/>
      <c r="T34" s="1"/>
      <c r="U34" s="1"/>
      <c r="V34" s="1"/>
      <c r="W34" s="1"/>
      <c r="X34" s="1"/>
      <c r="Y34" s="1"/>
      <c r="Z34" s="1"/>
    </row>
    <row r="35" spans="1:26" ht="32" customHeight="1">
      <c r="A35" s="91"/>
      <c r="B35" s="104"/>
      <c r="C35" s="104"/>
      <c r="D35" s="104"/>
      <c r="E35" s="104"/>
      <c r="F35" s="104"/>
      <c r="G35" s="104"/>
      <c r="H35" s="92"/>
      <c r="I35" s="1"/>
      <c r="J35" s="1"/>
      <c r="K35" s="1"/>
      <c r="L35" s="1"/>
      <c r="M35" s="1"/>
      <c r="N35" s="1"/>
      <c r="O35" s="1"/>
      <c r="P35" s="1"/>
      <c r="Q35" s="1"/>
      <c r="R35" s="1"/>
      <c r="S35" s="1"/>
      <c r="T35" s="1"/>
      <c r="U35" s="1"/>
      <c r="V35" s="1"/>
      <c r="W35" s="1"/>
      <c r="X35" s="1"/>
      <c r="Y35" s="1"/>
      <c r="Z35" s="1"/>
    </row>
    <row r="36" spans="1:26" ht="42.65" customHeight="1">
      <c r="A36" s="52"/>
      <c r="B36" s="42"/>
      <c r="C36" s="42"/>
      <c r="D36" s="42"/>
      <c r="E36" s="42"/>
      <c r="F36" s="42"/>
      <c r="G36" s="42"/>
      <c r="H36" s="53"/>
      <c r="I36" s="1"/>
      <c r="J36" s="1"/>
      <c r="K36" s="1"/>
      <c r="L36" s="1"/>
      <c r="M36" s="1"/>
      <c r="N36" s="1"/>
      <c r="O36" s="1"/>
      <c r="P36" s="1"/>
      <c r="Q36" s="1"/>
      <c r="R36" s="1"/>
      <c r="S36" s="1"/>
      <c r="T36" s="1"/>
      <c r="U36" s="1"/>
      <c r="V36" s="1"/>
      <c r="W36" s="1"/>
      <c r="X36" s="1"/>
      <c r="Y36" s="1"/>
      <c r="Z36" s="1"/>
    </row>
    <row r="37" spans="1:26" ht="42.65" customHeight="1">
      <c r="A37" s="54"/>
      <c r="B37" s="69"/>
      <c r="C37" s="69"/>
      <c r="D37" s="69"/>
      <c r="E37" s="69"/>
      <c r="F37" s="69"/>
      <c r="G37" s="69"/>
      <c r="H37" s="55"/>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4">
    <mergeCell ref="A25:H25"/>
    <mergeCell ref="A1:Q1"/>
    <mergeCell ref="A2:Q3"/>
    <mergeCell ref="A33:H35"/>
  </mergeCell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60"/>
  <sheetViews>
    <sheetView workbookViewId="0"/>
  </sheetViews>
  <sheetFormatPr defaultRowHeight="14"/>
  <cols>
    <col min="1" max="1" width="14" customWidth="1"/>
    <col min="2" max="2" width="25" customWidth="1"/>
    <col min="3" max="3" width="36" customWidth="1"/>
    <col min="4" max="7" width="8" customWidth="1"/>
    <col min="8" max="8" width="48" customWidth="1"/>
    <col min="9" max="13" width="13" customWidth="1"/>
    <col min="14" max="14" width="16" customWidth="1"/>
    <col min="15" max="15" width="12" customWidth="1"/>
  </cols>
  <sheetData>
    <row r="1" spans="1:26" ht="18.649999999999999" customHeight="1">
      <c r="A1" s="93" t="s">
        <v>250</v>
      </c>
      <c r="B1" s="93"/>
      <c r="C1" s="93"/>
      <c r="D1" s="93"/>
      <c r="E1" s="93"/>
      <c r="F1" s="93"/>
      <c r="G1" s="93"/>
      <c r="H1" s="93"/>
      <c r="I1" s="93"/>
      <c r="J1" s="93"/>
      <c r="K1" s="93"/>
      <c r="L1" s="93"/>
      <c r="M1" s="93"/>
      <c r="N1" s="93"/>
      <c r="O1" s="93"/>
      <c r="P1" s="93"/>
      <c r="Q1" s="93"/>
      <c r="R1" s="93"/>
      <c r="S1" s="93"/>
      <c r="T1" s="6"/>
      <c r="U1" s="6"/>
      <c r="V1" s="6"/>
      <c r="W1" s="6"/>
      <c r="X1" s="6"/>
      <c r="Y1" s="6"/>
      <c r="Z1" s="6"/>
    </row>
    <row r="2" spans="1:26" ht="13.4" customHeight="1">
      <c r="A2" s="94" t="s">
        <v>251</v>
      </c>
      <c r="B2" s="94"/>
      <c r="C2" s="94"/>
      <c r="D2" s="94"/>
      <c r="E2" s="94"/>
      <c r="F2" s="94"/>
      <c r="G2" s="94"/>
      <c r="H2" s="94"/>
      <c r="I2" s="94"/>
      <c r="J2" s="94"/>
      <c r="K2" s="94"/>
      <c r="L2" s="94"/>
      <c r="M2" s="94"/>
      <c r="N2" s="94"/>
      <c r="O2" s="94"/>
      <c r="P2" s="94"/>
      <c r="Q2" s="94"/>
      <c r="R2" s="94"/>
      <c r="S2" s="94"/>
      <c r="T2" s="1"/>
      <c r="U2" s="1"/>
      <c r="V2" s="1"/>
      <c r="W2" s="1"/>
      <c r="X2" s="1"/>
      <c r="Y2" s="1"/>
      <c r="Z2" s="1"/>
    </row>
    <row r="3" spans="1:26" ht="13.4" customHeight="1">
      <c r="A3" s="94" t="s">
        <v>147</v>
      </c>
      <c r="B3" s="94"/>
      <c r="C3" s="94"/>
      <c r="D3" s="94"/>
      <c r="E3" s="94"/>
      <c r="F3" s="94"/>
      <c r="G3" s="94"/>
      <c r="H3" s="94"/>
      <c r="I3" s="94"/>
      <c r="J3" s="94"/>
      <c r="K3" s="94"/>
      <c r="L3" s="94"/>
      <c r="M3" s="94"/>
      <c r="N3" s="94"/>
      <c r="O3" s="94"/>
      <c r="P3" s="94"/>
      <c r="Q3" s="94"/>
      <c r="R3" s="94"/>
      <c r="S3" s="94"/>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3" t="s">
        <v>22</v>
      </c>
      <c r="B5" s="35" t="s">
        <v>23</v>
      </c>
      <c r="C5" s="35" t="s">
        <v>111</v>
      </c>
      <c r="D5" s="35" t="s">
        <v>128</v>
      </c>
      <c r="E5" s="35" t="s">
        <v>129</v>
      </c>
      <c r="F5" s="35" t="s">
        <v>130</v>
      </c>
      <c r="G5" s="35" t="s">
        <v>131</v>
      </c>
      <c r="H5" s="35" t="s">
        <v>132</v>
      </c>
      <c r="I5" s="35" t="s">
        <v>26</v>
      </c>
      <c r="J5" s="35" t="s">
        <v>133</v>
      </c>
      <c r="K5" s="35" t="s">
        <v>56</v>
      </c>
      <c r="L5" s="35" t="s">
        <v>134</v>
      </c>
      <c r="M5" s="35" t="s">
        <v>27</v>
      </c>
      <c r="N5" s="35" t="s">
        <v>135</v>
      </c>
      <c r="O5" s="34" t="s">
        <v>136</v>
      </c>
      <c r="P5" s="1"/>
      <c r="Q5" s="1" t="s">
        <v>22</v>
      </c>
      <c r="R5" s="1" t="s">
        <v>26</v>
      </c>
      <c r="S5" s="1" t="s">
        <v>27</v>
      </c>
      <c r="T5" s="1"/>
      <c r="U5" s="1"/>
      <c r="V5" s="1"/>
      <c r="W5" s="1"/>
      <c r="X5" s="1"/>
      <c r="Y5" s="1"/>
      <c r="Z5" s="1"/>
    </row>
    <row r="6" spans="1:26" ht="12.4" customHeight="1">
      <c r="A6" s="7" t="s">
        <v>35</v>
      </c>
      <c r="B6" s="1" t="s">
        <v>36</v>
      </c>
      <c r="C6" s="1" t="s">
        <v>34</v>
      </c>
      <c r="D6" s="1">
        <v>46</v>
      </c>
      <c r="E6" s="1">
        <v>8</v>
      </c>
      <c r="F6" s="1">
        <v>9</v>
      </c>
      <c r="G6" s="1">
        <v>1</v>
      </c>
      <c r="H6" s="1">
        <v>28</v>
      </c>
      <c r="I6" s="8">
        <f t="shared" ref="I6:I17" si="0">(E6+F6)/D6</f>
        <v>0.36956521739130432</v>
      </c>
      <c r="J6" s="8">
        <f t="shared" ref="J6:J17" si="1">IF((E6+G6)=0,0,E6/(E6+G6))</f>
        <v>0.88888888888888884</v>
      </c>
      <c r="K6" s="8">
        <f t="shared" ref="K6:K17" si="2">IF((E6+H6)=0,0,E6/(E6+H6))</f>
        <v>0.22222222222222221</v>
      </c>
      <c r="L6" s="8">
        <f t="shared" ref="L6:L17" si="3">IF((F6+G6)=0,0,F6/(F6+G6))</f>
        <v>0.9</v>
      </c>
      <c r="M6" s="8">
        <f t="shared" ref="M6:M17" si="4">IF((2*E6+G6+H6)=0,0,2*E6/(2*E6+G6+H6))</f>
        <v>0.35555555555555557</v>
      </c>
      <c r="N6" s="8">
        <f t="shared" ref="N6:N17" si="5">(K6+L6)/2</f>
        <v>0.56111111111111112</v>
      </c>
      <c r="O6" s="9">
        <f t="shared" ref="O6:O17" si="6">(I6-(((E6+H6)*(E6+G6)+(F6+G6)*(F6+H6))/(D6*D6)))/(1-(((E6+H6)*(E6+G6)+(F6+G6)*(F6+H6))/(D6*D6)))</f>
        <v>6.1884669479606122E-2</v>
      </c>
      <c r="P6" s="1"/>
      <c r="Q6" s="1" t="s">
        <v>29</v>
      </c>
      <c r="R6" s="8">
        <f t="shared" ref="R6:S8" si="7">D21</f>
        <v>0.72499999999999998</v>
      </c>
      <c r="S6" s="8">
        <f t="shared" si="7"/>
        <v>0.80701754385964908</v>
      </c>
      <c r="T6" s="1"/>
      <c r="U6" s="1"/>
      <c r="V6" s="1"/>
      <c r="W6" s="1"/>
      <c r="X6" s="1"/>
      <c r="Y6" s="1"/>
      <c r="Z6" s="1"/>
    </row>
    <row r="7" spans="1:26" ht="12.4" customHeight="1">
      <c r="A7" s="7" t="s">
        <v>35</v>
      </c>
      <c r="B7" s="1" t="s">
        <v>36</v>
      </c>
      <c r="C7" s="1" t="s">
        <v>97</v>
      </c>
      <c r="D7" s="1">
        <v>46</v>
      </c>
      <c r="E7" s="1">
        <v>21</v>
      </c>
      <c r="F7" s="1">
        <v>7</v>
      </c>
      <c r="G7" s="1">
        <v>3</v>
      </c>
      <c r="H7" s="1">
        <v>15</v>
      </c>
      <c r="I7" s="8">
        <f t="shared" si="0"/>
        <v>0.60869565217391308</v>
      </c>
      <c r="J7" s="8">
        <f t="shared" si="1"/>
        <v>0.875</v>
      </c>
      <c r="K7" s="8">
        <f t="shared" si="2"/>
        <v>0.58333333333333337</v>
      </c>
      <c r="L7" s="8">
        <f t="shared" si="3"/>
        <v>0.7</v>
      </c>
      <c r="M7" s="8">
        <f t="shared" si="4"/>
        <v>0.7</v>
      </c>
      <c r="N7" s="8">
        <f t="shared" si="5"/>
        <v>0.64166666666666661</v>
      </c>
      <c r="O7" s="9">
        <f t="shared" si="6"/>
        <v>0.19767441860465124</v>
      </c>
      <c r="P7" s="1"/>
      <c r="Q7" s="1" t="s">
        <v>32</v>
      </c>
      <c r="R7" s="8">
        <f t="shared" si="7"/>
        <v>0.71739130434782605</v>
      </c>
      <c r="S7" s="8">
        <f t="shared" si="7"/>
        <v>0.81159420289855078</v>
      </c>
      <c r="T7" s="1"/>
      <c r="U7" s="1"/>
      <c r="V7" s="1"/>
      <c r="W7" s="1"/>
      <c r="X7" s="1"/>
      <c r="Y7" s="1"/>
      <c r="Z7" s="1"/>
    </row>
    <row r="8" spans="1:26" ht="12.4" customHeight="1">
      <c r="A8" s="7" t="s">
        <v>35</v>
      </c>
      <c r="B8" s="1" t="s">
        <v>36</v>
      </c>
      <c r="C8" s="1" t="s">
        <v>31</v>
      </c>
      <c r="D8" s="1">
        <v>40</v>
      </c>
      <c r="E8" s="1">
        <v>25</v>
      </c>
      <c r="F8" s="1">
        <v>3</v>
      </c>
      <c r="G8" s="1">
        <v>4</v>
      </c>
      <c r="H8" s="1">
        <v>8</v>
      </c>
      <c r="I8" s="8">
        <f t="shared" si="0"/>
        <v>0.7</v>
      </c>
      <c r="J8" s="8">
        <f t="shared" si="1"/>
        <v>0.86206896551724133</v>
      </c>
      <c r="K8" s="8">
        <f t="shared" si="2"/>
        <v>0.75757575757575757</v>
      </c>
      <c r="L8" s="8">
        <f t="shared" si="3"/>
        <v>0.42857142857142855</v>
      </c>
      <c r="M8" s="8">
        <f t="shared" si="4"/>
        <v>0.80645161290322576</v>
      </c>
      <c r="N8" s="8">
        <f t="shared" si="5"/>
        <v>0.59307359307359309</v>
      </c>
      <c r="O8" s="9">
        <f t="shared" si="6"/>
        <v>0.15194346289752639</v>
      </c>
      <c r="P8" s="1"/>
      <c r="Q8" s="1" t="s">
        <v>35</v>
      </c>
      <c r="R8" s="8">
        <f t="shared" si="7"/>
        <v>0.7</v>
      </c>
      <c r="S8" s="8">
        <f t="shared" si="7"/>
        <v>0.80645161290322576</v>
      </c>
      <c r="T8" s="1"/>
      <c r="U8" s="1"/>
      <c r="V8" s="1"/>
      <c r="W8" s="1"/>
      <c r="X8" s="1"/>
      <c r="Y8" s="1"/>
      <c r="Z8" s="1"/>
    </row>
    <row r="9" spans="1:26" ht="12.4" customHeight="1">
      <c r="A9" s="7" t="s">
        <v>35</v>
      </c>
      <c r="B9" s="1" t="s">
        <v>36</v>
      </c>
      <c r="C9" s="1" t="s">
        <v>98</v>
      </c>
      <c r="D9" s="1">
        <v>40</v>
      </c>
      <c r="E9" s="1">
        <v>24</v>
      </c>
      <c r="F9" s="1">
        <v>4</v>
      </c>
      <c r="G9" s="1">
        <v>3</v>
      </c>
      <c r="H9" s="1">
        <v>9</v>
      </c>
      <c r="I9" s="8">
        <f t="shared" si="0"/>
        <v>0.7</v>
      </c>
      <c r="J9" s="8">
        <f t="shared" si="1"/>
        <v>0.88888888888888884</v>
      </c>
      <c r="K9" s="8">
        <f t="shared" si="2"/>
        <v>0.72727272727272729</v>
      </c>
      <c r="L9" s="8">
        <f t="shared" si="3"/>
        <v>0.5714285714285714</v>
      </c>
      <c r="M9" s="8">
        <f t="shared" si="4"/>
        <v>0.8</v>
      </c>
      <c r="N9" s="8">
        <f t="shared" si="5"/>
        <v>0.64935064935064934</v>
      </c>
      <c r="O9" s="9">
        <f t="shared" si="6"/>
        <v>0.22330097087378625</v>
      </c>
      <c r="P9" s="1"/>
      <c r="Q9" s="1"/>
      <c r="R9" s="1"/>
      <c r="S9" s="1"/>
      <c r="T9" s="1"/>
      <c r="U9" s="1"/>
      <c r="V9" s="1"/>
      <c r="W9" s="1"/>
      <c r="X9" s="1"/>
      <c r="Y9" s="1"/>
      <c r="Z9" s="1"/>
    </row>
    <row r="10" spans="1:26" ht="12.4" customHeight="1">
      <c r="A10" s="7" t="s">
        <v>32</v>
      </c>
      <c r="B10" s="1" t="s">
        <v>33</v>
      </c>
      <c r="C10" s="1" t="s">
        <v>34</v>
      </c>
      <c r="D10" s="1">
        <v>46</v>
      </c>
      <c r="E10" s="1">
        <v>28</v>
      </c>
      <c r="F10" s="1">
        <v>5</v>
      </c>
      <c r="G10" s="1">
        <v>5</v>
      </c>
      <c r="H10" s="1">
        <v>8</v>
      </c>
      <c r="I10" s="8">
        <f t="shared" si="0"/>
        <v>0.71739130434782605</v>
      </c>
      <c r="J10" s="8">
        <f t="shared" si="1"/>
        <v>0.84848484848484851</v>
      </c>
      <c r="K10" s="8">
        <f t="shared" si="2"/>
        <v>0.77777777777777779</v>
      </c>
      <c r="L10" s="8">
        <f t="shared" si="3"/>
        <v>0.5</v>
      </c>
      <c r="M10" s="8">
        <f t="shared" si="4"/>
        <v>0.81159420289855078</v>
      </c>
      <c r="N10" s="8">
        <f t="shared" si="5"/>
        <v>0.63888888888888884</v>
      </c>
      <c r="O10" s="9">
        <f t="shared" si="6"/>
        <v>0.25062656641604009</v>
      </c>
      <c r="P10" s="1"/>
      <c r="Q10" s="1"/>
      <c r="R10" s="1"/>
      <c r="S10" s="1"/>
      <c r="T10" s="1"/>
      <c r="U10" s="1"/>
      <c r="V10" s="1"/>
      <c r="W10" s="1"/>
      <c r="X10" s="1"/>
      <c r="Y10" s="1"/>
      <c r="Z10" s="1"/>
    </row>
    <row r="11" spans="1:26" ht="12.4" customHeight="1">
      <c r="A11" s="7" t="s">
        <v>32</v>
      </c>
      <c r="B11" s="1" t="s">
        <v>33</v>
      </c>
      <c r="C11" s="1" t="s">
        <v>97</v>
      </c>
      <c r="D11" s="1">
        <v>46</v>
      </c>
      <c r="E11" s="1">
        <v>25</v>
      </c>
      <c r="F11" s="1">
        <v>5</v>
      </c>
      <c r="G11" s="1">
        <v>5</v>
      </c>
      <c r="H11" s="1">
        <v>11</v>
      </c>
      <c r="I11" s="8">
        <f t="shared" si="0"/>
        <v>0.65217391304347827</v>
      </c>
      <c r="J11" s="8">
        <f t="shared" si="1"/>
        <v>0.83333333333333337</v>
      </c>
      <c r="K11" s="8">
        <f t="shared" si="2"/>
        <v>0.69444444444444442</v>
      </c>
      <c r="L11" s="8">
        <f t="shared" si="3"/>
        <v>0.5</v>
      </c>
      <c r="M11" s="8">
        <f t="shared" si="4"/>
        <v>0.75757575757575757</v>
      </c>
      <c r="N11" s="8">
        <f t="shared" si="5"/>
        <v>0.59722222222222221</v>
      </c>
      <c r="O11" s="9">
        <f t="shared" si="6"/>
        <v>0.15981735159817345</v>
      </c>
      <c r="P11" s="1"/>
      <c r="Q11" s="1"/>
      <c r="R11" s="1"/>
      <c r="S11" s="1"/>
      <c r="T11" s="1"/>
      <c r="U11" s="1"/>
      <c r="V11" s="1"/>
      <c r="W11" s="1"/>
      <c r="X11" s="1"/>
      <c r="Y11" s="1"/>
      <c r="Z11" s="1"/>
    </row>
    <row r="12" spans="1:26" ht="12.4" customHeight="1">
      <c r="A12" s="7" t="s">
        <v>32</v>
      </c>
      <c r="B12" s="1" t="s">
        <v>33</v>
      </c>
      <c r="C12" s="1" t="s">
        <v>31</v>
      </c>
      <c r="D12" s="1">
        <v>40</v>
      </c>
      <c r="E12" s="1">
        <v>23</v>
      </c>
      <c r="F12" s="1">
        <v>2</v>
      </c>
      <c r="G12" s="1">
        <v>5</v>
      </c>
      <c r="H12" s="1">
        <v>10</v>
      </c>
      <c r="I12" s="8">
        <f t="shared" si="0"/>
        <v>0.625</v>
      </c>
      <c r="J12" s="8">
        <f t="shared" si="1"/>
        <v>0.8214285714285714</v>
      </c>
      <c r="K12" s="8">
        <f t="shared" si="2"/>
        <v>0.69696969696969702</v>
      </c>
      <c r="L12" s="8">
        <f t="shared" si="3"/>
        <v>0.2857142857142857</v>
      </c>
      <c r="M12" s="8">
        <f t="shared" si="4"/>
        <v>0.75409836065573765</v>
      </c>
      <c r="N12" s="8">
        <f t="shared" si="5"/>
        <v>0.49134199134199136</v>
      </c>
      <c r="O12" s="9">
        <f t="shared" si="6"/>
        <v>-1.3513513513513526E-2</v>
      </c>
      <c r="P12" s="1"/>
      <c r="Q12" s="1"/>
      <c r="R12" s="1"/>
      <c r="S12" s="1"/>
      <c r="T12" s="1"/>
      <c r="U12" s="1"/>
      <c r="V12" s="1"/>
      <c r="W12" s="1"/>
      <c r="X12" s="1"/>
      <c r="Y12" s="1"/>
      <c r="Z12" s="1"/>
    </row>
    <row r="13" spans="1:26" ht="12.4" customHeight="1">
      <c r="A13" s="7" t="s">
        <v>32</v>
      </c>
      <c r="B13" s="1" t="s">
        <v>33</v>
      </c>
      <c r="C13" s="1" t="s">
        <v>98</v>
      </c>
      <c r="D13" s="1">
        <v>40</v>
      </c>
      <c r="E13" s="1">
        <v>24</v>
      </c>
      <c r="F13" s="1">
        <v>3</v>
      </c>
      <c r="G13" s="1">
        <v>4</v>
      </c>
      <c r="H13" s="1">
        <v>9</v>
      </c>
      <c r="I13" s="8">
        <f t="shared" si="0"/>
        <v>0.67500000000000004</v>
      </c>
      <c r="J13" s="8">
        <f t="shared" si="1"/>
        <v>0.8571428571428571</v>
      </c>
      <c r="K13" s="8">
        <f t="shared" si="2"/>
        <v>0.72727272727272729</v>
      </c>
      <c r="L13" s="8">
        <f t="shared" si="3"/>
        <v>0.42857142857142855</v>
      </c>
      <c r="M13" s="8">
        <f t="shared" si="4"/>
        <v>0.78688524590163933</v>
      </c>
      <c r="N13" s="8">
        <f t="shared" si="5"/>
        <v>0.57792207792207795</v>
      </c>
      <c r="O13" s="9">
        <f t="shared" si="6"/>
        <v>0.12162162162162173</v>
      </c>
      <c r="P13" s="1"/>
      <c r="Q13" s="1"/>
      <c r="R13" s="1"/>
      <c r="S13" s="1"/>
      <c r="T13" s="1"/>
      <c r="U13" s="1"/>
      <c r="V13" s="1"/>
      <c r="W13" s="1"/>
      <c r="X13" s="1"/>
      <c r="Y13" s="1"/>
      <c r="Z13" s="1"/>
    </row>
    <row r="14" spans="1:26" ht="12.4" customHeight="1">
      <c r="A14" s="7" t="s">
        <v>29</v>
      </c>
      <c r="B14" s="1" t="s">
        <v>30</v>
      </c>
      <c r="C14" s="1" t="s">
        <v>34</v>
      </c>
      <c r="D14" s="1">
        <v>46</v>
      </c>
      <c r="E14" s="1">
        <v>21</v>
      </c>
      <c r="F14" s="1">
        <v>8</v>
      </c>
      <c r="G14" s="1">
        <v>2</v>
      </c>
      <c r="H14" s="1">
        <v>15</v>
      </c>
      <c r="I14" s="8">
        <f t="shared" si="0"/>
        <v>0.63043478260869568</v>
      </c>
      <c r="J14" s="8">
        <f t="shared" si="1"/>
        <v>0.91304347826086951</v>
      </c>
      <c r="K14" s="8">
        <f t="shared" si="2"/>
        <v>0.58333333333333337</v>
      </c>
      <c r="L14" s="8">
        <f t="shared" si="3"/>
        <v>0.8</v>
      </c>
      <c r="M14" s="8">
        <f t="shared" si="4"/>
        <v>0.71186440677966101</v>
      </c>
      <c r="N14" s="8">
        <f t="shared" si="5"/>
        <v>0.69166666666666665</v>
      </c>
      <c r="O14" s="9">
        <f t="shared" si="6"/>
        <v>0.26086956521739135</v>
      </c>
      <c r="P14" s="1"/>
      <c r="Q14" s="1"/>
      <c r="R14" s="1"/>
      <c r="S14" s="1"/>
      <c r="T14" s="1"/>
      <c r="U14" s="1"/>
      <c r="V14" s="1"/>
      <c r="W14" s="1"/>
      <c r="X14" s="1"/>
      <c r="Y14" s="1"/>
      <c r="Z14" s="1"/>
    </row>
    <row r="15" spans="1:26" ht="12.4" customHeight="1">
      <c r="A15" s="7" t="s">
        <v>29</v>
      </c>
      <c r="B15" s="1" t="s">
        <v>30</v>
      </c>
      <c r="C15" s="1" t="s">
        <v>97</v>
      </c>
      <c r="D15" s="1">
        <v>46</v>
      </c>
      <c r="E15" s="1">
        <v>16</v>
      </c>
      <c r="F15" s="1">
        <v>10</v>
      </c>
      <c r="G15" s="1">
        <v>0</v>
      </c>
      <c r="H15" s="1">
        <v>20</v>
      </c>
      <c r="I15" s="8">
        <f t="shared" si="0"/>
        <v>0.56521739130434778</v>
      </c>
      <c r="J15" s="8">
        <f t="shared" si="1"/>
        <v>1</v>
      </c>
      <c r="K15" s="8">
        <f t="shared" si="2"/>
        <v>0.44444444444444442</v>
      </c>
      <c r="L15" s="8">
        <f t="shared" si="3"/>
        <v>1</v>
      </c>
      <c r="M15" s="8">
        <f t="shared" si="4"/>
        <v>0.61538461538461542</v>
      </c>
      <c r="N15" s="8">
        <f t="shared" si="5"/>
        <v>0.72222222222222221</v>
      </c>
      <c r="O15" s="9">
        <f t="shared" si="6"/>
        <v>0.25806451612903214</v>
      </c>
      <c r="P15" s="1"/>
      <c r="Q15" s="1"/>
      <c r="R15" s="1"/>
      <c r="S15" s="1"/>
      <c r="T15" s="1"/>
      <c r="U15" s="1"/>
      <c r="V15" s="1"/>
      <c r="W15" s="1"/>
      <c r="X15" s="1"/>
      <c r="Y15" s="1"/>
      <c r="Z15" s="1"/>
    </row>
    <row r="16" spans="1:26" ht="12.4" customHeight="1">
      <c r="A16" s="7" t="s">
        <v>29</v>
      </c>
      <c r="B16" s="1" t="s">
        <v>30</v>
      </c>
      <c r="C16" s="1" t="s">
        <v>31</v>
      </c>
      <c r="D16" s="1">
        <v>40</v>
      </c>
      <c r="E16" s="1">
        <v>23</v>
      </c>
      <c r="F16" s="1">
        <v>6</v>
      </c>
      <c r="G16" s="1">
        <v>1</v>
      </c>
      <c r="H16" s="1">
        <v>10</v>
      </c>
      <c r="I16" s="8">
        <f t="shared" si="0"/>
        <v>0.72499999999999998</v>
      </c>
      <c r="J16" s="8">
        <f t="shared" si="1"/>
        <v>0.95833333333333337</v>
      </c>
      <c r="K16" s="8">
        <f t="shared" si="2"/>
        <v>0.69696969696969702</v>
      </c>
      <c r="L16" s="8">
        <f t="shared" si="3"/>
        <v>0.8571428571428571</v>
      </c>
      <c r="M16" s="8">
        <f t="shared" si="4"/>
        <v>0.80701754385964908</v>
      </c>
      <c r="N16" s="8">
        <f t="shared" si="5"/>
        <v>0.777056277056277</v>
      </c>
      <c r="O16" s="9">
        <f t="shared" si="6"/>
        <v>0.36781609195402304</v>
      </c>
      <c r="P16" s="1"/>
      <c r="Q16" s="1"/>
      <c r="R16" s="1"/>
      <c r="S16" s="1"/>
      <c r="T16" s="1"/>
      <c r="U16" s="1"/>
      <c r="V16" s="1"/>
      <c r="W16" s="1"/>
      <c r="X16" s="1"/>
      <c r="Y16" s="1"/>
      <c r="Z16" s="1"/>
    </row>
    <row r="17" spans="1:26" ht="12.4" customHeight="1">
      <c r="A17" s="10" t="s">
        <v>29</v>
      </c>
      <c r="B17" s="11" t="s">
        <v>30</v>
      </c>
      <c r="C17" s="11" t="s">
        <v>98</v>
      </c>
      <c r="D17" s="11">
        <v>40</v>
      </c>
      <c r="E17" s="11">
        <v>24</v>
      </c>
      <c r="F17" s="11">
        <v>4</v>
      </c>
      <c r="G17" s="11">
        <v>3</v>
      </c>
      <c r="H17" s="11">
        <v>9</v>
      </c>
      <c r="I17" s="12">
        <f t="shared" si="0"/>
        <v>0.7</v>
      </c>
      <c r="J17" s="12">
        <f t="shared" si="1"/>
        <v>0.88888888888888884</v>
      </c>
      <c r="K17" s="12">
        <f t="shared" si="2"/>
        <v>0.72727272727272729</v>
      </c>
      <c r="L17" s="12">
        <f t="shared" si="3"/>
        <v>0.5714285714285714</v>
      </c>
      <c r="M17" s="12">
        <f t="shared" si="4"/>
        <v>0.8</v>
      </c>
      <c r="N17" s="12">
        <f t="shared" si="5"/>
        <v>0.64935064935064934</v>
      </c>
      <c r="O17" s="13">
        <f t="shared" si="6"/>
        <v>0.22330097087378625</v>
      </c>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6">
      <c r="A20" s="33" t="s">
        <v>22</v>
      </c>
      <c r="B20" s="35" t="s">
        <v>148</v>
      </c>
      <c r="C20" s="35" t="s">
        <v>128</v>
      </c>
      <c r="D20" s="35" t="s">
        <v>26</v>
      </c>
      <c r="E20" s="35" t="s">
        <v>27</v>
      </c>
      <c r="F20" s="35" t="s">
        <v>136</v>
      </c>
      <c r="G20" s="35" t="s">
        <v>149</v>
      </c>
      <c r="H20" s="34" t="s">
        <v>150</v>
      </c>
      <c r="I20" s="1"/>
      <c r="J20" s="1"/>
      <c r="K20" s="1"/>
      <c r="L20" s="1"/>
      <c r="M20" s="1"/>
      <c r="N20" s="1"/>
      <c r="O20" s="1"/>
      <c r="P20" s="1"/>
      <c r="Q20" s="1"/>
      <c r="R20" s="1"/>
      <c r="S20" s="1"/>
      <c r="T20" s="1"/>
      <c r="U20" s="1"/>
      <c r="V20" s="1"/>
      <c r="W20" s="1"/>
      <c r="X20" s="1"/>
      <c r="Y20" s="1"/>
      <c r="Z20" s="1"/>
    </row>
    <row r="21" spans="1:26" ht="15.15" customHeight="1">
      <c r="A21" s="2" t="s">
        <v>29</v>
      </c>
      <c r="B21" s="16" t="s">
        <v>31</v>
      </c>
      <c r="C21" s="16">
        <v>40</v>
      </c>
      <c r="D21" s="19">
        <f>I16</f>
        <v>0.72499999999999998</v>
      </c>
      <c r="E21" s="19">
        <f>M16</f>
        <v>0.80701754385964908</v>
      </c>
      <c r="F21" s="19">
        <f>O16</f>
        <v>0.36781609195402304</v>
      </c>
      <c r="G21" s="16">
        <v>1</v>
      </c>
      <c r="H21" s="3" t="s">
        <v>151</v>
      </c>
      <c r="I21" s="1"/>
      <c r="J21" s="1"/>
      <c r="K21" s="1"/>
      <c r="L21" s="1"/>
      <c r="M21" s="1"/>
      <c r="N21" s="1"/>
      <c r="O21" s="1"/>
      <c r="P21" s="1"/>
      <c r="Q21" s="1"/>
      <c r="R21" s="1"/>
      <c r="S21" s="1"/>
      <c r="T21" s="1"/>
      <c r="U21" s="1"/>
      <c r="V21" s="1"/>
      <c r="W21" s="1"/>
      <c r="X21" s="1"/>
      <c r="Y21" s="1"/>
      <c r="Z21" s="1"/>
    </row>
    <row r="22" spans="1:26" ht="15.15" customHeight="1">
      <c r="A22" s="2" t="s">
        <v>32</v>
      </c>
      <c r="B22" s="16" t="s">
        <v>34</v>
      </c>
      <c r="C22" s="16">
        <v>46</v>
      </c>
      <c r="D22" s="19">
        <f>I10</f>
        <v>0.71739130434782605</v>
      </c>
      <c r="E22" s="19">
        <f>M10</f>
        <v>0.81159420289855078</v>
      </c>
      <c r="F22" s="19">
        <f>O10</f>
        <v>0.25062656641604009</v>
      </c>
      <c r="G22" s="16">
        <v>5</v>
      </c>
      <c r="H22" s="3" t="s">
        <v>152</v>
      </c>
      <c r="I22" s="1"/>
      <c r="J22" s="1"/>
      <c r="K22" s="1"/>
      <c r="L22" s="1"/>
      <c r="M22" s="1"/>
      <c r="N22" s="1"/>
      <c r="O22" s="1"/>
      <c r="P22" s="1"/>
      <c r="Q22" s="1"/>
      <c r="R22" s="1"/>
      <c r="S22" s="1"/>
      <c r="T22" s="1"/>
      <c r="U22" s="1"/>
      <c r="V22" s="1"/>
      <c r="W22" s="1"/>
      <c r="X22" s="1"/>
      <c r="Y22" s="1"/>
      <c r="Z22" s="1"/>
    </row>
    <row r="23" spans="1:26" ht="15.15" customHeight="1">
      <c r="A23" s="4" t="s">
        <v>35</v>
      </c>
      <c r="B23" s="18" t="s">
        <v>31</v>
      </c>
      <c r="C23" s="18">
        <v>40</v>
      </c>
      <c r="D23" s="20">
        <f>I8</f>
        <v>0.7</v>
      </c>
      <c r="E23" s="20">
        <f>M8</f>
        <v>0.80645161290322576</v>
      </c>
      <c r="F23" s="20">
        <f>O8</f>
        <v>0.15194346289752639</v>
      </c>
      <c r="G23" s="18">
        <v>4</v>
      </c>
      <c r="H23" s="5" t="s">
        <v>153</v>
      </c>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2">
    <mergeCell ref="A1:S1"/>
    <mergeCell ref="A2:S3"/>
  </mergeCells>
  <conditionalFormatting sqref="D21:F23">
    <cfRule type="colorScale" priority="2">
      <colorScale>
        <cfvo type="min"/>
        <cfvo type="percentile" val="50"/>
        <cfvo type="max"/>
        <color rgb="FFFCE4D6"/>
        <color rgb="FFFFF2CC"/>
        <color rgb="FFE2F0D9"/>
      </colorScale>
    </cfRule>
  </conditionalFormatting>
  <conditionalFormatting sqref="I6:O17">
    <cfRule type="colorScale" priority="1">
      <colorScale>
        <cfvo type="min"/>
        <cfvo type="percentile" val="50"/>
        <cfvo type="max"/>
        <color rgb="FFF4CCCC"/>
        <color rgb="FFFFF2CC"/>
        <color rgb="FFD9EAD3"/>
      </colorScale>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60"/>
  <sheetViews>
    <sheetView workbookViewId="0"/>
  </sheetViews>
  <sheetFormatPr defaultRowHeight="14"/>
  <cols>
    <col min="1" max="1" width="27" customWidth="1"/>
    <col min="2" max="2" width="23" customWidth="1"/>
    <col min="3" max="4" width="16" customWidth="1"/>
    <col min="5" max="5" width="14" customWidth="1"/>
    <col min="6" max="6" width="18" customWidth="1"/>
    <col min="7" max="7" width="38" customWidth="1"/>
  </cols>
  <sheetData>
    <row r="1" spans="1:26" ht="18.649999999999999" customHeight="1">
      <c r="A1" s="93" t="s">
        <v>252</v>
      </c>
      <c r="B1" s="93"/>
      <c r="C1" s="93"/>
      <c r="D1" s="93"/>
      <c r="E1" s="93"/>
      <c r="F1" s="93"/>
      <c r="G1" s="93"/>
      <c r="H1" s="93"/>
      <c r="I1" s="93"/>
      <c r="J1" s="93"/>
      <c r="K1" s="6"/>
      <c r="L1" s="6"/>
      <c r="M1" s="6"/>
      <c r="N1" s="6"/>
      <c r="O1" s="6"/>
      <c r="P1" s="6"/>
      <c r="Q1" s="6"/>
      <c r="R1" s="6"/>
      <c r="S1" s="6"/>
      <c r="T1" s="6"/>
      <c r="U1" s="6"/>
      <c r="V1" s="6"/>
      <c r="W1" s="6"/>
      <c r="X1" s="6"/>
      <c r="Y1" s="6"/>
      <c r="Z1" s="6"/>
    </row>
    <row r="2" spans="1:26" ht="13.4" customHeight="1">
      <c r="A2" s="94" t="s">
        <v>253</v>
      </c>
      <c r="B2" s="94"/>
      <c r="C2" s="94"/>
      <c r="D2" s="94"/>
      <c r="E2" s="94"/>
      <c r="F2" s="94"/>
      <c r="G2" s="94"/>
      <c r="H2" s="94"/>
      <c r="I2" s="94"/>
      <c r="J2" s="94"/>
      <c r="K2" s="1"/>
      <c r="L2" s="1"/>
      <c r="M2" s="1"/>
      <c r="N2" s="1"/>
      <c r="O2" s="1"/>
      <c r="P2" s="1"/>
      <c r="Q2" s="1"/>
      <c r="R2" s="1"/>
      <c r="S2" s="1"/>
      <c r="T2" s="1"/>
      <c r="U2" s="1"/>
      <c r="V2" s="1"/>
      <c r="W2" s="1"/>
      <c r="X2" s="1"/>
      <c r="Y2" s="1"/>
      <c r="Z2" s="1"/>
    </row>
    <row r="3" spans="1:26" ht="13.4" customHeight="1">
      <c r="A3" s="94"/>
      <c r="B3" s="94"/>
      <c r="C3" s="94"/>
      <c r="D3" s="94"/>
      <c r="E3" s="94"/>
      <c r="F3" s="94"/>
      <c r="G3" s="94"/>
      <c r="H3" s="94"/>
      <c r="I3" s="94"/>
      <c r="J3" s="94"/>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3" t="s">
        <v>154</v>
      </c>
      <c r="B5" s="35" t="s">
        <v>22</v>
      </c>
      <c r="C5" s="35" t="s">
        <v>155</v>
      </c>
      <c r="D5" s="35" t="s">
        <v>128</v>
      </c>
      <c r="E5" s="35" t="s">
        <v>26</v>
      </c>
      <c r="F5" s="35" t="s">
        <v>27</v>
      </c>
      <c r="G5" s="34" t="s">
        <v>28</v>
      </c>
      <c r="H5" s="1"/>
      <c r="I5" s="1" t="s">
        <v>155</v>
      </c>
      <c r="J5" s="1" t="s">
        <v>136</v>
      </c>
      <c r="K5" s="1"/>
      <c r="L5" s="1"/>
      <c r="M5" s="1"/>
      <c r="N5" s="1"/>
      <c r="O5" s="1"/>
      <c r="P5" s="1"/>
      <c r="Q5" s="1"/>
      <c r="R5" s="1"/>
      <c r="S5" s="1"/>
      <c r="T5" s="1"/>
      <c r="U5" s="1"/>
      <c r="V5" s="1"/>
      <c r="W5" s="1"/>
      <c r="X5" s="1"/>
      <c r="Y5" s="1"/>
      <c r="Z5" s="1"/>
    </row>
    <row r="6" spans="1:26">
      <c r="A6" s="7" t="s">
        <v>156</v>
      </c>
      <c r="B6" s="1" t="s">
        <v>29</v>
      </c>
      <c r="C6" s="1" t="s">
        <v>157</v>
      </c>
      <c r="D6" s="1">
        <v>40</v>
      </c>
      <c r="E6" s="8">
        <v>0.72499999999999998</v>
      </c>
      <c r="F6" s="8">
        <v>0.80701754390000002</v>
      </c>
      <c r="G6" s="9">
        <v>0.36781609199999998</v>
      </c>
      <c r="H6" s="1"/>
      <c r="I6" s="1" t="s">
        <v>157</v>
      </c>
      <c r="J6" s="8">
        <v>0.36781609199999998</v>
      </c>
      <c r="K6" s="1"/>
      <c r="L6" s="1"/>
      <c r="M6" s="1"/>
      <c r="N6" s="1"/>
      <c r="O6" s="1"/>
      <c r="P6" s="1"/>
      <c r="Q6" s="1"/>
      <c r="R6" s="1"/>
      <c r="S6" s="1"/>
      <c r="T6" s="1"/>
      <c r="U6" s="1"/>
      <c r="V6" s="1"/>
      <c r="W6" s="1"/>
      <c r="X6" s="1"/>
      <c r="Y6" s="1"/>
      <c r="Z6" s="1"/>
    </row>
    <row r="7" spans="1:26">
      <c r="A7" s="7" t="s">
        <v>156</v>
      </c>
      <c r="B7" s="1" t="s">
        <v>32</v>
      </c>
      <c r="C7" s="1" t="s">
        <v>158</v>
      </c>
      <c r="D7" s="1">
        <v>46</v>
      </c>
      <c r="E7" s="8">
        <v>0.71739130429999998</v>
      </c>
      <c r="F7" s="8">
        <v>0.81159420289999995</v>
      </c>
      <c r="G7" s="9">
        <v>0.25062656639999997</v>
      </c>
      <c r="H7" s="1"/>
      <c r="I7" s="1" t="s">
        <v>158</v>
      </c>
      <c r="J7" s="8">
        <v>0.25062656639999997</v>
      </c>
      <c r="K7" s="1"/>
      <c r="L7" s="1"/>
      <c r="M7" s="1"/>
      <c r="N7" s="1"/>
      <c r="O7" s="1"/>
      <c r="P7" s="1"/>
      <c r="Q7" s="1"/>
      <c r="R7" s="1"/>
      <c r="S7" s="1"/>
      <c r="T7" s="1"/>
      <c r="U7" s="1"/>
      <c r="V7" s="1"/>
      <c r="W7" s="1"/>
      <c r="X7" s="1"/>
      <c r="Y7" s="1"/>
      <c r="Z7" s="1"/>
    </row>
    <row r="8" spans="1:26">
      <c r="A8" s="7" t="s">
        <v>156</v>
      </c>
      <c r="B8" s="1" t="s">
        <v>35</v>
      </c>
      <c r="C8" s="1" t="s">
        <v>159</v>
      </c>
      <c r="D8" s="1">
        <v>40</v>
      </c>
      <c r="E8" s="8">
        <v>0.7</v>
      </c>
      <c r="F8" s="8">
        <v>0.8064516129</v>
      </c>
      <c r="G8" s="9">
        <v>0.15194346289999999</v>
      </c>
      <c r="H8" s="1"/>
      <c r="I8" s="1" t="s">
        <v>159</v>
      </c>
      <c r="J8" s="8">
        <v>0.15194346289999999</v>
      </c>
      <c r="K8" s="1"/>
      <c r="L8" s="1"/>
      <c r="M8" s="1"/>
      <c r="N8" s="1"/>
      <c r="O8" s="1"/>
      <c r="P8" s="1"/>
      <c r="Q8" s="1"/>
      <c r="R8" s="1"/>
      <c r="S8" s="1"/>
      <c r="T8" s="1"/>
      <c r="U8" s="1"/>
      <c r="V8" s="1"/>
      <c r="W8" s="1"/>
      <c r="X8" s="1"/>
      <c r="Y8" s="1"/>
      <c r="Z8" s="1"/>
    </row>
    <row r="9" spans="1:26">
      <c r="A9" s="7" t="s">
        <v>160</v>
      </c>
      <c r="B9" s="1" t="s">
        <v>32</v>
      </c>
      <c r="C9" s="1" t="s">
        <v>33</v>
      </c>
      <c r="D9" s="1">
        <v>42</v>
      </c>
      <c r="E9" s="8">
        <v>0.54761904760000002</v>
      </c>
      <c r="F9" s="8">
        <v>0.59574468089999999</v>
      </c>
      <c r="G9" s="9">
        <v>0.21301775149999999</v>
      </c>
      <c r="H9" s="1"/>
      <c r="I9" s="1" t="s">
        <v>33</v>
      </c>
      <c r="J9" s="8">
        <v>0.21301775149999999</v>
      </c>
      <c r="K9" s="1"/>
      <c r="L9" s="1"/>
      <c r="M9" s="1"/>
      <c r="N9" s="1"/>
      <c r="O9" s="1"/>
      <c r="P9" s="1"/>
      <c r="Q9" s="1"/>
      <c r="R9" s="1"/>
      <c r="S9" s="1"/>
      <c r="T9" s="1"/>
      <c r="U9" s="1"/>
      <c r="V9" s="1"/>
      <c r="W9" s="1"/>
      <c r="X9" s="1"/>
      <c r="Y9" s="1"/>
      <c r="Z9" s="1"/>
    </row>
    <row r="10" spans="1:26">
      <c r="A10" s="7" t="s">
        <v>160</v>
      </c>
      <c r="B10" s="1" t="s">
        <v>35</v>
      </c>
      <c r="C10" s="1" t="s">
        <v>36</v>
      </c>
      <c r="D10" s="1">
        <v>42</v>
      </c>
      <c r="E10" s="8">
        <v>0.45238095239999998</v>
      </c>
      <c r="F10" s="8">
        <v>0.4390243902</v>
      </c>
      <c r="G10" s="9">
        <v>0.15706806279999999</v>
      </c>
      <c r="H10" s="1"/>
      <c r="I10" s="1" t="s">
        <v>36</v>
      </c>
      <c r="J10" s="8">
        <v>0.15706806279999999</v>
      </c>
      <c r="K10" s="1"/>
      <c r="L10" s="1"/>
      <c r="M10" s="1"/>
      <c r="N10" s="1"/>
      <c r="O10" s="1"/>
      <c r="P10" s="1"/>
      <c r="Q10" s="1"/>
      <c r="R10" s="1"/>
      <c r="S10" s="1"/>
      <c r="T10" s="1"/>
      <c r="U10" s="1"/>
      <c r="V10" s="1"/>
      <c r="W10" s="1"/>
      <c r="X10" s="1"/>
      <c r="Y10" s="1"/>
      <c r="Z10" s="1"/>
    </row>
    <row r="11" spans="1:26">
      <c r="A11" s="10" t="s">
        <v>160</v>
      </c>
      <c r="B11" s="11" t="s">
        <v>29</v>
      </c>
      <c r="C11" s="11" t="s">
        <v>30</v>
      </c>
      <c r="D11" s="11">
        <v>42</v>
      </c>
      <c r="E11" s="12">
        <v>0.40476190480000002</v>
      </c>
      <c r="F11" s="12">
        <v>0.35897435900000002</v>
      </c>
      <c r="G11" s="13">
        <v>0.1176470588</v>
      </c>
      <c r="H11" s="1"/>
      <c r="I11" s="1" t="s">
        <v>30</v>
      </c>
      <c r="J11" s="8">
        <v>0.1176470588</v>
      </c>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6">
      <c r="A14" s="44" t="s">
        <v>172</v>
      </c>
      <c r="B14" s="56" t="s">
        <v>254</v>
      </c>
      <c r="C14" s="56" t="s">
        <v>181</v>
      </c>
      <c r="D14" s="56" t="s">
        <v>173</v>
      </c>
      <c r="E14" s="56" t="s">
        <v>174</v>
      </c>
      <c r="F14" s="45" t="s">
        <v>175</v>
      </c>
      <c r="G14" s="45" t="s">
        <v>182</v>
      </c>
      <c r="H14" s="1"/>
      <c r="I14" s="1"/>
      <c r="J14" s="1"/>
      <c r="K14" s="1"/>
      <c r="L14" s="1"/>
      <c r="M14" s="1"/>
      <c r="N14" s="1"/>
      <c r="O14" s="1"/>
      <c r="P14" s="1"/>
      <c r="Q14" s="1"/>
      <c r="R14" s="1"/>
      <c r="S14" s="1"/>
      <c r="T14" s="1"/>
      <c r="U14" s="1"/>
      <c r="V14" s="1"/>
      <c r="W14" s="1"/>
      <c r="X14" s="1"/>
      <c r="Y14" s="1"/>
      <c r="Z14" s="1"/>
    </row>
    <row r="15" spans="1:26" ht="26">
      <c r="A15" s="46" t="s">
        <v>176</v>
      </c>
      <c r="B15" s="57" t="s">
        <v>255</v>
      </c>
      <c r="C15" s="57">
        <v>32</v>
      </c>
      <c r="D15" s="58">
        <v>0.6875</v>
      </c>
      <c r="E15" s="63">
        <v>0.48470200000000002</v>
      </c>
      <c r="F15" s="79">
        <v>0.49007000000000001</v>
      </c>
      <c r="G15" s="47" t="s">
        <v>256</v>
      </c>
      <c r="H15" s="1"/>
      <c r="I15" s="1"/>
      <c r="J15" s="1"/>
      <c r="K15" s="1"/>
      <c r="L15" s="1"/>
      <c r="M15" s="1"/>
      <c r="N15" s="1"/>
      <c r="O15" s="1"/>
      <c r="P15" s="1"/>
      <c r="Q15" s="1"/>
      <c r="R15" s="1"/>
      <c r="S15" s="1"/>
      <c r="T15" s="1"/>
      <c r="U15" s="1"/>
      <c r="V15" s="1"/>
      <c r="W15" s="1"/>
      <c r="X15" s="1"/>
      <c r="Y15" s="1"/>
      <c r="Z15" s="1"/>
    </row>
    <row r="16" spans="1:26" ht="26">
      <c r="A16" s="48" t="s">
        <v>177</v>
      </c>
      <c r="B16" s="59" t="s">
        <v>255</v>
      </c>
      <c r="C16" s="59">
        <v>32</v>
      </c>
      <c r="D16" s="60">
        <v>0.65625</v>
      </c>
      <c r="E16" s="64">
        <v>0.43859599999999999</v>
      </c>
      <c r="F16" s="80">
        <v>0.44444400000000001</v>
      </c>
      <c r="G16" s="49" t="s">
        <v>257</v>
      </c>
      <c r="H16" s="1"/>
      <c r="I16" s="1"/>
      <c r="J16" s="1"/>
      <c r="K16" s="1"/>
      <c r="L16" s="1"/>
      <c r="M16" s="1"/>
      <c r="N16" s="1"/>
      <c r="O16" s="1"/>
      <c r="P16" s="1"/>
      <c r="Q16" s="1"/>
      <c r="R16" s="1"/>
      <c r="S16" s="1"/>
      <c r="T16" s="1"/>
      <c r="U16" s="1"/>
      <c r="V16" s="1"/>
      <c r="W16" s="1"/>
      <c r="X16" s="1"/>
      <c r="Y16" s="1"/>
      <c r="Z16" s="1"/>
    </row>
    <row r="17" spans="1:26" ht="26">
      <c r="A17" s="50" t="s">
        <v>258</v>
      </c>
      <c r="B17" s="61" t="s">
        <v>259</v>
      </c>
      <c r="C17" s="61">
        <v>14</v>
      </c>
      <c r="D17" s="62">
        <v>0.214286</v>
      </c>
      <c r="E17" s="65">
        <v>0.15151500000000001</v>
      </c>
      <c r="F17" s="81">
        <v>0.17171700000000001</v>
      </c>
      <c r="G17" s="51" t="s">
        <v>260</v>
      </c>
      <c r="H17" s="1"/>
      <c r="I17" s="1"/>
      <c r="J17" s="1"/>
      <c r="K17" s="1"/>
      <c r="L17" s="1"/>
      <c r="M17" s="1"/>
      <c r="N17" s="1"/>
      <c r="O17" s="1"/>
      <c r="P17" s="1"/>
      <c r="Q17" s="1"/>
      <c r="R17" s="1"/>
      <c r="S17" s="1"/>
      <c r="T17" s="1"/>
      <c r="U17" s="1"/>
      <c r="V17" s="1"/>
      <c r="W17" s="1"/>
      <c r="X17" s="1"/>
      <c r="Y17" s="1"/>
      <c r="Z17" s="1"/>
    </row>
    <row r="18" spans="1:26">
      <c r="A18" s="7"/>
      <c r="B18" s="1"/>
      <c r="C18" s="1"/>
      <c r="D18" s="8"/>
      <c r="E18" s="8"/>
      <c r="F18" s="9"/>
      <c r="G18" s="1"/>
      <c r="H18" s="1"/>
      <c r="I18" s="1"/>
      <c r="J18" s="1"/>
      <c r="K18" s="1"/>
      <c r="L18" s="1"/>
      <c r="M18" s="1"/>
      <c r="N18" s="1"/>
      <c r="O18" s="1"/>
      <c r="P18" s="1"/>
      <c r="Q18" s="1"/>
      <c r="R18" s="1"/>
      <c r="S18" s="1"/>
      <c r="T18" s="1"/>
      <c r="U18" s="1"/>
      <c r="V18" s="1"/>
      <c r="W18" s="1"/>
      <c r="X18" s="1"/>
      <c r="Y18" s="1"/>
      <c r="Z18" s="1"/>
    </row>
    <row r="19" spans="1:26">
      <c r="A19" s="7"/>
      <c r="B19" s="1"/>
      <c r="C19" s="1"/>
      <c r="D19" s="8"/>
      <c r="E19" s="8"/>
      <c r="F19" s="9"/>
      <c r="G19" s="1"/>
      <c r="H19" s="1"/>
      <c r="I19" s="1"/>
      <c r="J19" s="1"/>
      <c r="K19" s="1"/>
      <c r="L19" s="1"/>
      <c r="M19" s="1"/>
      <c r="N19" s="1"/>
      <c r="O19" s="1"/>
      <c r="P19" s="1"/>
      <c r="Q19" s="1"/>
      <c r="R19" s="1"/>
      <c r="S19" s="1"/>
      <c r="T19" s="1"/>
      <c r="U19" s="1"/>
      <c r="V19" s="1"/>
      <c r="W19" s="1"/>
      <c r="X19" s="1"/>
      <c r="Y19" s="1"/>
      <c r="Z19" s="1"/>
    </row>
    <row r="20" spans="1:26">
      <c r="A20" s="10"/>
      <c r="B20" s="11"/>
      <c r="C20" s="11"/>
      <c r="D20" s="12"/>
      <c r="E20" s="12"/>
      <c r="F20" s="13"/>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44" t="s">
        <v>172</v>
      </c>
      <c r="B23" s="56" t="s">
        <v>254</v>
      </c>
      <c r="C23" s="56" t="s">
        <v>261</v>
      </c>
      <c r="D23" s="56" t="s">
        <v>262</v>
      </c>
      <c r="E23" s="56" t="s">
        <v>181</v>
      </c>
      <c r="F23" s="56" t="s">
        <v>263</v>
      </c>
      <c r="G23" s="45" t="s">
        <v>136</v>
      </c>
      <c r="H23" s="1"/>
      <c r="I23" s="1"/>
      <c r="J23" s="1"/>
      <c r="K23" s="1"/>
      <c r="L23" s="1"/>
      <c r="M23" s="1"/>
      <c r="N23" s="1"/>
      <c r="O23" s="1"/>
      <c r="P23" s="1"/>
      <c r="Q23" s="1"/>
      <c r="R23" s="1"/>
      <c r="S23" s="1"/>
      <c r="T23" s="1"/>
      <c r="U23" s="1"/>
      <c r="V23" s="1"/>
      <c r="W23" s="1"/>
      <c r="X23" s="1"/>
      <c r="Y23" s="1"/>
      <c r="Z23" s="1"/>
    </row>
    <row r="24" spans="1:26">
      <c r="A24" s="46" t="s">
        <v>176</v>
      </c>
      <c r="B24" s="57" t="s">
        <v>255</v>
      </c>
      <c r="C24" s="57" t="s">
        <v>29</v>
      </c>
      <c r="D24" s="57" t="s">
        <v>35</v>
      </c>
      <c r="E24" s="57">
        <v>32</v>
      </c>
      <c r="F24" s="58">
        <v>0.84375</v>
      </c>
      <c r="G24" s="79">
        <v>0.51807199999999998</v>
      </c>
      <c r="H24" s="1"/>
      <c r="I24" s="1"/>
      <c r="J24" s="1"/>
      <c r="K24" s="1"/>
      <c r="L24" s="1"/>
      <c r="M24" s="1"/>
      <c r="N24" s="1"/>
      <c r="O24" s="1"/>
      <c r="P24" s="1"/>
      <c r="Q24" s="1"/>
      <c r="R24" s="1"/>
      <c r="S24" s="1"/>
      <c r="T24" s="1"/>
      <c r="U24" s="1"/>
      <c r="V24" s="1"/>
      <c r="W24" s="1"/>
      <c r="X24" s="1"/>
      <c r="Y24" s="1"/>
      <c r="Z24" s="1"/>
    </row>
    <row r="25" spans="1:26">
      <c r="A25" s="48" t="s">
        <v>176</v>
      </c>
      <c r="B25" s="59" t="s">
        <v>255</v>
      </c>
      <c r="C25" s="59" t="s">
        <v>29</v>
      </c>
      <c r="D25" s="59" t="s">
        <v>32</v>
      </c>
      <c r="E25" s="59">
        <v>32</v>
      </c>
      <c r="F25" s="60">
        <v>0.75</v>
      </c>
      <c r="G25" s="80">
        <v>0.45762700000000001</v>
      </c>
      <c r="H25" s="1"/>
      <c r="I25" s="1"/>
      <c r="J25" s="1"/>
      <c r="K25" s="1"/>
      <c r="L25" s="1"/>
      <c r="M25" s="1"/>
      <c r="N25" s="1"/>
      <c r="O25" s="1"/>
      <c r="P25" s="1"/>
      <c r="Q25" s="1"/>
      <c r="R25" s="1"/>
      <c r="S25" s="1"/>
      <c r="T25" s="1"/>
      <c r="U25" s="1"/>
      <c r="V25" s="1"/>
      <c r="W25" s="1"/>
      <c r="X25" s="1"/>
      <c r="Y25" s="1"/>
      <c r="Z25" s="1"/>
    </row>
    <row r="26" spans="1:26">
      <c r="A26" s="48" t="s">
        <v>176</v>
      </c>
      <c r="B26" s="59" t="s">
        <v>255</v>
      </c>
      <c r="C26" s="59" t="s">
        <v>35</v>
      </c>
      <c r="D26" s="59" t="s">
        <v>32</v>
      </c>
      <c r="E26" s="59">
        <v>32</v>
      </c>
      <c r="F26" s="60">
        <v>0.78125</v>
      </c>
      <c r="G26" s="80">
        <v>0.52941199999999999</v>
      </c>
      <c r="H26" s="1"/>
      <c r="I26" s="1"/>
      <c r="J26" s="1"/>
      <c r="K26" s="1"/>
      <c r="L26" s="1"/>
      <c r="M26" s="1"/>
      <c r="N26" s="1"/>
      <c r="O26" s="1"/>
      <c r="P26" s="1"/>
      <c r="Q26" s="1"/>
      <c r="R26" s="1"/>
      <c r="S26" s="1"/>
      <c r="T26" s="1"/>
      <c r="U26" s="1"/>
      <c r="V26" s="1"/>
      <c r="W26" s="1"/>
      <c r="X26" s="1"/>
      <c r="Y26" s="1"/>
      <c r="Z26" s="1"/>
    </row>
    <row r="27" spans="1:26">
      <c r="A27" s="48" t="s">
        <v>177</v>
      </c>
      <c r="B27" s="59" t="s">
        <v>255</v>
      </c>
      <c r="C27" s="59" t="s">
        <v>29</v>
      </c>
      <c r="D27" s="59" t="s">
        <v>35</v>
      </c>
      <c r="E27" s="59">
        <v>32</v>
      </c>
      <c r="F27" s="60">
        <v>0.8125</v>
      </c>
      <c r="G27" s="80">
        <v>0.45762700000000001</v>
      </c>
      <c r="H27" s="1"/>
      <c r="I27" s="1"/>
      <c r="J27" s="1"/>
      <c r="K27" s="1"/>
      <c r="L27" s="1"/>
      <c r="M27" s="1"/>
      <c r="N27" s="1"/>
      <c r="O27" s="1"/>
      <c r="P27" s="1"/>
      <c r="Q27" s="1"/>
      <c r="R27" s="1"/>
      <c r="S27" s="1"/>
      <c r="T27" s="1"/>
      <c r="U27" s="1"/>
      <c r="V27" s="1"/>
      <c r="W27" s="1"/>
      <c r="X27" s="1"/>
      <c r="Y27" s="1"/>
      <c r="Z27" s="1"/>
    </row>
    <row r="28" spans="1:26">
      <c r="A28" s="48" t="s">
        <v>177</v>
      </c>
      <c r="B28" s="59" t="s">
        <v>255</v>
      </c>
      <c r="C28" s="59" t="s">
        <v>29</v>
      </c>
      <c r="D28" s="59" t="s">
        <v>32</v>
      </c>
      <c r="E28" s="59">
        <v>32</v>
      </c>
      <c r="F28" s="60">
        <v>0.6875</v>
      </c>
      <c r="G28" s="80">
        <v>0.382239</v>
      </c>
      <c r="H28" s="1"/>
      <c r="I28" s="1"/>
      <c r="J28" s="1"/>
      <c r="K28" s="1"/>
      <c r="L28" s="1"/>
      <c r="M28" s="1"/>
      <c r="N28" s="1"/>
      <c r="O28" s="1"/>
      <c r="P28" s="1"/>
      <c r="Q28" s="1"/>
      <c r="R28" s="1"/>
      <c r="S28" s="1"/>
      <c r="T28" s="1"/>
      <c r="U28" s="1"/>
      <c r="V28" s="1"/>
      <c r="W28" s="1"/>
      <c r="X28" s="1"/>
      <c r="Y28" s="1"/>
      <c r="Z28" s="1"/>
    </row>
    <row r="29" spans="1:26">
      <c r="A29" s="48" t="s">
        <v>177</v>
      </c>
      <c r="B29" s="59" t="s">
        <v>255</v>
      </c>
      <c r="C29" s="59" t="s">
        <v>35</v>
      </c>
      <c r="D29" s="59" t="s">
        <v>32</v>
      </c>
      <c r="E29" s="59">
        <v>32</v>
      </c>
      <c r="F29" s="60">
        <v>0.75</v>
      </c>
      <c r="G29" s="80">
        <v>0.51238099999999998</v>
      </c>
      <c r="H29" s="1"/>
      <c r="I29" s="1"/>
      <c r="J29" s="1"/>
      <c r="K29" s="1"/>
      <c r="L29" s="1"/>
      <c r="M29" s="1"/>
      <c r="N29" s="1"/>
      <c r="O29" s="1"/>
      <c r="P29" s="1"/>
      <c r="Q29" s="1"/>
      <c r="R29" s="1"/>
      <c r="S29" s="1"/>
      <c r="T29" s="1"/>
      <c r="U29" s="1"/>
      <c r="V29" s="1"/>
      <c r="W29" s="1"/>
      <c r="X29" s="1"/>
      <c r="Y29" s="1"/>
      <c r="Z29" s="1"/>
    </row>
    <row r="30" spans="1:26">
      <c r="A30" s="48" t="s">
        <v>264</v>
      </c>
      <c r="B30" s="59" t="s">
        <v>265</v>
      </c>
      <c r="C30" s="59" t="s">
        <v>29</v>
      </c>
      <c r="D30" s="59" t="s">
        <v>35</v>
      </c>
      <c r="E30" s="59">
        <v>14</v>
      </c>
      <c r="F30" s="60">
        <v>0.57142899999999996</v>
      </c>
      <c r="G30" s="80">
        <v>0.3</v>
      </c>
      <c r="H30" s="1"/>
      <c r="I30" s="1"/>
      <c r="J30" s="1"/>
      <c r="K30" s="1"/>
      <c r="L30" s="1"/>
      <c r="M30" s="1"/>
      <c r="N30" s="1"/>
      <c r="O30" s="1"/>
      <c r="P30" s="1"/>
      <c r="Q30" s="1"/>
      <c r="R30" s="1"/>
      <c r="S30" s="1"/>
      <c r="T30" s="1"/>
      <c r="U30" s="1"/>
      <c r="V30" s="1"/>
      <c r="W30" s="1"/>
      <c r="X30" s="1"/>
      <c r="Y30" s="1"/>
      <c r="Z30" s="1"/>
    </row>
    <row r="31" spans="1:26">
      <c r="A31" s="48" t="s">
        <v>264</v>
      </c>
      <c r="B31" s="59" t="s">
        <v>265</v>
      </c>
      <c r="C31" s="59" t="s">
        <v>29</v>
      </c>
      <c r="D31" s="59" t="s">
        <v>32</v>
      </c>
      <c r="E31" s="59">
        <v>14</v>
      </c>
      <c r="F31" s="60">
        <v>0.28571400000000002</v>
      </c>
      <c r="G31" s="80">
        <v>0.113924</v>
      </c>
      <c r="H31" s="1"/>
      <c r="I31" s="1"/>
      <c r="J31" s="1"/>
      <c r="K31" s="1"/>
      <c r="L31" s="1"/>
      <c r="M31" s="1"/>
      <c r="N31" s="1"/>
      <c r="O31" s="1"/>
      <c r="P31" s="1"/>
      <c r="Q31" s="1"/>
      <c r="R31" s="1"/>
      <c r="S31" s="1"/>
      <c r="T31" s="1"/>
      <c r="U31" s="1"/>
      <c r="V31" s="1"/>
      <c r="W31" s="1"/>
      <c r="X31" s="1"/>
      <c r="Y31" s="1"/>
      <c r="Z31" s="1"/>
    </row>
    <row r="32" spans="1:26">
      <c r="A32" s="50" t="s">
        <v>264</v>
      </c>
      <c r="B32" s="61" t="s">
        <v>265</v>
      </c>
      <c r="C32" s="61" t="s">
        <v>35</v>
      </c>
      <c r="D32" s="61" t="s">
        <v>32</v>
      </c>
      <c r="E32" s="61">
        <v>14</v>
      </c>
      <c r="F32" s="62">
        <v>0.42857099999999998</v>
      </c>
      <c r="G32" s="81">
        <v>0.238095</v>
      </c>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30.65" customHeight="1">
      <c r="A34" s="87" t="s">
        <v>266</v>
      </c>
      <c r="B34" s="103"/>
      <c r="C34" s="103"/>
      <c r="D34" s="103"/>
      <c r="E34" s="103"/>
      <c r="F34" s="103"/>
      <c r="G34" s="88"/>
      <c r="H34" s="1"/>
      <c r="I34" s="1"/>
      <c r="J34" s="1"/>
      <c r="K34" s="1"/>
      <c r="L34" s="1"/>
      <c r="M34" s="1"/>
      <c r="N34" s="1"/>
      <c r="O34" s="1"/>
      <c r="P34" s="1"/>
      <c r="Q34" s="1"/>
      <c r="R34" s="1"/>
      <c r="S34" s="1"/>
      <c r="T34" s="1"/>
      <c r="U34" s="1"/>
      <c r="V34" s="1"/>
      <c r="W34" s="1"/>
      <c r="X34" s="1"/>
      <c r="Y34" s="1"/>
      <c r="Z34" s="1"/>
    </row>
    <row r="35" spans="1:26" ht="30.65" customHeight="1">
      <c r="A35" s="89"/>
      <c r="B35" s="105"/>
      <c r="C35" s="105"/>
      <c r="D35" s="105"/>
      <c r="E35" s="105"/>
      <c r="F35" s="105"/>
      <c r="G35" s="90"/>
      <c r="H35" s="1"/>
      <c r="I35" s="1"/>
      <c r="J35" s="1"/>
      <c r="K35" s="1"/>
      <c r="L35" s="1"/>
      <c r="M35" s="1"/>
      <c r="N35" s="1"/>
      <c r="O35" s="1"/>
      <c r="P35" s="1"/>
      <c r="Q35" s="1"/>
      <c r="R35" s="1"/>
      <c r="S35" s="1"/>
      <c r="T35" s="1"/>
      <c r="U35" s="1"/>
      <c r="V35" s="1"/>
      <c r="W35" s="1"/>
      <c r="X35" s="1"/>
      <c r="Y35" s="1"/>
      <c r="Z35" s="1"/>
    </row>
    <row r="36" spans="1:26" ht="30.65" customHeight="1">
      <c r="A36" s="91"/>
      <c r="B36" s="104"/>
      <c r="C36" s="104"/>
      <c r="D36" s="104"/>
      <c r="E36" s="104"/>
      <c r="F36" s="104"/>
      <c r="G36" s="92"/>
      <c r="H36" s="1"/>
      <c r="I36" s="1"/>
      <c r="J36" s="1"/>
      <c r="K36" s="1"/>
      <c r="L36" s="1"/>
      <c r="M36" s="1"/>
      <c r="N36" s="1"/>
      <c r="O36" s="1"/>
      <c r="P36" s="1"/>
      <c r="Q36" s="1"/>
      <c r="R36" s="1"/>
      <c r="S36" s="1"/>
      <c r="T36" s="1"/>
      <c r="U36" s="1"/>
      <c r="V36" s="1"/>
      <c r="W36" s="1"/>
      <c r="X36" s="1"/>
      <c r="Y36" s="1"/>
      <c r="Z36" s="1"/>
    </row>
    <row r="37" spans="1:26" ht="38.65" customHeight="1">
      <c r="A37" s="52"/>
      <c r="B37" s="42"/>
      <c r="C37" s="42"/>
      <c r="D37" s="42"/>
      <c r="E37" s="42"/>
      <c r="F37" s="42"/>
      <c r="G37" s="53"/>
      <c r="H37" s="1"/>
      <c r="I37" s="1"/>
      <c r="J37" s="1"/>
      <c r="K37" s="1"/>
      <c r="L37" s="1"/>
      <c r="M37" s="1"/>
      <c r="N37" s="1"/>
      <c r="O37" s="1"/>
      <c r="P37" s="1"/>
      <c r="Q37" s="1"/>
      <c r="R37" s="1"/>
      <c r="S37" s="1"/>
      <c r="T37" s="1"/>
      <c r="U37" s="1"/>
      <c r="V37" s="1"/>
      <c r="W37" s="1"/>
      <c r="X37" s="1"/>
      <c r="Y37" s="1"/>
      <c r="Z37" s="1"/>
    </row>
    <row r="38" spans="1:26" ht="38.65" customHeight="1">
      <c r="A38" s="54"/>
      <c r="B38" s="69"/>
      <c r="C38" s="69"/>
      <c r="D38" s="69"/>
      <c r="E38" s="69"/>
      <c r="F38" s="69"/>
      <c r="G38" s="55"/>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J1"/>
    <mergeCell ref="A2:J3"/>
    <mergeCell ref="A34:G36"/>
  </mergeCells>
  <pageMargins left="0.7" right="0.7" top="0.75" bottom="0.75" header="0.3" footer="0.3"/>
  <drawing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60"/>
  <sheetViews>
    <sheetView workbookViewId="0"/>
  </sheetViews>
  <sheetFormatPr defaultRowHeight="14"/>
  <cols>
    <col min="1" max="1" width="28" customWidth="1"/>
    <col min="2" max="2" width="12" customWidth="1"/>
    <col min="3" max="3" width="38" customWidth="1"/>
    <col min="4" max="4" width="3" customWidth="1"/>
    <col min="5" max="5" width="23" customWidth="1"/>
    <col min="6" max="6" width="11" customWidth="1"/>
  </cols>
  <sheetData>
    <row r="1" spans="1:26" ht="18.649999999999999" customHeight="1">
      <c r="A1" s="93" t="s">
        <v>267</v>
      </c>
      <c r="B1" s="93"/>
      <c r="C1" s="93"/>
      <c r="D1" s="93"/>
      <c r="E1" s="93"/>
      <c r="F1" s="93"/>
      <c r="G1" s="6"/>
      <c r="H1" s="6"/>
      <c r="I1" s="6"/>
      <c r="J1" s="6"/>
      <c r="K1" s="6"/>
      <c r="L1" s="6"/>
      <c r="M1" s="6"/>
      <c r="N1" s="6"/>
      <c r="O1" s="6"/>
      <c r="P1" s="6"/>
      <c r="Q1" s="6"/>
      <c r="R1" s="6"/>
      <c r="S1" s="6"/>
      <c r="T1" s="6"/>
      <c r="U1" s="6"/>
      <c r="V1" s="6"/>
      <c r="W1" s="6"/>
      <c r="X1" s="6"/>
      <c r="Y1" s="6"/>
      <c r="Z1" s="6"/>
    </row>
    <row r="2" spans="1:26" ht="13.4" customHeight="1">
      <c r="A2" s="94" t="s">
        <v>268</v>
      </c>
      <c r="B2" s="94"/>
      <c r="C2" s="94"/>
      <c r="D2" s="94"/>
      <c r="E2" s="94"/>
      <c r="F2" s="94"/>
      <c r="G2" s="36"/>
      <c r="H2" s="1"/>
      <c r="I2" s="1"/>
      <c r="J2" s="1"/>
      <c r="K2" s="1"/>
      <c r="L2" s="1"/>
      <c r="M2" s="1"/>
      <c r="N2" s="1"/>
      <c r="O2" s="1"/>
      <c r="P2" s="1"/>
      <c r="Q2" s="1"/>
      <c r="R2" s="1"/>
      <c r="S2" s="1"/>
      <c r="T2" s="1"/>
      <c r="U2" s="1"/>
      <c r="V2" s="1"/>
      <c r="W2" s="1"/>
      <c r="X2" s="1"/>
      <c r="Y2" s="1"/>
      <c r="Z2" s="1"/>
    </row>
    <row r="3" spans="1:26" ht="13.4" customHeight="1">
      <c r="A3" s="94"/>
      <c r="B3" s="94"/>
      <c r="C3" s="94"/>
      <c r="D3" s="94"/>
      <c r="E3" s="94"/>
      <c r="F3" s="94"/>
      <c r="G3" s="36"/>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44" t="s">
        <v>269</v>
      </c>
      <c r="B5" s="56" t="s">
        <v>270</v>
      </c>
      <c r="C5" s="45" t="s">
        <v>271</v>
      </c>
      <c r="D5" s="56"/>
      <c r="E5" s="44" t="s">
        <v>272</v>
      </c>
      <c r="F5" s="45" t="s">
        <v>273</v>
      </c>
      <c r="G5" s="1"/>
      <c r="H5" s="1"/>
      <c r="I5" s="1"/>
      <c r="J5" s="1"/>
      <c r="K5" s="1"/>
      <c r="L5" s="1"/>
      <c r="M5" s="1"/>
      <c r="N5" s="1"/>
      <c r="O5" s="1"/>
      <c r="P5" s="1"/>
      <c r="Q5" s="1"/>
      <c r="R5" s="1"/>
      <c r="S5" s="1"/>
      <c r="T5" s="1"/>
      <c r="U5" s="1"/>
      <c r="V5" s="1"/>
      <c r="W5" s="1"/>
      <c r="X5" s="1"/>
      <c r="Y5" s="1"/>
      <c r="Z5" s="1"/>
    </row>
    <row r="6" spans="1:26" ht="18.649999999999999" customHeight="1">
      <c r="A6" s="46" t="s">
        <v>274</v>
      </c>
      <c r="B6" s="83">
        <v>1</v>
      </c>
      <c r="C6" s="47" t="s">
        <v>275</v>
      </c>
      <c r="D6" s="1"/>
      <c r="E6" s="46" t="s">
        <v>276</v>
      </c>
      <c r="F6" s="47">
        <v>18</v>
      </c>
      <c r="G6" s="1"/>
      <c r="H6" s="1"/>
      <c r="I6" s="1"/>
      <c r="J6" s="1"/>
      <c r="K6" s="1"/>
      <c r="L6" s="1"/>
      <c r="M6" s="1"/>
      <c r="N6" s="1"/>
      <c r="O6" s="1"/>
      <c r="P6" s="1"/>
      <c r="Q6" s="1"/>
      <c r="R6" s="1"/>
      <c r="S6" s="1"/>
      <c r="T6" s="1"/>
      <c r="U6" s="1"/>
      <c r="V6" s="1"/>
      <c r="W6" s="1"/>
      <c r="X6" s="1"/>
      <c r="Y6" s="1"/>
      <c r="Z6" s="1"/>
    </row>
    <row r="7" spans="1:26" ht="18.649999999999999" customHeight="1">
      <c r="A7" s="48" t="s">
        <v>255</v>
      </c>
      <c r="B7" s="84">
        <v>32</v>
      </c>
      <c r="C7" s="49" t="s">
        <v>277</v>
      </c>
      <c r="D7" s="1"/>
      <c r="E7" s="48" t="s">
        <v>278</v>
      </c>
      <c r="F7" s="49">
        <v>5</v>
      </c>
      <c r="G7" s="1"/>
      <c r="H7" s="1"/>
      <c r="I7" s="1"/>
      <c r="J7" s="1"/>
      <c r="K7" s="1"/>
      <c r="L7" s="1"/>
      <c r="M7" s="1"/>
      <c r="N7" s="1"/>
      <c r="O7" s="1"/>
      <c r="P7" s="1"/>
      <c r="Q7" s="1"/>
      <c r="R7" s="1"/>
      <c r="S7" s="1"/>
      <c r="T7" s="1"/>
      <c r="U7" s="1"/>
      <c r="V7" s="1"/>
      <c r="W7" s="1"/>
      <c r="X7" s="1"/>
      <c r="Y7" s="1"/>
      <c r="Z7" s="1"/>
    </row>
    <row r="8" spans="1:26" ht="18.649999999999999" customHeight="1">
      <c r="A8" s="48" t="s">
        <v>279</v>
      </c>
      <c r="B8" s="84">
        <v>5</v>
      </c>
      <c r="C8" s="49" t="s">
        <v>280</v>
      </c>
      <c r="D8" s="1"/>
      <c r="E8" s="48" t="s">
        <v>281</v>
      </c>
      <c r="F8" s="49">
        <v>5</v>
      </c>
      <c r="G8" s="1"/>
      <c r="H8" s="1"/>
      <c r="I8" s="1"/>
      <c r="J8" s="1"/>
      <c r="K8" s="1"/>
      <c r="L8" s="1"/>
      <c r="M8" s="1"/>
      <c r="N8" s="1"/>
      <c r="O8" s="1"/>
      <c r="P8" s="1"/>
      <c r="Q8" s="1"/>
      <c r="R8" s="1"/>
      <c r="S8" s="1"/>
      <c r="T8" s="1"/>
      <c r="U8" s="1"/>
      <c r="V8" s="1"/>
      <c r="W8" s="1"/>
      <c r="X8" s="1"/>
      <c r="Y8" s="1"/>
      <c r="Z8" s="1"/>
    </row>
    <row r="9" spans="1:26" ht="18.649999999999999" customHeight="1">
      <c r="A9" s="48" t="s">
        <v>282</v>
      </c>
      <c r="B9" s="84">
        <v>10</v>
      </c>
      <c r="C9" s="49" t="s">
        <v>283</v>
      </c>
      <c r="D9" s="1"/>
      <c r="E9" s="50" t="s">
        <v>284</v>
      </c>
      <c r="F9" s="51">
        <v>4</v>
      </c>
      <c r="G9" s="1"/>
      <c r="H9" s="1"/>
      <c r="I9" s="1"/>
      <c r="J9" s="1"/>
      <c r="K9" s="1"/>
      <c r="L9" s="1"/>
      <c r="M9" s="1"/>
      <c r="N9" s="1"/>
      <c r="O9" s="1"/>
      <c r="P9" s="1"/>
      <c r="Q9" s="1"/>
      <c r="R9" s="1"/>
      <c r="S9" s="1"/>
      <c r="T9" s="1"/>
      <c r="U9" s="1"/>
      <c r="V9" s="1"/>
      <c r="W9" s="1"/>
      <c r="X9" s="1"/>
      <c r="Y9" s="1"/>
      <c r="Z9" s="1"/>
    </row>
    <row r="10" spans="1:26" ht="22.65" customHeight="1">
      <c r="A10" s="48" t="s">
        <v>285</v>
      </c>
      <c r="B10" s="84">
        <v>0</v>
      </c>
      <c r="C10" s="49" t="s">
        <v>286</v>
      </c>
      <c r="D10" s="1"/>
      <c r="E10" s="1"/>
      <c r="F10" s="1"/>
      <c r="G10" s="1"/>
      <c r="H10" s="1"/>
      <c r="I10" s="1"/>
      <c r="J10" s="1"/>
      <c r="K10" s="1"/>
      <c r="L10" s="1"/>
      <c r="M10" s="1"/>
      <c r="N10" s="1"/>
      <c r="O10" s="1"/>
      <c r="P10" s="1"/>
      <c r="Q10" s="1"/>
      <c r="R10" s="1"/>
      <c r="S10" s="1"/>
      <c r="T10" s="1"/>
      <c r="U10" s="1"/>
      <c r="V10" s="1"/>
      <c r="W10" s="1"/>
      <c r="X10" s="1"/>
      <c r="Y10" s="1"/>
      <c r="Z10" s="1"/>
    </row>
    <row r="11" spans="1:26" ht="22.65" customHeight="1">
      <c r="A11" s="48" t="s">
        <v>287</v>
      </c>
      <c r="B11" s="84">
        <v>96</v>
      </c>
      <c r="C11" s="49" t="s">
        <v>288</v>
      </c>
      <c r="D11" s="1"/>
      <c r="E11" s="1"/>
      <c r="F11" s="1"/>
      <c r="G11" s="1"/>
      <c r="H11" s="1"/>
      <c r="I11" s="1"/>
      <c r="J11" s="1"/>
      <c r="K11" s="1"/>
      <c r="L11" s="1"/>
      <c r="M11" s="1"/>
      <c r="N11" s="1"/>
      <c r="O11" s="1"/>
      <c r="P11" s="1"/>
      <c r="Q11" s="1"/>
      <c r="R11" s="1"/>
      <c r="S11" s="1"/>
      <c r="T11" s="1"/>
      <c r="U11" s="1"/>
      <c r="V11" s="1"/>
      <c r="W11" s="1"/>
      <c r="X11" s="1"/>
      <c r="Y11" s="1"/>
      <c r="Z11" s="1"/>
    </row>
    <row r="12" spans="1:26" ht="22.65" customHeight="1">
      <c r="A12" s="48" t="s">
        <v>289</v>
      </c>
      <c r="B12" s="84">
        <v>14</v>
      </c>
      <c r="C12" s="49" t="s">
        <v>290</v>
      </c>
      <c r="D12" s="1"/>
      <c r="E12" s="1"/>
      <c r="F12" s="1"/>
      <c r="G12" s="1"/>
      <c r="H12" s="1"/>
      <c r="I12" s="1"/>
      <c r="J12" s="1"/>
      <c r="K12" s="1"/>
      <c r="L12" s="1"/>
      <c r="M12" s="1"/>
      <c r="N12" s="1"/>
      <c r="O12" s="1"/>
      <c r="P12" s="1"/>
      <c r="Q12" s="1"/>
      <c r="R12" s="1"/>
      <c r="S12" s="1"/>
      <c r="T12" s="1"/>
      <c r="U12" s="1"/>
      <c r="V12" s="1"/>
      <c r="W12" s="1"/>
      <c r="X12" s="1"/>
      <c r="Y12" s="1"/>
      <c r="Z12" s="1"/>
    </row>
    <row r="13" spans="1:26" ht="22.65" customHeight="1">
      <c r="A13" s="48" t="s">
        <v>291</v>
      </c>
      <c r="B13" s="84">
        <v>18</v>
      </c>
      <c r="C13" s="49" t="s">
        <v>292</v>
      </c>
      <c r="D13" s="1"/>
      <c r="E13" s="1"/>
      <c r="F13" s="1"/>
      <c r="G13" s="1"/>
      <c r="H13" s="1"/>
      <c r="I13" s="1"/>
      <c r="J13" s="1"/>
      <c r="K13" s="1"/>
      <c r="L13" s="1"/>
      <c r="M13" s="1"/>
      <c r="N13" s="1"/>
      <c r="O13" s="1"/>
      <c r="P13" s="1"/>
      <c r="Q13" s="1"/>
      <c r="R13" s="1"/>
      <c r="S13" s="1"/>
      <c r="T13" s="1"/>
      <c r="U13" s="1"/>
      <c r="V13" s="1"/>
      <c r="W13" s="1"/>
      <c r="X13" s="1"/>
      <c r="Y13" s="1"/>
      <c r="Z13" s="1"/>
    </row>
    <row r="14" spans="1:26" ht="22.65" customHeight="1">
      <c r="A14" s="48" t="s">
        <v>293</v>
      </c>
      <c r="B14" s="84">
        <v>0</v>
      </c>
      <c r="C14" s="49" t="s">
        <v>294</v>
      </c>
      <c r="D14" s="1"/>
      <c r="E14" s="1"/>
      <c r="F14" s="1"/>
      <c r="G14" s="1"/>
      <c r="H14" s="1"/>
      <c r="I14" s="1"/>
      <c r="J14" s="1"/>
      <c r="K14" s="1"/>
      <c r="L14" s="1"/>
      <c r="M14" s="1"/>
      <c r="N14" s="1"/>
      <c r="O14" s="1"/>
      <c r="P14" s="1"/>
      <c r="Q14" s="1"/>
      <c r="R14" s="1"/>
      <c r="S14" s="1"/>
      <c r="T14" s="1"/>
      <c r="U14" s="1"/>
      <c r="V14" s="1"/>
      <c r="W14" s="1"/>
      <c r="X14" s="1"/>
      <c r="Y14" s="1"/>
      <c r="Z14" s="1"/>
    </row>
    <row r="15" spans="1:26" ht="22.65" customHeight="1">
      <c r="A15" s="48" t="s">
        <v>295</v>
      </c>
      <c r="B15" s="85">
        <v>0.84318800000000005</v>
      </c>
      <c r="C15" s="49" t="s">
        <v>296</v>
      </c>
      <c r="D15" s="1"/>
      <c r="E15" s="1"/>
      <c r="F15" s="1"/>
      <c r="G15" s="1"/>
      <c r="H15" s="1"/>
      <c r="I15" s="1"/>
      <c r="J15" s="1"/>
      <c r="K15" s="1"/>
      <c r="L15" s="1"/>
      <c r="M15" s="1"/>
      <c r="N15" s="1"/>
      <c r="O15" s="1"/>
      <c r="P15" s="1"/>
      <c r="Q15" s="1"/>
      <c r="R15" s="1"/>
      <c r="S15" s="1"/>
      <c r="T15" s="1"/>
      <c r="U15" s="1"/>
      <c r="V15" s="1"/>
      <c r="W15" s="1"/>
      <c r="X15" s="1"/>
      <c r="Y15" s="1"/>
      <c r="Z15" s="1"/>
    </row>
    <row r="16" spans="1:26" ht="22.65" customHeight="1">
      <c r="A16" s="50" t="s">
        <v>297</v>
      </c>
      <c r="B16" s="82" t="s">
        <v>298</v>
      </c>
      <c r="C16" s="51" t="s">
        <v>299</v>
      </c>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38.65" customHeight="1">
      <c r="A19" s="42" t="s">
        <v>300</v>
      </c>
      <c r="B19" s="42"/>
      <c r="C19" s="42"/>
      <c r="D19" s="42"/>
      <c r="E19" s="42"/>
      <c r="F19" s="42"/>
      <c r="G19" s="38"/>
      <c r="H19" s="1"/>
      <c r="I19" s="1"/>
      <c r="J19" s="1"/>
      <c r="K19" s="1"/>
      <c r="L19" s="1"/>
      <c r="M19" s="1"/>
      <c r="N19" s="1"/>
      <c r="O19" s="1"/>
      <c r="P19" s="1"/>
      <c r="Q19" s="1"/>
      <c r="R19" s="1"/>
      <c r="S19" s="1"/>
      <c r="T19" s="1"/>
      <c r="U19" s="1"/>
      <c r="V19" s="1"/>
      <c r="W19" s="1"/>
      <c r="X19" s="1"/>
      <c r="Y19" s="1"/>
      <c r="Z19" s="1"/>
    </row>
    <row r="20" spans="1:26">
      <c r="A20" s="41"/>
      <c r="B20" s="41"/>
      <c r="C20" s="41"/>
      <c r="D20" s="41"/>
      <c r="E20" s="41"/>
      <c r="F20" s="41"/>
      <c r="G20" s="38"/>
      <c r="H20" s="1"/>
      <c r="I20" s="1"/>
      <c r="J20" s="1"/>
      <c r="K20" s="1"/>
      <c r="L20" s="1"/>
      <c r="M20" s="1"/>
      <c r="N20" s="1"/>
      <c r="O20" s="1"/>
      <c r="P20" s="1"/>
      <c r="Q20" s="1"/>
      <c r="R20" s="1"/>
      <c r="S20" s="1"/>
      <c r="T20" s="1"/>
      <c r="U20" s="1"/>
      <c r="V20" s="1"/>
      <c r="W20" s="1"/>
      <c r="X20" s="1"/>
      <c r="Y20" s="1"/>
      <c r="Z20" s="1"/>
    </row>
    <row r="21" spans="1:26" ht="14.65" customHeight="1">
      <c r="A21" s="86" t="s">
        <v>301</v>
      </c>
      <c r="B21" s="86"/>
      <c r="C21" s="86"/>
      <c r="D21" s="38"/>
      <c r="E21" s="38"/>
      <c r="F21" s="38"/>
      <c r="G21" s="38"/>
      <c r="H21" s="1"/>
      <c r="I21" s="1"/>
      <c r="J21" s="1"/>
      <c r="K21" s="1"/>
      <c r="L21" s="1"/>
      <c r="M21" s="1"/>
      <c r="N21" s="1"/>
      <c r="O21" s="1"/>
      <c r="P21" s="1"/>
      <c r="Q21" s="1"/>
      <c r="R21" s="1"/>
      <c r="S21" s="1"/>
      <c r="T21" s="1"/>
      <c r="U21" s="1"/>
      <c r="V21" s="1"/>
      <c r="W21" s="1"/>
      <c r="X21" s="1"/>
      <c r="Y21" s="1"/>
      <c r="Z21" s="1"/>
    </row>
    <row r="22" spans="1:26">
      <c r="A22" s="44" t="s">
        <v>302</v>
      </c>
      <c r="B22" s="56" t="s">
        <v>191</v>
      </c>
      <c r="C22" s="45" t="s">
        <v>303</v>
      </c>
      <c r="D22" s="1"/>
      <c r="E22" s="1"/>
      <c r="F22" s="1"/>
      <c r="G22" s="1"/>
      <c r="H22" s="1"/>
      <c r="I22" s="1"/>
      <c r="J22" s="1"/>
      <c r="K22" s="1"/>
      <c r="L22" s="1"/>
      <c r="M22" s="1"/>
      <c r="N22" s="1"/>
      <c r="O22" s="1"/>
      <c r="P22" s="1"/>
      <c r="Q22" s="1"/>
      <c r="R22" s="1"/>
      <c r="S22" s="1"/>
      <c r="T22" s="1"/>
      <c r="U22" s="1"/>
      <c r="V22" s="1"/>
      <c r="W22" s="1"/>
      <c r="X22" s="1"/>
      <c r="Y22" s="1"/>
      <c r="Z22" s="1"/>
    </row>
    <row r="23" spans="1:26" ht="28.65" customHeight="1">
      <c r="A23" s="46" t="s">
        <v>304</v>
      </c>
      <c r="B23" s="57" t="s">
        <v>298</v>
      </c>
      <c r="C23" s="47" t="s">
        <v>305</v>
      </c>
      <c r="D23" s="1"/>
      <c r="E23" s="1"/>
      <c r="F23" s="1"/>
      <c r="G23" s="1"/>
      <c r="H23" s="1"/>
      <c r="I23" s="1"/>
      <c r="J23" s="1"/>
      <c r="K23" s="1"/>
      <c r="L23" s="1"/>
      <c r="M23" s="1"/>
      <c r="N23" s="1"/>
      <c r="O23" s="1"/>
      <c r="P23" s="1"/>
      <c r="Q23" s="1"/>
      <c r="R23" s="1"/>
      <c r="S23" s="1"/>
      <c r="T23" s="1"/>
      <c r="U23" s="1"/>
      <c r="V23" s="1"/>
      <c r="W23" s="1"/>
      <c r="X23" s="1"/>
      <c r="Y23" s="1"/>
      <c r="Z23" s="1"/>
    </row>
    <row r="24" spans="1:26" ht="28.65" customHeight="1">
      <c r="A24" s="48" t="s">
        <v>306</v>
      </c>
      <c r="B24" s="59" t="s">
        <v>298</v>
      </c>
      <c r="C24" s="49" t="s">
        <v>307</v>
      </c>
      <c r="D24" s="1"/>
      <c r="E24" s="1"/>
      <c r="F24" s="1"/>
      <c r="G24" s="1"/>
      <c r="H24" s="1"/>
      <c r="I24" s="1"/>
      <c r="J24" s="1"/>
      <c r="K24" s="1"/>
      <c r="L24" s="1"/>
      <c r="M24" s="1"/>
      <c r="N24" s="1"/>
      <c r="O24" s="1"/>
      <c r="P24" s="1"/>
      <c r="Q24" s="1"/>
      <c r="R24" s="1"/>
      <c r="S24" s="1"/>
      <c r="T24" s="1"/>
      <c r="U24" s="1"/>
      <c r="V24" s="1"/>
      <c r="W24" s="1"/>
      <c r="X24" s="1"/>
      <c r="Y24" s="1"/>
      <c r="Z24" s="1"/>
    </row>
    <row r="25" spans="1:26" ht="28.65" customHeight="1">
      <c r="A25" s="48" t="s">
        <v>308</v>
      </c>
      <c r="B25" s="59" t="s">
        <v>309</v>
      </c>
      <c r="C25" s="49" t="s">
        <v>310</v>
      </c>
      <c r="D25" s="1"/>
      <c r="E25" s="1"/>
      <c r="F25" s="1"/>
      <c r="G25" s="1"/>
      <c r="H25" s="1"/>
      <c r="I25" s="1"/>
      <c r="J25" s="1"/>
      <c r="K25" s="1"/>
      <c r="L25" s="1"/>
      <c r="M25" s="1"/>
      <c r="N25" s="1"/>
      <c r="O25" s="1"/>
      <c r="P25" s="1"/>
      <c r="Q25" s="1"/>
      <c r="R25" s="1"/>
      <c r="S25" s="1"/>
      <c r="T25" s="1"/>
      <c r="U25" s="1"/>
      <c r="V25" s="1"/>
      <c r="W25" s="1"/>
      <c r="X25" s="1"/>
      <c r="Y25" s="1"/>
      <c r="Z25" s="1"/>
    </row>
    <row r="26" spans="1:26" ht="28.65" customHeight="1">
      <c r="A26" s="48" t="s">
        <v>311</v>
      </c>
      <c r="B26" s="59" t="s">
        <v>309</v>
      </c>
      <c r="C26" s="49" t="s">
        <v>312</v>
      </c>
      <c r="D26" s="1"/>
      <c r="E26" s="1"/>
      <c r="F26" s="1"/>
      <c r="G26" s="1"/>
      <c r="H26" s="1"/>
      <c r="I26" s="1"/>
      <c r="J26" s="1"/>
      <c r="K26" s="1"/>
      <c r="L26" s="1"/>
      <c r="M26" s="1"/>
      <c r="N26" s="1"/>
      <c r="O26" s="1"/>
      <c r="P26" s="1"/>
      <c r="Q26" s="1"/>
      <c r="R26" s="1"/>
      <c r="S26" s="1"/>
      <c r="T26" s="1"/>
      <c r="U26" s="1"/>
      <c r="V26" s="1"/>
      <c r="W26" s="1"/>
      <c r="X26" s="1"/>
      <c r="Y26" s="1"/>
      <c r="Z26" s="1"/>
    </row>
    <row r="27" spans="1:26" ht="28.65" customHeight="1">
      <c r="A27" s="50" t="s">
        <v>313</v>
      </c>
      <c r="B27" s="61" t="s">
        <v>309</v>
      </c>
      <c r="C27" s="51" t="s">
        <v>314</v>
      </c>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30.65" customHeight="1">
      <c r="A30" s="87" t="s">
        <v>315</v>
      </c>
      <c r="B30" s="103"/>
      <c r="C30" s="88"/>
      <c r="D30" s="1"/>
      <c r="E30" s="1"/>
      <c r="F30" s="1"/>
      <c r="G30" s="1"/>
      <c r="H30" s="1"/>
      <c r="I30" s="1"/>
      <c r="J30" s="1"/>
      <c r="K30" s="1"/>
      <c r="L30" s="1"/>
      <c r="M30" s="1"/>
      <c r="N30" s="1"/>
      <c r="O30" s="1"/>
      <c r="P30" s="1"/>
      <c r="Q30" s="1"/>
      <c r="R30" s="1"/>
      <c r="S30" s="1"/>
      <c r="T30" s="1"/>
      <c r="U30" s="1"/>
      <c r="V30" s="1"/>
      <c r="W30" s="1"/>
      <c r="X30" s="1"/>
      <c r="Y30" s="1"/>
      <c r="Z30" s="1"/>
    </row>
    <row r="31" spans="1:26" ht="30.65" customHeight="1">
      <c r="A31" s="89"/>
      <c r="B31" s="105"/>
      <c r="C31" s="90"/>
      <c r="D31" s="1"/>
      <c r="E31" s="1"/>
      <c r="F31" s="1"/>
      <c r="G31" s="1"/>
      <c r="H31" s="1"/>
      <c r="I31" s="1"/>
      <c r="J31" s="1"/>
      <c r="K31" s="1"/>
      <c r="L31" s="1"/>
      <c r="M31" s="1"/>
      <c r="N31" s="1"/>
      <c r="O31" s="1"/>
      <c r="P31" s="1"/>
      <c r="Q31" s="1"/>
      <c r="R31" s="1"/>
      <c r="S31" s="1"/>
      <c r="T31" s="1"/>
      <c r="U31" s="1"/>
      <c r="V31" s="1"/>
      <c r="W31" s="1"/>
      <c r="X31" s="1"/>
      <c r="Y31" s="1"/>
      <c r="Z31" s="1"/>
    </row>
    <row r="32" spans="1:26" ht="30.65" customHeight="1">
      <c r="A32" s="91"/>
      <c r="B32" s="104"/>
      <c r="C32" s="92"/>
      <c r="D32" s="1"/>
      <c r="E32" s="1"/>
      <c r="F32" s="1"/>
      <c r="G32" s="1"/>
      <c r="H32" s="1"/>
      <c r="I32" s="1"/>
      <c r="J32" s="1"/>
      <c r="K32" s="1"/>
      <c r="L32" s="1"/>
      <c r="M32" s="1"/>
      <c r="N32" s="1"/>
      <c r="O32" s="1"/>
      <c r="P32" s="1"/>
      <c r="Q32" s="1"/>
      <c r="R32" s="1"/>
      <c r="S32" s="1"/>
      <c r="T32" s="1"/>
      <c r="U32" s="1"/>
      <c r="V32" s="1"/>
      <c r="W32" s="1"/>
      <c r="X32" s="1"/>
      <c r="Y32" s="1"/>
      <c r="Z32" s="1"/>
    </row>
    <row r="33" spans="1:26" ht="40" customHeight="1">
      <c r="A33" s="52"/>
      <c r="B33" s="42"/>
      <c r="C33" s="53"/>
      <c r="D33" s="1"/>
      <c r="E33" s="1"/>
      <c r="F33" s="1"/>
      <c r="G33" s="1"/>
      <c r="H33" s="1"/>
      <c r="I33" s="1"/>
      <c r="J33" s="1"/>
      <c r="K33" s="1"/>
      <c r="L33" s="1"/>
      <c r="M33" s="1"/>
      <c r="N33" s="1"/>
      <c r="O33" s="1"/>
      <c r="P33" s="1"/>
      <c r="Q33" s="1"/>
      <c r="R33" s="1"/>
      <c r="S33" s="1"/>
      <c r="T33" s="1"/>
      <c r="U33" s="1"/>
      <c r="V33" s="1"/>
      <c r="W33" s="1"/>
      <c r="X33" s="1"/>
      <c r="Y33" s="1"/>
      <c r="Z33" s="1"/>
    </row>
    <row r="34" spans="1:26" ht="40" customHeight="1">
      <c r="A34" s="54"/>
      <c r="B34" s="69"/>
      <c r="C34" s="55"/>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4">
    <mergeCell ref="A21:C21"/>
    <mergeCell ref="A1:F1"/>
    <mergeCell ref="A2:F3"/>
    <mergeCell ref="A30:C32"/>
  </mergeCells>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2"/>
  <sheetViews>
    <sheetView workbookViewId="0"/>
  </sheetViews>
  <sheetFormatPr defaultRowHeight="14"/>
  <cols>
    <col min="1" max="1" width="21" customWidth="1"/>
    <col min="2" max="7" width="13" customWidth="1"/>
  </cols>
  <sheetData>
    <row r="1" spans="1:7" ht="18.649999999999999" customHeight="1">
      <c r="A1" s="111" t="s">
        <v>316</v>
      </c>
      <c r="B1" s="111"/>
      <c r="C1" s="111"/>
      <c r="D1" s="111"/>
      <c r="E1" s="111"/>
      <c r="F1" s="111"/>
      <c r="G1" s="111"/>
    </row>
    <row r="2" spans="1:7" ht="13.4" customHeight="1">
      <c r="A2" s="94" t="s">
        <v>317</v>
      </c>
      <c r="B2" s="94"/>
      <c r="C2" s="94"/>
      <c r="D2" s="94"/>
      <c r="E2" s="94"/>
      <c r="F2" s="94"/>
      <c r="G2" s="94"/>
    </row>
    <row r="3" spans="1:7" ht="13.4" customHeight="1">
      <c r="A3" s="94"/>
      <c r="B3" s="94"/>
      <c r="C3" s="94"/>
      <c r="D3" s="94"/>
      <c r="E3" s="94"/>
      <c r="F3" s="94"/>
      <c r="G3" s="94"/>
    </row>
    <row r="5" spans="1:7">
      <c r="A5" s="44" t="s">
        <v>172</v>
      </c>
      <c r="B5" s="112" t="s">
        <v>318</v>
      </c>
      <c r="C5" s="113"/>
      <c r="D5" s="112"/>
      <c r="E5" s="112" t="s">
        <v>319</v>
      </c>
      <c r="F5" s="112"/>
      <c r="G5" s="113"/>
    </row>
    <row r="6" spans="1:7" ht="34.65" customHeight="1">
      <c r="A6" s="70" t="s">
        <v>320</v>
      </c>
      <c r="B6" s="114" t="s">
        <v>321</v>
      </c>
      <c r="C6" s="115"/>
      <c r="D6" s="114"/>
      <c r="E6" s="114" t="s">
        <v>322</v>
      </c>
      <c r="F6" s="114"/>
      <c r="G6" s="115"/>
    </row>
    <row r="7" spans="1:7" ht="34.65" customHeight="1">
      <c r="A7" s="70" t="s">
        <v>323</v>
      </c>
      <c r="B7" s="114" t="s">
        <v>324</v>
      </c>
      <c r="C7" s="115"/>
      <c r="D7" s="114"/>
      <c r="E7" s="114" t="s">
        <v>325</v>
      </c>
      <c r="F7" s="114"/>
      <c r="G7" s="115"/>
    </row>
    <row r="8" spans="1:7" ht="34.65" customHeight="1">
      <c r="A8" s="70" t="s">
        <v>326</v>
      </c>
      <c r="B8" s="114" t="s">
        <v>327</v>
      </c>
      <c r="C8" s="115"/>
      <c r="D8" s="114"/>
      <c r="E8" s="114" t="s">
        <v>328</v>
      </c>
      <c r="F8" s="114"/>
      <c r="G8" s="115"/>
    </row>
    <row r="9" spans="1:7" ht="34.65" customHeight="1">
      <c r="A9" s="70" t="s">
        <v>329</v>
      </c>
      <c r="B9" s="114" t="s">
        <v>330</v>
      </c>
      <c r="C9" s="115"/>
      <c r="D9" s="114"/>
      <c r="E9" s="114" t="s">
        <v>331</v>
      </c>
      <c r="F9" s="114"/>
      <c r="G9" s="115"/>
    </row>
    <row r="10" spans="1:7" ht="34.65" customHeight="1">
      <c r="A10" s="70" t="s">
        <v>332</v>
      </c>
      <c r="B10" s="114" t="s">
        <v>333</v>
      </c>
      <c r="C10" s="115"/>
      <c r="D10" s="114"/>
      <c r="E10" s="114" t="s">
        <v>334</v>
      </c>
      <c r="F10" s="114"/>
      <c r="G10" s="115"/>
    </row>
    <row r="11" spans="1:7" ht="34.65" customHeight="1">
      <c r="A11" s="70" t="s">
        <v>335</v>
      </c>
      <c r="B11" s="114" t="s">
        <v>336</v>
      </c>
      <c r="C11" s="115"/>
      <c r="D11" s="114"/>
      <c r="E11" s="114" t="s">
        <v>337</v>
      </c>
      <c r="F11" s="114"/>
      <c r="G11" s="115"/>
    </row>
    <row r="13" spans="1:7" ht="14.65" customHeight="1">
      <c r="A13" s="86" t="s">
        <v>338</v>
      </c>
      <c r="B13" s="86"/>
      <c r="C13" s="86"/>
      <c r="D13" s="86"/>
      <c r="E13" s="86"/>
      <c r="F13" s="86"/>
      <c r="G13" s="86"/>
    </row>
    <row r="14" spans="1:7">
      <c r="A14" s="44" t="s">
        <v>339</v>
      </c>
      <c r="B14" s="56" t="s">
        <v>340</v>
      </c>
      <c r="C14" s="56" t="s">
        <v>341</v>
      </c>
      <c r="D14" s="56" t="s">
        <v>128</v>
      </c>
      <c r="E14" s="56" t="s">
        <v>342</v>
      </c>
      <c r="F14" s="56" t="s">
        <v>195</v>
      </c>
      <c r="G14" s="45" t="s">
        <v>182</v>
      </c>
    </row>
    <row r="15" spans="1:7" ht="32" customHeight="1">
      <c r="A15" s="46" t="s">
        <v>343</v>
      </c>
      <c r="B15" s="57" t="s">
        <v>344</v>
      </c>
      <c r="C15" s="57" t="s">
        <v>345</v>
      </c>
      <c r="D15" s="57">
        <v>11</v>
      </c>
      <c r="E15" s="57" t="s">
        <v>346</v>
      </c>
      <c r="F15" s="57" t="s">
        <v>347</v>
      </c>
      <c r="G15" s="47" t="s">
        <v>348</v>
      </c>
    </row>
    <row r="16" spans="1:7" ht="32" customHeight="1">
      <c r="A16" s="48" t="s">
        <v>349</v>
      </c>
      <c r="B16" s="59" t="s">
        <v>350</v>
      </c>
      <c r="C16" s="59" t="s">
        <v>345</v>
      </c>
      <c r="D16" s="59">
        <v>49</v>
      </c>
      <c r="E16" s="59" t="s">
        <v>351</v>
      </c>
      <c r="F16" s="59" t="s">
        <v>352</v>
      </c>
      <c r="G16" s="49" t="s">
        <v>353</v>
      </c>
    </row>
    <row r="17" spans="1:7" ht="32" customHeight="1">
      <c r="A17" s="50" t="s">
        <v>354</v>
      </c>
      <c r="B17" s="61" t="s">
        <v>350</v>
      </c>
      <c r="C17" s="61" t="s">
        <v>36</v>
      </c>
      <c r="D17" s="61">
        <v>25</v>
      </c>
      <c r="E17" s="61" t="s">
        <v>355</v>
      </c>
      <c r="F17" s="61" t="s">
        <v>356</v>
      </c>
      <c r="G17" s="51" t="s">
        <v>357</v>
      </c>
    </row>
    <row r="20" spans="1:7" ht="30.65" customHeight="1">
      <c r="A20" s="87" t="s">
        <v>358</v>
      </c>
      <c r="B20" s="103"/>
      <c r="C20" s="103"/>
      <c r="D20" s="103"/>
      <c r="E20" s="103"/>
      <c r="F20" s="103"/>
      <c r="G20" s="88"/>
    </row>
    <row r="21" spans="1:7" ht="30.65" customHeight="1">
      <c r="A21" s="89"/>
      <c r="B21" s="105"/>
      <c r="C21" s="105"/>
      <c r="D21" s="105"/>
      <c r="E21" s="105"/>
      <c r="F21" s="105"/>
      <c r="G21" s="90"/>
    </row>
    <row r="22" spans="1:7" ht="30.65" customHeight="1">
      <c r="A22" s="91"/>
      <c r="B22" s="104"/>
      <c r="C22" s="104"/>
      <c r="D22" s="104"/>
      <c r="E22" s="104"/>
      <c r="F22" s="104"/>
      <c r="G22" s="92"/>
    </row>
    <row r="23" spans="1:7" ht="43.4" customHeight="1">
      <c r="A23" s="52"/>
      <c r="B23" s="42"/>
      <c r="C23" s="42"/>
      <c r="D23" s="42"/>
      <c r="E23" s="42"/>
      <c r="F23" s="42"/>
      <c r="G23" s="53"/>
    </row>
    <row r="24" spans="1:7" ht="43.4" customHeight="1">
      <c r="A24" s="54"/>
      <c r="B24" s="69"/>
      <c r="C24" s="69"/>
      <c r="D24" s="69"/>
      <c r="E24" s="69"/>
      <c r="F24" s="69"/>
      <c r="G24" s="55"/>
    </row>
    <row r="25" spans="1:7" ht="34.65" customHeight="1">
      <c r="A25" s="87" t="s">
        <v>359</v>
      </c>
      <c r="B25" s="103"/>
      <c r="C25" s="103"/>
      <c r="D25" s="103"/>
      <c r="E25" s="103"/>
      <c r="F25" s="103"/>
      <c r="G25" s="88"/>
    </row>
    <row r="26" spans="1:7" ht="34.65" customHeight="1">
      <c r="A26" s="89"/>
      <c r="B26" s="105"/>
      <c r="C26" s="105"/>
      <c r="D26" s="105"/>
      <c r="E26" s="105"/>
      <c r="F26" s="105"/>
      <c r="G26" s="90"/>
    </row>
    <row r="27" spans="1:7" ht="34.65" customHeight="1">
      <c r="A27" s="87"/>
      <c r="B27" s="103"/>
      <c r="C27" s="103"/>
      <c r="D27" s="103"/>
      <c r="E27" s="103"/>
      <c r="F27" s="103"/>
      <c r="G27" s="88"/>
    </row>
    <row r="28" spans="1:7" ht="34.65" customHeight="1">
      <c r="A28" s="91"/>
      <c r="B28" s="104"/>
      <c r="C28" s="104"/>
      <c r="D28" s="104"/>
      <c r="E28" s="104"/>
      <c r="F28" s="104"/>
      <c r="G28" s="92"/>
    </row>
    <row r="29" spans="1:7" ht="46.65" customHeight="1">
      <c r="A29" s="52"/>
      <c r="B29" s="42"/>
      <c r="C29" s="42"/>
      <c r="D29" s="42"/>
      <c r="E29" s="42"/>
      <c r="F29" s="42"/>
      <c r="G29" s="53"/>
    </row>
    <row r="30" spans="1:7" ht="46.65" customHeight="1">
      <c r="A30" s="52"/>
      <c r="B30" s="42"/>
      <c r="C30" s="42"/>
      <c r="D30" s="42"/>
      <c r="E30" s="42"/>
      <c r="F30" s="42"/>
      <c r="G30" s="53"/>
    </row>
    <row r="31" spans="1:7" ht="46.65" customHeight="1">
      <c r="A31" s="52"/>
      <c r="B31" s="42"/>
      <c r="C31" s="42"/>
      <c r="D31" s="42"/>
      <c r="E31" s="42"/>
      <c r="F31" s="42"/>
      <c r="G31" s="53"/>
    </row>
    <row r="32" spans="1:7" ht="46.65" customHeight="1">
      <c r="A32" s="54"/>
      <c r="B32" s="69"/>
      <c r="C32" s="69"/>
      <c r="D32" s="69"/>
      <c r="E32" s="69"/>
      <c r="F32" s="69"/>
      <c r="G32" s="55"/>
    </row>
  </sheetData>
  <mergeCells count="19">
    <mergeCell ref="E11:G11"/>
    <mergeCell ref="A20:G22"/>
    <mergeCell ref="A25:G28"/>
    <mergeCell ref="A13:G13"/>
    <mergeCell ref="A1:G1"/>
    <mergeCell ref="A2:G3"/>
    <mergeCell ref="B5:D5"/>
    <mergeCell ref="E5:G5"/>
    <mergeCell ref="B6:D6"/>
    <mergeCell ref="E6:G6"/>
    <mergeCell ref="B7:D7"/>
    <mergeCell ref="E7:G7"/>
    <mergeCell ref="B8:D8"/>
    <mergeCell ref="E8:G8"/>
    <mergeCell ref="B9:D9"/>
    <mergeCell ref="E9:G9"/>
    <mergeCell ref="B10:D10"/>
    <mergeCell ref="E10:G10"/>
    <mergeCell ref="B11:D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4"/>
  <sheetViews>
    <sheetView workbookViewId="0"/>
  </sheetViews>
  <sheetFormatPr defaultRowHeight="14"/>
  <cols>
    <col min="1" max="1" width="27" customWidth="1"/>
    <col min="2" max="4" width="24" customWidth="1"/>
  </cols>
  <sheetData>
    <row r="1" spans="1:4" ht="18.649999999999999" customHeight="1">
      <c r="A1" s="111" t="s">
        <v>360</v>
      </c>
      <c r="B1" s="111"/>
      <c r="C1" s="111"/>
      <c r="D1" s="111"/>
    </row>
    <row r="2" spans="1:4" ht="13.4" customHeight="1">
      <c r="A2" s="94" t="s">
        <v>361</v>
      </c>
      <c r="B2" s="94"/>
      <c r="C2" s="94"/>
      <c r="D2" s="94"/>
    </row>
    <row r="3" spans="1:4" ht="13.4" customHeight="1">
      <c r="A3" s="94"/>
      <c r="B3" s="94"/>
      <c r="C3" s="94"/>
      <c r="D3" s="94"/>
    </row>
    <row r="5" spans="1:4">
      <c r="A5" s="44" t="s">
        <v>362</v>
      </c>
      <c r="B5" s="56" t="s">
        <v>363</v>
      </c>
      <c r="C5" s="56" t="s">
        <v>364</v>
      </c>
      <c r="D5" s="45" t="s">
        <v>365</v>
      </c>
    </row>
    <row r="6" spans="1:4" ht="36" customHeight="1">
      <c r="A6" s="46" t="s">
        <v>366</v>
      </c>
      <c r="B6" s="57" t="s">
        <v>367</v>
      </c>
      <c r="C6" s="57" t="s">
        <v>368</v>
      </c>
      <c r="D6" s="47" t="s">
        <v>369</v>
      </c>
    </row>
    <row r="7" spans="1:4" ht="36" customHeight="1">
      <c r="A7" s="48" t="s">
        <v>370</v>
      </c>
      <c r="B7" s="59" t="s">
        <v>371</v>
      </c>
      <c r="C7" s="59" t="s">
        <v>372</v>
      </c>
      <c r="D7" s="49" t="s">
        <v>373</v>
      </c>
    </row>
    <row r="8" spans="1:4" ht="36" customHeight="1">
      <c r="A8" s="48" t="s">
        <v>374</v>
      </c>
      <c r="B8" s="59" t="s">
        <v>375</v>
      </c>
      <c r="C8" s="59" t="s">
        <v>376</v>
      </c>
      <c r="D8" s="49" t="s">
        <v>377</v>
      </c>
    </row>
    <row r="9" spans="1:4" ht="36" customHeight="1">
      <c r="A9" s="48" t="s">
        <v>56</v>
      </c>
      <c r="B9" s="59" t="s">
        <v>378</v>
      </c>
      <c r="C9" s="59" t="s">
        <v>379</v>
      </c>
      <c r="D9" s="49" t="s">
        <v>380</v>
      </c>
    </row>
    <row r="10" spans="1:4" ht="36" customHeight="1">
      <c r="A10" s="48" t="s">
        <v>133</v>
      </c>
      <c r="B10" s="59" t="s">
        <v>381</v>
      </c>
      <c r="C10" s="59" t="s">
        <v>382</v>
      </c>
      <c r="D10" s="49" t="s">
        <v>383</v>
      </c>
    </row>
    <row r="11" spans="1:4" ht="36" customHeight="1">
      <c r="A11" s="48" t="s">
        <v>134</v>
      </c>
      <c r="B11" s="59" t="s">
        <v>384</v>
      </c>
      <c r="C11" s="59" t="s">
        <v>385</v>
      </c>
      <c r="D11" s="49" t="s">
        <v>386</v>
      </c>
    </row>
    <row r="12" spans="1:4" ht="36" customHeight="1">
      <c r="A12" s="48" t="s">
        <v>26</v>
      </c>
      <c r="B12" s="59" t="s">
        <v>387</v>
      </c>
      <c r="C12" s="59" t="s">
        <v>388</v>
      </c>
      <c r="D12" s="49" t="s">
        <v>389</v>
      </c>
    </row>
    <row r="13" spans="1:4" ht="36" customHeight="1">
      <c r="A13" s="48" t="s">
        <v>390</v>
      </c>
      <c r="B13" s="59" t="s">
        <v>391</v>
      </c>
      <c r="C13" s="59" t="s">
        <v>392</v>
      </c>
      <c r="D13" s="49" t="s">
        <v>393</v>
      </c>
    </row>
    <row r="14" spans="1:4" ht="36" customHeight="1">
      <c r="A14" s="48" t="s">
        <v>394</v>
      </c>
      <c r="B14" s="59" t="s">
        <v>395</v>
      </c>
      <c r="C14" s="59" t="s">
        <v>396</v>
      </c>
      <c r="D14" s="49" t="s">
        <v>397</v>
      </c>
    </row>
    <row r="15" spans="1:4" ht="36" customHeight="1">
      <c r="A15" s="48" t="s">
        <v>398</v>
      </c>
      <c r="B15" s="59" t="s">
        <v>399</v>
      </c>
      <c r="C15" s="59" t="s">
        <v>400</v>
      </c>
      <c r="D15" s="49" t="s">
        <v>401</v>
      </c>
    </row>
    <row r="16" spans="1:4" ht="36" customHeight="1">
      <c r="A16" s="48" t="s">
        <v>402</v>
      </c>
      <c r="B16" s="59" t="s">
        <v>403</v>
      </c>
      <c r="C16" s="59" t="s">
        <v>404</v>
      </c>
      <c r="D16" s="49" t="s">
        <v>405</v>
      </c>
    </row>
    <row r="17" spans="1:4" ht="36" customHeight="1">
      <c r="A17" s="50" t="s">
        <v>406</v>
      </c>
      <c r="B17" s="61" t="s">
        <v>407</v>
      </c>
      <c r="C17" s="61" t="s">
        <v>408</v>
      </c>
      <c r="D17" s="51" t="s">
        <v>409</v>
      </c>
    </row>
    <row r="20" spans="1:4" ht="14.65" customHeight="1">
      <c r="A20" s="86" t="s">
        <v>410</v>
      </c>
      <c r="B20" s="86"/>
      <c r="C20" s="86"/>
      <c r="D20" s="86"/>
    </row>
    <row r="21" spans="1:4">
      <c r="A21" s="44" t="s">
        <v>411</v>
      </c>
      <c r="B21" s="113" t="s">
        <v>412</v>
      </c>
      <c r="C21" s="112"/>
      <c r="D21" s="113"/>
    </row>
    <row r="22" spans="1:4" ht="32" customHeight="1">
      <c r="A22" s="70" t="s">
        <v>413</v>
      </c>
      <c r="B22" s="115" t="s">
        <v>414</v>
      </c>
      <c r="C22" s="114"/>
      <c r="D22" s="115"/>
    </row>
    <row r="23" spans="1:4" ht="32" customHeight="1">
      <c r="A23" s="70" t="s">
        <v>415</v>
      </c>
      <c r="B23" s="115" t="s">
        <v>416</v>
      </c>
      <c r="C23" s="114"/>
      <c r="D23" s="115"/>
    </row>
    <row r="24" spans="1:4" ht="32" customHeight="1">
      <c r="A24" s="70" t="s">
        <v>417</v>
      </c>
      <c r="B24" s="115" t="s">
        <v>418</v>
      </c>
      <c r="C24" s="114"/>
      <c r="D24" s="115"/>
    </row>
    <row r="25" spans="1:4" ht="32" customHeight="1">
      <c r="A25" s="70" t="s">
        <v>419</v>
      </c>
      <c r="B25" s="115" t="s">
        <v>420</v>
      </c>
      <c r="C25" s="114"/>
      <c r="D25" s="115"/>
    </row>
    <row r="26" spans="1:4" ht="32" customHeight="1">
      <c r="A26" s="70" t="s">
        <v>421</v>
      </c>
      <c r="B26" s="115" t="s">
        <v>422</v>
      </c>
      <c r="C26" s="114"/>
      <c r="D26" s="115"/>
    </row>
    <row r="27" spans="1:4" ht="32" customHeight="1">
      <c r="A27" s="70" t="s">
        <v>423</v>
      </c>
      <c r="B27" s="115" t="s">
        <v>424</v>
      </c>
      <c r="C27" s="114"/>
      <c r="D27" s="115"/>
    </row>
    <row r="28" spans="1:4" ht="32" customHeight="1">
      <c r="A28" s="70" t="s">
        <v>425</v>
      </c>
      <c r="B28" s="115" t="s">
        <v>426</v>
      </c>
      <c r="C28" s="114"/>
      <c r="D28" s="115"/>
    </row>
    <row r="30" spans="1:4" ht="30.65" customHeight="1">
      <c r="A30" s="87" t="s">
        <v>427</v>
      </c>
      <c r="B30" s="103"/>
      <c r="C30" s="103"/>
      <c r="D30" s="88"/>
    </row>
    <row r="31" spans="1:4" ht="30.65" customHeight="1">
      <c r="A31" s="89"/>
      <c r="B31" s="105"/>
      <c r="C31" s="105"/>
      <c r="D31" s="90"/>
    </row>
    <row r="32" spans="1:4" ht="30.65" customHeight="1">
      <c r="A32" s="91"/>
      <c r="B32" s="104"/>
      <c r="C32" s="104"/>
      <c r="D32" s="92"/>
    </row>
    <row r="33" spans="1:4" ht="43.4" customHeight="1">
      <c r="A33" s="52"/>
      <c r="B33" s="42"/>
      <c r="C33" s="42"/>
      <c r="D33" s="53"/>
    </row>
    <row r="34" spans="1:4" ht="43.4" customHeight="1">
      <c r="A34" s="54"/>
      <c r="B34" s="69"/>
      <c r="C34" s="69"/>
      <c r="D34" s="55"/>
    </row>
  </sheetData>
  <mergeCells count="12">
    <mergeCell ref="B28:D28"/>
    <mergeCell ref="A30:D32"/>
    <mergeCell ref="B23:D23"/>
    <mergeCell ref="B24:D24"/>
    <mergeCell ref="B25:D25"/>
    <mergeCell ref="B26:D26"/>
    <mergeCell ref="B27:D27"/>
    <mergeCell ref="A20:D20"/>
    <mergeCell ref="A1:D1"/>
    <mergeCell ref="A2:D3"/>
    <mergeCell ref="B21:D21"/>
    <mergeCell ref="B22:D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5"/>
  <sheetViews>
    <sheetView workbookViewId="0"/>
  </sheetViews>
  <sheetFormatPr defaultRowHeight="14"/>
  <cols>
    <col min="1" max="1" width="22" customWidth="1"/>
    <col min="2" max="2" width="40" customWidth="1"/>
    <col min="3" max="3" width="39" customWidth="1"/>
    <col min="4" max="4" width="20" customWidth="1"/>
  </cols>
  <sheetData>
    <row r="1" spans="1:4" ht="18.649999999999999" customHeight="1">
      <c r="A1" s="111" t="s">
        <v>428</v>
      </c>
      <c r="B1" s="111"/>
      <c r="C1" s="111"/>
      <c r="D1" s="111"/>
    </row>
    <row r="2" spans="1:4" ht="13.4" customHeight="1">
      <c r="A2" s="94" t="s">
        <v>429</v>
      </c>
      <c r="B2" s="94"/>
      <c r="C2" s="94"/>
      <c r="D2" s="94"/>
    </row>
    <row r="3" spans="1:4" ht="13.4" customHeight="1">
      <c r="A3" s="94"/>
      <c r="B3" s="94"/>
      <c r="C3" s="94"/>
      <c r="D3" s="94"/>
    </row>
    <row r="5" spans="1:4">
      <c r="A5" s="44" t="s">
        <v>339</v>
      </c>
      <c r="B5" s="56" t="s">
        <v>430</v>
      </c>
      <c r="C5" s="56" t="s">
        <v>431</v>
      </c>
      <c r="D5" s="45" t="s">
        <v>432</v>
      </c>
    </row>
    <row r="6" spans="1:4" ht="30" customHeight="1">
      <c r="A6" s="46" t="s">
        <v>51</v>
      </c>
      <c r="B6" s="57" t="s">
        <v>433</v>
      </c>
      <c r="C6" s="57" t="s">
        <v>434</v>
      </c>
      <c r="D6" s="47" t="s">
        <v>435</v>
      </c>
    </row>
    <row r="7" spans="1:4" ht="30" customHeight="1">
      <c r="A7" s="48" t="s">
        <v>58</v>
      </c>
      <c r="B7" s="59" t="s">
        <v>436</v>
      </c>
      <c r="C7" s="59" t="s">
        <v>437</v>
      </c>
      <c r="D7" s="49" t="s">
        <v>435</v>
      </c>
    </row>
    <row r="8" spans="1:4" ht="30" customHeight="1">
      <c r="A8" s="48" t="s">
        <v>63</v>
      </c>
      <c r="B8" s="59" t="s">
        <v>438</v>
      </c>
      <c r="C8" s="59" t="s">
        <v>439</v>
      </c>
      <c r="D8" s="49" t="s">
        <v>435</v>
      </c>
    </row>
    <row r="9" spans="1:4" ht="30" customHeight="1">
      <c r="A9" s="48" t="s">
        <v>69</v>
      </c>
      <c r="B9" s="59" t="s">
        <v>440</v>
      </c>
      <c r="C9" s="59" t="s">
        <v>441</v>
      </c>
      <c r="D9" s="49" t="s">
        <v>442</v>
      </c>
    </row>
    <row r="10" spans="1:4" ht="30" customHeight="1">
      <c r="A10" s="48" t="s">
        <v>443</v>
      </c>
      <c r="B10" s="59" t="s">
        <v>444</v>
      </c>
      <c r="C10" s="59" t="s">
        <v>445</v>
      </c>
      <c r="D10" s="49" t="s">
        <v>442</v>
      </c>
    </row>
    <row r="11" spans="1:4" ht="30" customHeight="1">
      <c r="A11" s="48" t="s">
        <v>446</v>
      </c>
      <c r="B11" s="59" t="s">
        <v>447</v>
      </c>
      <c r="C11" s="59" t="s">
        <v>448</v>
      </c>
      <c r="D11" s="49" t="s">
        <v>442</v>
      </c>
    </row>
    <row r="12" spans="1:4" ht="30" customHeight="1">
      <c r="A12" s="48" t="s">
        <v>83</v>
      </c>
      <c r="B12" s="59" t="s">
        <v>449</v>
      </c>
      <c r="C12" s="59" t="s">
        <v>450</v>
      </c>
      <c r="D12" s="49" t="s">
        <v>451</v>
      </c>
    </row>
    <row r="13" spans="1:4" ht="30" customHeight="1">
      <c r="A13" s="48" t="s">
        <v>452</v>
      </c>
      <c r="B13" s="59" t="s">
        <v>453</v>
      </c>
      <c r="C13" s="59" t="s">
        <v>454</v>
      </c>
      <c r="D13" s="49" t="s">
        <v>455</v>
      </c>
    </row>
    <row r="14" spans="1:4" ht="30" customHeight="1">
      <c r="A14" s="48" t="s">
        <v>456</v>
      </c>
      <c r="B14" s="59" t="s">
        <v>457</v>
      </c>
      <c r="C14" s="59" t="s">
        <v>458</v>
      </c>
      <c r="D14" s="49" t="s">
        <v>459</v>
      </c>
    </row>
    <row r="15" spans="1:4" ht="30" customHeight="1">
      <c r="A15" s="50" t="s">
        <v>460</v>
      </c>
      <c r="B15" s="61" t="s">
        <v>461</v>
      </c>
      <c r="C15" s="61" t="s">
        <v>462</v>
      </c>
      <c r="D15" s="51" t="s">
        <v>463</v>
      </c>
    </row>
  </sheetData>
  <mergeCells count="2">
    <mergeCell ref="A1:D1"/>
    <mergeCell ref="A2: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00 README</vt:lpstr>
      <vt:lpstr>Dashboard</vt:lpstr>
      <vt:lpstr>Version Overview</vt:lpstr>
      <vt:lpstr>v2 Early Pilot</vt:lpstr>
      <vt:lpstr>v3 Prompt Parity</vt:lpstr>
      <vt:lpstr>v4 Model Grid</vt:lpstr>
      <vt:lpstr>v5 Mixed Benchmark</vt:lpstr>
      <vt:lpstr>v6 Local Context</vt:lpstr>
      <vt:lpstr>Cleaned Benchmark</vt:lpstr>
      <vt:lpstr>Reliability</vt:lpstr>
      <vt:lpstr>Production Run</vt:lpstr>
      <vt:lpstr>Codebook Comparison</vt:lpstr>
      <vt:lpstr>Metric Guide &amp; Insights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modified xsi:type="dcterms:W3CDTF">2026-07-23T17:06:06Z</dcterms:modified>
</cp:coreProperties>
</file>
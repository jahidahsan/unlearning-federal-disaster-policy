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b718812e9dce4d74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Cleaned Metrics" sheetId="1" r:id="R35d9dfb8feda4a51"/>
    <x:sheet xmlns:r="http://schemas.openxmlformats.org/officeDocument/2006/relationships" name="Removed Rows" sheetId="2" r:id="Rec0c765ba67648e3"/>
    <x:sheet xmlns:r="http://schemas.openxmlformats.org/officeDocument/2006/relationships" name="Method Notes" sheetId="3" r:id="Ra6619cd7bdc64428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0.0%"/>
    <x:numFmt numFmtId="201" formatCode="0.0000"/>
  </x:numFmts>
  <x:fonts count="4">
    <x:font>
      <x:sz val="11"/>
      <x:name val="Carlito"/>
    </x:font>
    <x:font>
      <x:b/>
      <x:sz val="16"/>
      <x:color rgb="FFFFFFFF"/>
      <x:name val="Carlito"/>
    </x:font>
    <x:font>
      <x:sz val="11"/>
      <x:color rgb="FF7F6000"/>
      <x:name val="Carlito"/>
    </x:font>
    <x:font>
      <x:b/>
      <x:sz val="11"/>
      <x:color rgb="FFFFFFFF"/>
      <x:name val="Carlito"/>
    </x:font>
  </x:fonts>
  <x:fills count="5">
    <x:fill>
      <x:patternFill patternType="none"/>
    </x:fill>
    <x:fill>
      <x:patternFill patternType="gray125"/>
    </x:fill>
    <x:fill>
      <x:patternFill patternType="solid">
        <x:fgColor rgb="FF17365D"/>
      </x:patternFill>
    </x:fill>
    <x:fill>
      <x:patternFill patternType="solid">
        <x:fgColor rgb="FFFFF2CC"/>
      </x:patternFill>
    </x:fill>
    <x:fill>
      <x:patternFill patternType="solid">
        <x:fgColor rgb="FF2F75B5"/>
      </x:patternFill>
    </x:fill>
  </x:fills>
  <x:borders count="18">
    <x:border/>
    <x:border/>
    <x:border>
      <x:left style="thin">
        <x:color rgb="FFB7C9DD"/>
      </x:left>
      <x:top style="thin">
        <x:color rgb="FFB7C9DD"/>
      </x:top>
    </x:border>
    <x:border>
      <x:top style="thin">
        <x:color rgb="FFB7C9DD"/>
      </x:top>
    </x:border>
    <x:border>
      <x:right style="thin">
        <x:color rgb="FFB7C9DD"/>
      </x:right>
      <x:top style="thin">
        <x:color rgb="FFB7C9DD"/>
      </x:top>
    </x:border>
    <x:border>
      <x:left style="thin">
        <x:color rgb="FFB7C9DD"/>
      </x:left>
    </x:border>
    <x:border>
      <x:right style="thin">
        <x:color rgb="FFB7C9DD"/>
      </x:right>
    </x:border>
    <x:border>
      <x:left style="thin">
        <x:color rgb="FFB7C9DD"/>
      </x:left>
      <x:bottom style="thin">
        <x:color rgb="FFB7C9DD"/>
      </x:bottom>
    </x:border>
    <x:border>
      <x:bottom style="thin">
        <x:color rgb="FFB7C9DD"/>
      </x:bottom>
    </x:border>
    <x:border>
      <x:right style="thin">
        <x:color rgb="FFB7C9DD"/>
      </x:right>
      <x:bottom style="thin">
        <x:color rgb="FFB7C9DD"/>
      </x:bottom>
    </x:border>
    <x:border>
      <x:left style="thin">
        <x:color rgb="FFB7C9DD"/>
      </x:left>
      <x:top style="thin">
        <x:color rgb="FFB7C9DD"/>
      </x:top>
    </x:border>
    <x:border>
      <x:top style="thin">
        <x:color rgb="FFB7C9DD"/>
      </x:top>
    </x:border>
    <x:border>
      <x:right style="thin">
        <x:color rgb="FFB7C9DD"/>
      </x:right>
      <x:top style="thin">
        <x:color rgb="FFB7C9DD"/>
      </x:top>
    </x:border>
    <x:border>
      <x:left style="thin">
        <x:color rgb="FFB7C9DD"/>
      </x:left>
    </x:border>
    <x:border>
      <x:right style="thin">
        <x:color rgb="FFB7C9DD"/>
      </x:right>
    </x:border>
    <x:border>
      <x:left style="thin">
        <x:color rgb="FFB7C9DD"/>
      </x:left>
      <x:bottom style="thin">
        <x:color rgb="FFB7C9DD"/>
      </x:bottom>
    </x:border>
    <x:border>
      <x:bottom style="thin">
        <x:color rgb="FFB7C9DD"/>
      </x:bottom>
    </x:border>
    <x:border>
      <x:right style="thin">
        <x:color rgb="FFB7C9DD"/>
      </x:right>
      <x:bottom style="thin">
        <x:color rgb="FFB7C9DD"/>
      </x:bottom>
    </x:border>
  </x:borders>
  <x:cellStyleXfs count="1">
    <x:xf numFmtId="0" fontId="0" fillId="0" borderId="0"/>
  </x:cellStyleXfs>
  <x:cellXfs count="56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left"/>
    </x:xf>
    <x:xf numFmtId="0" fontId="1" fillId="2" borderId="0" xfId="0" applyNumberFormat="1" applyFont="1" applyFill="1" applyBorder="1" applyAlignment="1">
      <x:alignment horizontal="left" vertic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horizontal="left"/>
    </x:xf>
    <x:xf numFmtId="0" fontId="1" fillId="2" borderId="1" xfId="0" applyNumberFormat="1" applyFont="1" applyFill="1" applyBorder="1" applyAlignment="1">
      <x:alignment horizontal="left"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wrapText="1"/>
    </x:xf>
    <x:xf numFmtId="0" fontId="0" fillId="3" borderId="1" xfId="0" applyNumberFormat="1" applyFont="1" applyFill="1" applyBorder="1"/>
    <x:xf numFmtId="0" fontId="2" fillId="3" borderId="1" xfId="0" applyNumberFormat="1" applyFont="1" applyFill="1" applyBorder="1"/>
    <x:xf numFmtId="0" fontId="2" fillId="3" borderId="1" xfId="0" applyNumberFormat="1" applyFont="1" applyFill="1" applyBorder="1" applyAlignment="1">
      <x:alignment wrapText="1"/>
    </x:xf>
    <x:xf numFmtId="0" fontId="2" fillId="3" borderId="0" xfId="0" applyNumberFormat="1" applyFont="1" applyFill="1" applyBorder="1" applyAlignment="1">
      <x:alignment vertical="center" wrapText="1"/>
    </x:xf>
    <x:xf numFmtId="0" fontId="2" fillId="3" borderId="1" xfId="0" applyNumberFormat="1" applyFont="1" applyFill="1" applyBorder="1" applyAlignment="1">
      <x:alignment vertical="center" wrapText="1"/>
    </x:xf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3" fillId="4" borderId="0" xfId="0" applyNumberFormat="1" applyFont="1" applyFill="1" applyBorder="1" applyAlignment="1">
      <x:alignment wrapText="1"/>
    </x:xf>
    <x:xf numFmtId="0" fontId="3" fillId="4" borderId="0" xfId="0" applyNumberFormat="1" applyFont="1" applyFill="1" applyBorder="1" applyAlignment="1">
      <x:alignment horizontal="center" wrapText="1"/>
    </x:xf>
    <x:xf numFmtId="0" fontId="3" fillId="4" borderId="0" xfId="0" applyNumberFormat="1" applyFont="1" applyFill="1" applyBorder="1" applyAlignment="1">
      <x:alignment horizontal="center" vertical="center" wrapText="1"/>
    </x:xf>
    <x:xf numFmtId="0" fontId="0" fillId="4" borderId="1" xfId="0" applyNumberFormat="1" applyFont="1" applyFill="1" applyBorder="1"/>
    <x:xf numFmtId="0" fontId="3" fillId="4" borderId="1" xfId="0" applyNumberFormat="1" applyFont="1" applyFill="1" applyBorder="1"/>
    <x:xf numFmtId="0" fontId="3" fillId="4" borderId="1" xfId="0" applyNumberFormat="1" applyFont="1" applyFill="1" applyBorder="1" applyAlignment="1">
      <x:alignment wrapText="1"/>
    </x:xf>
    <x:xf numFmtId="0" fontId="3" fillId="4" borderId="1" xfId="0" applyNumberFormat="1" applyFont="1" applyFill="1" applyBorder="1" applyAlignment="1">
      <x:alignment horizontal="center" wrapText="1"/>
    </x:xf>
    <x:xf numFmtId="0" fontId="3" fillId="4" borderId="1" xfId="0" applyNumberFormat="1" applyFont="1" applyFill="1" applyBorder="1" applyAlignment="1">
      <x:alignment horizontal="center" vertical="center" wrapText="1"/>
    </x:xf>
    <x:xf numFmtId="200" fontId="0" fillId="0" borderId="0" xfId="0" applyNumberFormat="1" applyFont="1" applyFill="1" applyBorder="1"/>
    <x:xf numFmtId="200" fontId="0" fillId="0" borderId="1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200" fontId="0" fillId="0" borderId="0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200" fontId="0" fillId="0" borderId="1" xfId="0" applyNumberFormat="1" applyFont="1" applyFill="1" applyBorder="1" applyAlignment="1">
      <x:alignment wrapText="1"/>
    </x:xf>
    <x:xf numFmtId="0" fontId="3" fillId="4" borderId="2" xfId="0" applyNumberFormat="1" applyFont="1" applyFill="1" applyBorder="1" applyAlignment="1">
      <x:alignment horizontal="center" vertical="center" wrapText="1"/>
    </x:xf>
    <x:xf numFmtId="0" fontId="3" fillId="4" borderId="3" xfId="0" applyNumberFormat="1" applyFont="1" applyFill="1" applyBorder="1" applyAlignment="1">
      <x:alignment horizontal="center" vertical="center" wrapText="1"/>
    </x:xf>
    <x:xf numFmtId="0" fontId="3" fillId="4" borderId="4" xfId="0" applyNumberFormat="1" applyFont="1" applyFill="1" applyBorder="1" applyAlignment="1">
      <x:alignment horizontal="center" vertical="center" wrapText="1"/>
    </x:xf>
    <x:xf numFmtId="0" fontId="0" fillId="0" borderId="5" xfId="0" applyNumberFormat="1" applyFont="1" applyFill="1" applyBorder="1" applyAlignment="1">
      <x:alignment wrapText="1"/>
    </x:xf>
    <x:xf numFmtId="0" fontId="0" fillId="0" borderId="6" xfId="0" applyNumberFormat="1" applyFont="1" applyFill="1" applyBorder="1" applyAlignment="1">
      <x:alignment wrapText="1"/>
    </x:xf>
    <x:xf numFmtId="0" fontId="0" fillId="0" borderId="7" xfId="0" applyNumberFormat="1" applyFont="1" applyFill="1" applyBorder="1" applyAlignment="1">
      <x:alignment wrapText="1"/>
    </x:xf>
    <x:xf numFmtId="0" fontId="0" fillId="0" borderId="8" xfId="0" applyNumberFormat="1" applyFont="1" applyFill="1" applyBorder="1" applyAlignment="1">
      <x:alignment wrapText="1"/>
    </x:xf>
    <x:xf numFmtId="200" fontId="0" fillId="0" borderId="8" xfId="0" applyNumberFormat="1" applyFont="1" applyFill="1" applyBorder="1" applyAlignment="1">
      <x:alignment wrapText="1"/>
    </x:xf>
    <x:xf numFmtId="0" fontId="0" fillId="0" borderId="9" xfId="0" applyNumberFormat="1" applyFont="1" applyFill="1" applyBorder="1" applyAlignment="1">
      <x:alignment wrapText="1"/>
    </x:xf>
    <x:xf numFmtId="0" fontId="3" fillId="4" borderId="10" xfId="0" applyNumberFormat="1" applyFont="1" applyFill="1" applyBorder="1" applyAlignment="1">
      <x:alignment horizontal="center" vertical="center" wrapText="1"/>
    </x:xf>
    <x:xf numFmtId="0" fontId="3" fillId="4" borderId="11" xfId="0" applyNumberFormat="1" applyFont="1" applyFill="1" applyBorder="1" applyAlignment="1">
      <x:alignment horizontal="center" vertical="center" wrapText="1"/>
    </x:xf>
    <x:xf numFmtId="0" fontId="3" fillId="4" borderId="12" xfId="0" applyNumberFormat="1" applyFont="1" applyFill="1" applyBorder="1" applyAlignment="1">
      <x:alignment horizontal="center" vertical="center" wrapText="1"/>
    </x:xf>
    <x:xf numFmtId="0" fontId="0" fillId="0" borderId="13" xfId="0" applyNumberFormat="1" applyFont="1" applyFill="1" applyBorder="1" applyAlignment="1">
      <x:alignment wrapText="1"/>
    </x:xf>
    <x:xf numFmtId="0" fontId="0" fillId="0" borderId="14" xfId="0" applyNumberFormat="1" applyFont="1" applyFill="1" applyBorder="1" applyAlignment="1">
      <x:alignment wrapText="1"/>
    </x:xf>
    <x:xf numFmtId="0" fontId="0" fillId="0" borderId="15" xfId="0" applyNumberFormat="1" applyFont="1" applyFill="1" applyBorder="1" applyAlignment="1">
      <x:alignment wrapText="1"/>
    </x:xf>
    <x:xf numFmtId="0" fontId="0" fillId="0" borderId="16" xfId="0" applyNumberFormat="1" applyFont="1" applyFill="1" applyBorder="1" applyAlignment="1">
      <x:alignment wrapText="1"/>
    </x:xf>
    <x:xf numFmtId="200" fontId="0" fillId="0" borderId="16" xfId="0" applyNumberFormat="1" applyFont="1" applyFill="1" applyBorder="1" applyAlignment="1">
      <x:alignment wrapText="1"/>
    </x:xf>
    <x:xf numFmtId="0" fontId="0" fillId="0" borderId="17" xfId="0" applyNumberFormat="1" applyFont="1" applyFill="1" applyBorder="1" applyAlignment="1">
      <x:alignment wrapText="1"/>
    </x:xf>
    <x:xf numFmtId="201" fontId="0" fillId="0" borderId="0" xfId="0" applyNumberFormat="1" applyFont="1" applyFill="1" applyBorder="1" applyAlignment="1">
      <x:alignment wrapText="1"/>
    </x:xf>
    <x:xf numFmtId="201" fontId="0" fillId="0" borderId="1" xfId="0" applyNumberFormat="1" applyFont="1" applyFill="1" applyBorder="1" applyAlignment="1">
      <x:alignment wrapText="1"/>
    </x:xf>
    <x:xf numFmtId="201" fontId="0" fillId="0" borderId="8" xfId="0" applyNumberFormat="1" applyFont="1" applyFill="1" applyBorder="1" applyAlignment="1">
      <x:alignment wrapText="1"/>
    </x:xf>
    <x:xf numFmtId="201" fontId="0" fillId="0" borderId="16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2531e10a6fc94083" /><Relationship Type="http://schemas.openxmlformats.org/officeDocument/2006/relationships/theme" Target="/xl/theme/theme1.xml" Id="R6a61eeb435004ba6" /><Relationship Type="http://schemas.openxmlformats.org/officeDocument/2006/relationships/sharedStrings" Target="/xl/sharedStrings.xml" Id="R4bbeae5be7a74b86" /><Relationship Type="http://schemas.openxmlformats.org/officeDocument/2006/relationships/worksheet" Target="/xl/worksheets/sheet1.xml" Id="R35d9dfb8feda4a51" /><Relationship Type="http://schemas.openxmlformats.org/officeDocument/2006/relationships/worksheet" Target="/xl/worksheets/sheet2.xml" Id="Rec0c765ba67648e3" /><Relationship Type="http://schemas.openxmlformats.org/officeDocument/2006/relationships/worksheet" Target="/xl/worksheets/sheet3.xml" Id="Ra6619cd7bdc64428" /></Relationships>
</file>

<file path=xl/tables/table1.xml><?xml version="1.0" encoding="utf-8"?>
<x:table xmlns:x="http://schemas.openxmlformats.org/spreadsheetml/2006/main" id="1" name="CleanedMetricsTable" displayName="CleanedMetricsTable" ref="A5:T20" headerRowCount="1">
  <x:tableColumns count="20">
    <x:tableColumn id="1" name="Experiment"/>
    <x:tableColumn id="2" name="Model"/>
    <x:tableColumn id="3" name="Prompt"/>
    <x:tableColumn id="4" name="Original N"/>
    <x:tableColumn id="5" name="Original TP"/>
    <x:tableColumn id="6" name="Original TN"/>
    <x:tableColumn id="7" name="Original FP"/>
    <x:tableColumn id="8" name="Original FN"/>
    <x:tableColumn id="9" name="Original Accuracy"/>
    <x:tableColumn id="10" name="Original F1"/>
    <x:tableColumn id="11" name="Cleaned N"/>
    <x:tableColumn id="12" name="Cleaned TP"/>
    <x:tableColumn id="13" name="Cleaned TN"/>
    <x:tableColumn id="14" name="Cleaned FP"/>
    <x:tableColumn id="15" name="Cleaned FN"/>
    <x:tableColumn id="16" name="Cleaned Accuracy"/>
    <x:tableColumn id="17" name="Cleaned F1"/>
    <x:tableColumn id="18" name="Δ Accuracy"/>
    <x:tableColumn id="19" name="Δ F1"/>
    <x:tableColumn id="20" name="Evidence status"/>
  </x:tableColumns>
  <x:tableStyleInfo name="TableStyleMedium2" showRowStripes="1"/>
</x:table>
</file>

<file path=xl/tables/table2.xml><?xml version="1.0" encoding="utf-8"?>
<x:table xmlns:x="http://schemas.openxmlformats.org/spreadsheetml/2006/main" id="2" name="RemovedRowsTable" displayName="RemovedRowsTable" ref="A3:G12" headerRowCount="1">
  <x:tableColumns count="7">
    <x:tableColumn id="1" name="Removal type"/>
    <x:tableColumn id="2" name="Removed test row"/>
    <x:tableColumn id="3" name="Kept / matching row"/>
    <x:tableColumn id="4" name="Human label"/>
    <x:tableColumn id="5" name="Affected prompt(s)"/>
    <x:tableColumn id="6" name="Normalized similarity"/>
    <x:tableColumn id="7" name="Reason"/>
  </x:tableColumns>
  <x:tableStyleInfo name="TableStyleMedium2" showRowStripes="1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3f8139f08ba14347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2.xml" Id="Rb8050d5236694af3" /></Relationships>
</file>

<file path=xl/worksheets/sheet1.xml><?xml version="1.0" encoding="utf-8"?>
<x:worksheet xmlns:x="http://schemas.openxmlformats.org/spreadsheetml/2006/main">
  <x:sheetFormatPr defaultRowHeight="15"/>
  <x:cols>
    <x:col min="1" max="1" width="23" hidden="0" customWidth="1"/>
    <x:col min="2" max="2" width="23" hidden="0" customWidth="1"/>
    <x:col min="3" max="3" width="29" hidden="0" customWidth="1"/>
    <x:col min="4" max="4" width="10" hidden="0" customWidth="1"/>
    <x:col min="5" max="5" width="10" hidden="0" customWidth="1"/>
    <x:col min="6" max="6" width="10" hidden="0" customWidth="1"/>
    <x:col min="7" max="7" width="10" hidden="0" customWidth="1"/>
    <x:col min="8" max="8" width="10" hidden="0" customWidth="1"/>
    <x:col min="9" max="9" width="14" hidden="0" customWidth="1"/>
    <x:col min="10" max="10" width="12" hidden="0" customWidth="1"/>
    <x:col min="11" max="11" width="10" hidden="0" customWidth="1"/>
    <x:col min="12" max="12" width="10" hidden="0" customWidth="1"/>
    <x:col min="13" max="13" width="10" hidden="0" customWidth="1"/>
    <x:col min="14" max="14" width="10" hidden="0" customWidth="1"/>
    <x:col min="15" max="15" width="10" hidden="0" customWidth="1"/>
    <x:col min="16" max="16" width="14" hidden="0" customWidth="1"/>
    <x:col min="17" max="17" width="12" hidden="0" customWidth="1"/>
    <x:col min="18" max="18" width="12" hidden="0" customWidth="1"/>
    <x:col min="19" max="19" width="10" hidden="0" customWidth="1"/>
    <x:col min="20" max="20" width="58" hidden="0" customWidth="1"/>
  </x:cols>
  <x:sheetData>
    <x:row r="1" ht="30" customHeight="1">
      <x:c r="A1" s="5" t="str">
        <x:v>Post-hoc duplicate/leakage-adjusted metrics</x:v>
      </x:c>
      <x:c r="B1" s="5"/>
      <x:c r="C1" s="5"/>
      <x:c r="D1" s="5"/>
      <x:c r="E1" s="5"/>
      <x:c r="F1" s="5"/>
      <x:c r="G1" s="5"/>
      <x:c r="H1" s="5"/>
      <x:c r="I1" s="5"/>
      <x:c r="J1" s="5"/>
      <x:c r="K1" s="5"/>
      <x:c r="L1" s="5"/>
      <x:c r="M1" s="5"/>
      <x:c r="N1" s="5"/>
      <x:c r="O1" s="5"/>
      <x:c r="P1" s="5"/>
      <x:c r="Q1" s="5"/>
      <x:c r="R1" s="5"/>
      <x:c r="S1" s="5"/>
      <x:c r="T1" s="5"/>
    </x:row>
    <x:row r="2">
      <x:c r="A2" s="16" t="str">
        <x:v>Important: the 49-row notebook did not embed its complete prediction CSV/JSONL in the uploaded file. Rows marked Reconstructed use the saved aggregate confusion matrices plus visible row-level outputs. They are diagnostic post-hoc estimates, not a substitute for rerunning a leakage-free benchmark.</x:v>
      </x:c>
      <x:c r="B2" s="16"/>
      <x:c r="C2" s="16"/>
      <x:c r="D2" s="16"/>
      <x:c r="E2" s="16"/>
      <x:c r="F2" s="16"/>
      <x:c r="G2" s="16"/>
      <x:c r="H2" s="16"/>
      <x:c r="I2" s="16"/>
      <x:c r="J2" s="16"/>
      <x:c r="K2" s="16"/>
      <x:c r="L2" s="16"/>
      <x:c r="M2" s="16"/>
      <x:c r="N2" s="16"/>
      <x:c r="O2" s="16"/>
      <x:c r="P2" s="16"/>
      <x:c r="Q2" s="16"/>
      <x:c r="R2" s="16"/>
      <x:c r="S2" s="16"/>
      <x:c r="T2" s="16"/>
    </x:row>
    <x:row r="3">
      <x:c r="A3" s="16"/>
      <x:c r="B3" s="16"/>
      <x:c r="C3" s="16"/>
      <x:c r="D3" s="16"/>
      <x:c r="E3" s="16"/>
      <x:c r="F3" s="16"/>
      <x:c r="G3" s="16"/>
      <x:c r="H3" s="16"/>
      <x:c r="I3" s="16"/>
      <x:c r="J3" s="16"/>
      <x:c r="K3" s="16"/>
      <x:c r="L3" s="16"/>
      <x:c r="M3" s="16"/>
      <x:c r="N3" s="16"/>
      <x:c r="O3" s="16"/>
      <x:c r="P3" s="16"/>
      <x:c r="Q3" s="16"/>
      <x:c r="R3" s="16"/>
      <x:c r="S3" s="16"/>
      <x:c r="T3" s="16"/>
    </x:row>
    <x:row r="5" ht="42" customHeight="1">
      <x:c r="A5" s="34" t="str">
        <x:v>Experiment</x:v>
      </x:c>
      <x:c r="B5" s="35" t="str">
        <x:v>Model</x:v>
      </x:c>
      <x:c r="C5" s="35" t="str">
        <x:v>Prompt</x:v>
      </x:c>
      <x:c r="D5" s="35" t="str">
        <x:v>Original N</x:v>
      </x:c>
      <x:c r="E5" s="35" t="str">
        <x:v>Original TP</x:v>
      </x:c>
      <x:c r="F5" s="35" t="str">
        <x:v>Original TN</x:v>
      </x:c>
      <x:c r="G5" s="35" t="str">
        <x:v>Original FP</x:v>
      </x:c>
      <x:c r="H5" s="35" t="str">
        <x:v>Original FN</x:v>
      </x:c>
      <x:c r="I5" s="35" t="str">
        <x:v>Original Accuracy</x:v>
      </x:c>
      <x:c r="J5" s="35" t="str">
        <x:v>Original F1</x:v>
      </x:c>
      <x:c r="K5" s="35" t="str">
        <x:v>Cleaned N</x:v>
      </x:c>
      <x:c r="L5" s="35" t="str">
        <x:v>Cleaned TP</x:v>
      </x:c>
      <x:c r="M5" s="35" t="str">
        <x:v>Cleaned TN</x:v>
      </x:c>
      <x:c r="N5" s="35" t="str">
        <x:v>Cleaned FP</x:v>
      </x:c>
      <x:c r="O5" s="35" t="str">
        <x:v>Cleaned FN</x:v>
      </x:c>
      <x:c r="P5" s="35" t="str">
        <x:v>Cleaned Accuracy</x:v>
      </x:c>
      <x:c r="Q5" s="35" t="str">
        <x:v>Cleaned F1</x:v>
      </x:c>
      <x:c r="R5" s="35" t="str">
        <x:v>Δ Accuracy</x:v>
      </x:c>
      <x:c r="S5" s="35" t="str">
        <x:v>Δ F1</x:v>
      </x:c>
      <x:c r="T5" s="36" t="str">
        <x:v>Evidence status</x:v>
      </x:c>
    </x:row>
    <x:row r="6" ht="42" customHeight="1">
      <x:c r="A6" s="37" t="str">
        <x:v>Updated v4 — 49 rows</x:v>
      </x:c>
      <x:c r="B6" s="30" t="str">
        <x:v>Claude Sonnet 5</x:v>
      </x:c>
      <x:c r="C6" s="30" t="str">
        <x:v>Direct</x:v>
      </x:c>
      <x:c r="D6" s="30" t="n">
        <x:v>49</x:v>
      </x:c>
      <x:c r="E6" s="30" t="n">
        <x:v>11</x:v>
      </x:c>
      <x:c r="F6" s="30" t="n">
        <x:v>9</x:v>
      </x:c>
      <x:c r="G6" s="30" t="n">
        <x:v>1</x:v>
      </x:c>
      <x:c r="H6" s="30" t="n">
        <x:v>28</x:v>
      </x:c>
      <x:c r="I6" s="31" t="n">
        <x:f>(E6+F6)/D6</x:f>
        <x:v>0.40816326530612246</x:v>
      </x:c>
      <x:c r="J6" s="31" t="n">
        <x:f>IF((2*E6+G6+H6)=0,0,2*E6/(2*E6+G6+H6))</x:f>
        <x:v>0.43137254901960786</x:v>
      </x:c>
      <x:c r="K6" s="30" t="n">
        <x:v>46</x:v>
      </x:c>
      <x:c r="L6" s="30" t="n">
        <x:v>8</x:v>
      </x:c>
      <x:c r="M6" s="30" t="n">
        <x:v>9</x:v>
      </x:c>
      <x:c r="N6" s="30" t="n">
        <x:v>1</x:v>
      </x:c>
      <x:c r="O6" s="30" t="n">
        <x:v>28</x:v>
      </x:c>
      <x:c r="P6" s="31" t="n">
        <x:f>(L6+M6)/K6</x:f>
        <x:v>0.3695652173913043</x:v>
      </x:c>
      <x:c r="Q6" s="31" t="n">
        <x:f>IF((2*L6+N6+O6)=0,0,2*L6/(2*L6+N6+O6))</x:f>
        <x:v>0.35555555555555557</x:v>
      </x:c>
      <x:c r="R6" s="31" t="n">
        <x:f>P6-I6</x:f>
        <x:v>-0.038598047914818134</x:v>
      </x:c>
      <x:c r="S6" s="31" t="n">
        <x:f>Q6-J6</x:f>
        <x:v>-0.0758169934640523</x:v>
      </x:c>
      <x:c r="T6" s="38" t="str">
        <x:v>Reconstructed: three removed duplicate-positive rows treated as TP</x:v>
      </x:c>
    </x:row>
    <x:row r="7" ht="42" customHeight="1">
      <x:c r="A7" s="37" t="str">
        <x:v>Updated v4 — 49 rows</x:v>
      </x:c>
      <x:c r="B7" s="30" t="str">
        <x:v>Claude Sonnet 5</x:v>
      </x:c>
      <x:c r="C7" s="30" t="str">
        <x:v>Definitions</x:v>
      </x:c>
      <x:c r="D7" s="30" t="n">
        <x:v>49</x:v>
      </x:c>
      <x:c r="E7" s="30" t="n">
        <x:v>24</x:v>
      </x:c>
      <x:c r="F7" s="30" t="n">
        <x:v>7</x:v>
      </x:c>
      <x:c r="G7" s="30" t="n">
        <x:v>3</x:v>
      </x:c>
      <x:c r="H7" s="30" t="n">
        <x:v>15</x:v>
      </x:c>
      <x:c r="I7" s="31" t="n">
        <x:f>(E7+F7)/D7</x:f>
        <x:v>0.6326530612244898</x:v>
      </x:c>
      <x:c r="J7" s="31" t="n">
        <x:f>IF((2*E7+G7+H7)=0,0,2*E7/(2*E7+G7+H7))</x:f>
        <x:v>0.7272727272727273</x:v>
      </x:c>
      <x:c r="K7" s="30" t="n">
        <x:v>46</x:v>
      </x:c>
      <x:c r="L7" s="30" t="n">
        <x:v>21</x:v>
      </x:c>
      <x:c r="M7" s="30" t="n">
        <x:v>7</x:v>
      </x:c>
      <x:c r="N7" s="30" t="n">
        <x:v>3</x:v>
      </x:c>
      <x:c r="O7" s="30" t="n">
        <x:v>15</x:v>
      </x:c>
      <x:c r="P7" s="31" t="n">
        <x:f>(L7+M7)/K7</x:f>
        <x:v>0.6086956521739131</x:v>
      </x:c>
      <x:c r="Q7" s="31" t="n">
        <x:f>IF((2*L7+N7+O7)=0,0,2*L7/(2*L7+N7+O7))</x:f>
        <x:v>0.7</x:v>
      </x:c>
      <x:c r="R7" s="31" t="n">
        <x:f>P7-I7</x:f>
        <x:v>-0.02395740905057675</x:v>
      </x:c>
      <x:c r="S7" s="31" t="n">
        <x:f>Q7-J7</x:f>
        <x:v>-0.027272727272727337</x:v>
      </x:c>
      <x:c r="T7" s="38" t="str">
        <x:v>Reconstructed: three removed duplicate-positive rows treated as TP</x:v>
      </x:c>
    </x:row>
    <x:row r="8" ht="42" customHeight="1">
      <x:c r="A8" s="37" t="str">
        <x:v>Updated v4 — 49 rows</x:v>
      </x:c>
      <x:c r="B8" s="30" t="str">
        <x:v>Claude Sonnet 5</x:v>
      </x:c>
      <x:c r="C8" s="30" t="str">
        <x:v>Examples, no metadata</x:v>
      </x:c>
      <x:c r="D8" s="30" t="n">
        <x:v>49</x:v>
      </x:c>
      <x:c r="E8" s="30" t="n">
        <x:v>31</x:v>
      </x:c>
      <x:c r="F8" s="30" t="n">
        <x:v>6</x:v>
      </x:c>
      <x:c r="G8" s="30" t="n">
        <x:v>4</x:v>
      </x:c>
      <x:c r="H8" s="30" t="n">
        <x:v>8</x:v>
      </x:c>
      <x:c r="I8" s="31" t="n">
        <x:f>(E8+F8)/D8</x:f>
        <x:v>0.7551020408163265</x:v>
      </x:c>
      <x:c r="J8" s="31" t="n">
        <x:f>IF((2*E8+G8+H8)=0,0,2*E8/(2*E8+G8+H8))</x:f>
        <x:v>0.8378378378378378</x:v>
      </x:c>
      <x:c r="K8" s="30" t="n">
        <x:v>40</x:v>
      </x:c>
      <x:c r="L8" s="30" t="n">
        <x:v>25</x:v>
      </x:c>
      <x:c r="M8" s="30" t="n">
        <x:v>3</x:v>
      </x:c>
      <x:c r="N8" s="30" t="n">
        <x:v>4</x:v>
      </x:c>
      <x:c r="O8" s="30" t="n">
        <x:v>8</x:v>
      </x:c>
      <x:c r="P8" s="31" t="n">
        <x:f>(L8+M8)/K8</x:f>
        <x:v>0.7</x:v>
      </x:c>
      <x:c r="Q8" s="31" t="n">
        <x:f>IF((2*L8+N8+O8)=0,0,2*L8/(2*L8+N8+O8))</x:f>
        <x:v>0.8064516129032258</x:v>
      </x:c>
      <x:c r="R8" s="31" t="n">
        <x:f>P8-I8</x:f>
        <x:v>-0.055102040816326525</x:v>
      </x:c>
      <x:c r="S8" s="31" t="n">
        <x:f>Q8-J8</x:f>
        <x:v>-0.03138622493461207</x:v>
      </x:c>
      <x:c r="T8" s="38" t="str">
        <x:v>Reconstructed: six leaked/duplicate positive rows treated as TP; three leaked negative rows as TN</x:v>
      </x:c>
    </x:row>
    <x:row r="9" ht="42" customHeight="1">
      <x:c r="A9" s="37" t="str">
        <x:v>Updated v4 — 49 rows</x:v>
      </x:c>
      <x:c r="B9" s="30" t="str">
        <x:v>Claude Sonnet 5</x:v>
      </x:c>
      <x:c r="C9" s="30" t="str">
        <x:v>Examples + metadata</x:v>
      </x:c>
      <x:c r="D9" s="30" t="n">
        <x:v>49</x:v>
      </x:c>
      <x:c r="E9" s="30" t="n">
        <x:v>30</x:v>
      </x:c>
      <x:c r="F9" s="30" t="n">
        <x:v>7</x:v>
      </x:c>
      <x:c r="G9" s="30" t="n">
        <x:v>3</x:v>
      </x:c>
      <x:c r="H9" s="30" t="n">
        <x:v>9</x:v>
      </x:c>
      <x:c r="I9" s="31" t="n">
        <x:f>(E9+F9)/D9</x:f>
        <x:v>0.7551020408163265</x:v>
      </x:c>
      <x:c r="J9" s="31" t="n">
        <x:f>IF((2*E9+G9+H9)=0,0,2*E9/(2*E9+G9+H9))</x:f>
        <x:v>0.8333333333333334</x:v>
      </x:c>
      <x:c r="K9" s="30" t="n">
        <x:v>40</x:v>
      </x:c>
      <x:c r="L9" s="30" t="n">
        <x:v>24</x:v>
      </x:c>
      <x:c r="M9" s="30" t="n">
        <x:v>4</x:v>
      </x:c>
      <x:c r="N9" s="30" t="n">
        <x:v>3</x:v>
      </x:c>
      <x:c r="O9" s="30" t="n">
        <x:v>9</x:v>
      </x:c>
      <x:c r="P9" s="31" t="n">
        <x:f>(L9+M9)/K9</x:f>
        <x:v>0.7</x:v>
      </x:c>
      <x:c r="Q9" s="31" t="n">
        <x:f>IF((2*L9+N9+O9)=0,0,2*L9/(2*L9+N9+O9))</x:f>
        <x:v>0.8</x:v>
      </x:c>
      <x:c r="R9" s="31" t="n">
        <x:f>P9-I9</x:f>
        <x:v>-0.055102040816326525</x:v>
      </x:c>
      <x:c r="S9" s="31" t="n">
        <x:f>Q9-J9</x:f>
        <x:v>-0.033333333333333326</x:v>
      </x:c>
      <x:c r="T9" s="38" t="str">
        <x:v>Reconstructed: six leaked/duplicate positive rows treated as TP; three leaked negative rows as TN</x:v>
      </x:c>
    </x:row>
    <x:row r="10" ht="42" customHeight="1">
      <x:c r="A10" s="37" t="str">
        <x:v>Updated v4 — 49 rows</x:v>
      </x:c>
      <x:c r="B10" s="30" t="str">
        <x:v>Gemini 3.1 Flash Lite</x:v>
      </x:c>
      <x:c r="C10" s="30" t="str">
        <x:v>Direct</x:v>
      </x:c>
      <x:c r="D10" s="30" t="n">
        <x:v>49</x:v>
      </x:c>
      <x:c r="E10" s="30" t="n">
        <x:v>31</x:v>
      </x:c>
      <x:c r="F10" s="30" t="n">
        <x:v>5</x:v>
      </x:c>
      <x:c r="G10" s="30" t="n">
        <x:v>5</x:v>
      </x:c>
      <x:c r="H10" s="30" t="n">
        <x:v>8</x:v>
      </x:c>
      <x:c r="I10" s="31" t="n">
        <x:f>(E10+F10)/D10</x:f>
        <x:v>0.7346938775510204</x:v>
      </x:c>
      <x:c r="J10" s="31" t="n">
        <x:f>IF((2*E10+G10+H10)=0,0,2*E10/(2*E10+G10+H10))</x:f>
        <x:v>0.8266666666666667</x:v>
      </x:c>
      <x:c r="K10" s="30" t="n">
        <x:v>46</x:v>
      </x:c>
      <x:c r="L10" s="30" t="n">
        <x:v>28</x:v>
      </x:c>
      <x:c r="M10" s="30" t="n">
        <x:v>5</x:v>
      </x:c>
      <x:c r="N10" s="30" t="n">
        <x:v>5</x:v>
      </x:c>
      <x:c r="O10" s="30" t="n">
        <x:v>8</x:v>
      </x:c>
      <x:c r="P10" s="31" t="n">
        <x:f>(L10+M10)/K10</x:f>
        <x:v>0.717391304347826</x:v>
      </x:c>
      <x:c r="Q10" s="31" t="n">
        <x:f>IF((2*L10+N10+O10)=0,0,2*L10/(2*L10+N10+O10))</x:f>
        <x:v>0.8115942028985508</x:v>
      </x:c>
      <x:c r="R10" s="31" t="n">
        <x:f>P10-I10</x:f>
        <x:v>-0.017302573203194394</x:v>
      </x:c>
      <x:c r="S10" s="31" t="n">
        <x:f>Q10-J10</x:f>
        <x:v>-0.015072463768115885</x:v>
      </x:c>
      <x:c r="T10" s="38" t="str">
        <x:v>Reconstructed: three removed duplicate-positive rows treated as TP</x:v>
      </x:c>
    </x:row>
    <x:row r="11" ht="42" customHeight="1">
      <x:c r="A11" s="37" t="str">
        <x:v>Updated v4 — 49 rows</x:v>
      </x:c>
      <x:c r="B11" s="30" t="str">
        <x:v>Gemini 3.1 Flash Lite</x:v>
      </x:c>
      <x:c r="C11" s="30" t="str">
        <x:v>Definitions</x:v>
      </x:c>
      <x:c r="D11" s="30" t="n">
        <x:v>49</x:v>
      </x:c>
      <x:c r="E11" s="30" t="n">
        <x:v>28</x:v>
      </x:c>
      <x:c r="F11" s="30" t="n">
        <x:v>5</x:v>
      </x:c>
      <x:c r="G11" s="30" t="n">
        <x:v>5</x:v>
      </x:c>
      <x:c r="H11" s="30" t="n">
        <x:v>11</x:v>
      </x:c>
      <x:c r="I11" s="31" t="n">
        <x:f>(E11+F11)/D11</x:f>
        <x:v>0.673469387755102</x:v>
      </x:c>
      <x:c r="J11" s="31" t="n">
        <x:f>IF((2*E11+G11+H11)=0,0,2*E11/(2*E11+G11+H11))</x:f>
        <x:v>0.7777777777777778</x:v>
      </x:c>
      <x:c r="K11" s="30" t="n">
        <x:v>46</x:v>
      </x:c>
      <x:c r="L11" s="30" t="n">
        <x:v>25</x:v>
      </x:c>
      <x:c r="M11" s="30" t="n">
        <x:v>5</x:v>
      </x:c>
      <x:c r="N11" s="30" t="n">
        <x:v>5</x:v>
      </x:c>
      <x:c r="O11" s="30" t="n">
        <x:v>11</x:v>
      </x:c>
      <x:c r="P11" s="31" t="n">
        <x:f>(L11+M11)/K11</x:f>
        <x:v>0.6521739130434783</x:v>
      </x:c>
      <x:c r="Q11" s="31" t="n">
        <x:f>IF((2*L11+N11+O11)=0,0,2*L11/(2*L11+N11+O11))</x:f>
        <x:v>0.7575757575757576</x:v>
      </x:c>
      <x:c r="R11" s="31" t="n">
        <x:f>P11-I11</x:f>
        <x:v>-0.02129547471162374</x:v>
      </x:c>
      <x:c r="S11" s="31" t="n">
        <x:f>Q11-J11</x:f>
        <x:v>-0.02020202020202022</x:v>
      </x:c>
      <x:c r="T11" s="38" t="str">
        <x:v>Reconstructed: three removed duplicate-positive rows treated as TP</x:v>
      </x:c>
    </x:row>
    <x:row r="12" ht="42" customHeight="1">
      <x:c r="A12" s="37" t="str">
        <x:v>Updated v4 — 49 rows</x:v>
      </x:c>
      <x:c r="B12" s="30" t="str">
        <x:v>Gemini 3.1 Flash Lite</x:v>
      </x:c>
      <x:c r="C12" s="30" t="str">
        <x:v>Examples, no metadata</x:v>
      </x:c>
      <x:c r="D12" s="30" t="n">
        <x:v>49</x:v>
      </x:c>
      <x:c r="E12" s="30" t="n">
        <x:v>29</x:v>
      </x:c>
      <x:c r="F12" s="30" t="n">
        <x:v>5</x:v>
      </x:c>
      <x:c r="G12" s="30" t="n">
        <x:v>5</x:v>
      </x:c>
      <x:c r="H12" s="30" t="n">
        <x:v>10</x:v>
      </x:c>
      <x:c r="I12" s="31" t="n">
        <x:f>(E12+F12)/D12</x:f>
        <x:v>0.6938775510204082</x:v>
      </x:c>
      <x:c r="J12" s="31" t="n">
        <x:f>IF((2*E12+G12+H12)=0,0,2*E12/(2*E12+G12+H12))</x:f>
        <x:v>0.7945205479452054</x:v>
      </x:c>
      <x:c r="K12" s="30" t="n">
        <x:v>40</x:v>
      </x:c>
      <x:c r="L12" s="30" t="n">
        <x:v>23</x:v>
      </x:c>
      <x:c r="M12" s="30" t="n">
        <x:v>2</x:v>
      </x:c>
      <x:c r="N12" s="30" t="n">
        <x:v>5</x:v>
      </x:c>
      <x:c r="O12" s="30" t="n">
        <x:v>10</x:v>
      </x:c>
      <x:c r="P12" s="31" t="n">
        <x:f>(L12+M12)/K12</x:f>
        <x:v>0.625</x:v>
      </x:c>
      <x:c r="Q12" s="31" t="n">
        <x:f>IF((2*L12+N12+O12)=0,0,2*L12/(2*L12+N12+O12))</x:f>
        <x:v>0.7540983606557377</x:v>
      </x:c>
      <x:c r="R12" s="31" t="n">
        <x:f>P12-I12</x:f>
        <x:v>-0.06887755102040816</x:v>
      </x:c>
      <x:c r="S12" s="31" t="n">
        <x:f>Q12-J12</x:f>
        <x:v>-0.04042218728946778</x:v>
      </x:c>
      <x:c r="T12" s="38" t="str">
        <x:v>Reconstructed: six leaked/duplicate positive rows treated as TP; three leaked negative rows as TN</x:v>
      </x:c>
    </x:row>
    <x:row r="13" ht="42" customHeight="1">
      <x:c r="A13" s="37" t="str">
        <x:v>Updated v4 — 49 rows</x:v>
      </x:c>
      <x:c r="B13" s="30" t="str">
        <x:v>Gemini 3.1 Flash Lite</x:v>
      </x:c>
      <x:c r="C13" s="30" t="str">
        <x:v>Examples + metadata</x:v>
      </x:c>
      <x:c r="D13" s="30" t="n">
        <x:v>49</x:v>
      </x:c>
      <x:c r="E13" s="30" t="n">
        <x:v>30</x:v>
      </x:c>
      <x:c r="F13" s="30" t="n">
        <x:v>6</x:v>
      </x:c>
      <x:c r="G13" s="30" t="n">
        <x:v>4</x:v>
      </x:c>
      <x:c r="H13" s="30" t="n">
        <x:v>9</x:v>
      </x:c>
      <x:c r="I13" s="31" t="n">
        <x:f>(E13+F13)/D13</x:f>
        <x:v>0.7346938775510204</x:v>
      </x:c>
      <x:c r="J13" s="31" t="n">
        <x:f>IF((2*E13+G13+H13)=0,0,2*E13/(2*E13+G13+H13))</x:f>
        <x:v>0.821917808219178</x:v>
      </x:c>
      <x:c r="K13" s="30" t="n">
        <x:v>40</x:v>
      </x:c>
      <x:c r="L13" s="30" t="n">
        <x:v>24</x:v>
      </x:c>
      <x:c r="M13" s="30" t="n">
        <x:v>3</x:v>
      </x:c>
      <x:c r="N13" s="30" t="n">
        <x:v>4</x:v>
      </x:c>
      <x:c r="O13" s="30" t="n">
        <x:v>9</x:v>
      </x:c>
      <x:c r="P13" s="31" t="n">
        <x:f>(L13+M13)/K13</x:f>
        <x:v>0.675</x:v>
      </x:c>
      <x:c r="Q13" s="31" t="n">
        <x:f>IF((2*L13+N13+O13)=0,0,2*L13/(2*L13+N13+O13))</x:f>
        <x:v>0.7868852459016393</x:v>
      </x:c>
      <x:c r="R13" s="31" t="n">
        <x:f>P13-I13</x:f>
        <x:v>-0.0596938775510204</x:v>
      </x:c>
      <x:c r="S13" s="31" t="n">
        <x:f>Q13-J13</x:f>
        <x:v>-0.03503256231753871</x:v>
      </x:c>
      <x:c r="T13" s="38" t="str">
        <x:v>Reconstructed: six leaked/duplicate positive rows treated as TP; three leaked negative rows as TN</x:v>
      </x:c>
    </x:row>
    <x:row r="14" ht="42" customHeight="1">
      <x:c r="A14" s="37" t="str">
        <x:v>Updated v4 — 49 rows</x:v>
      </x:c>
      <x:c r="B14" s="30" t="str">
        <x:v>GPT-5.6 Terra</x:v>
      </x:c>
      <x:c r="C14" s="30" t="str">
        <x:v>Direct</x:v>
      </x:c>
      <x:c r="D14" s="30" t="n">
        <x:v>49</x:v>
      </x:c>
      <x:c r="E14" s="30" t="n">
        <x:v>24</x:v>
      </x:c>
      <x:c r="F14" s="30" t="n">
        <x:v>8</x:v>
      </x:c>
      <x:c r="G14" s="30" t="n">
        <x:v>2</x:v>
      </x:c>
      <x:c r="H14" s="30" t="n">
        <x:v>15</x:v>
      </x:c>
      <x:c r="I14" s="31" t="n">
        <x:f>(E14+F14)/D14</x:f>
        <x:v>0.6530612244897959</x:v>
      </x:c>
      <x:c r="J14" s="31" t="n">
        <x:f>IF((2*E14+G14+H14)=0,0,2*E14/(2*E14+G14+H14))</x:f>
        <x:v>0.7384615384615385</x:v>
      </x:c>
      <x:c r="K14" s="30" t="n">
        <x:v>46</x:v>
      </x:c>
      <x:c r="L14" s="30" t="n">
        <x:v>21</x:v>
      </x:c>
      <x:c r="M14" s="30" t="n">
        <x:v>8</x:v>
      </x:c>
      <x:c r="N14" s="30" t="n">
        <x:v>2</x:v>
      </x:c>
      <x:c r="O14" s="30" t="n">
        <x:v>15</x:v>
      </x:c>
      <x:c r="P14" s="31" t="n">
        <x:f>(L14+M14)/K14</x:f>
        <x:v>0.6304347826086957</x:v>
      </x:c>
      <x:c r="Q14" s="31" t="n">
        <x:f>IF((2*L14+N14+O14)=0,0,2*L14/(2*L14+N14+O14))</x:f>
        <x:v>0.711864406779661</x:v>
      </x:c>
      <x:c r="R14" s="31" t="n">
        <x:f>P14-I14</x:f>
        <x:v>-0.02262644188110019</x:v>
      </x:c>
      <x:c r="S14" s="31" t="n">
        <x:f>Q14-J14</x:f>
        <x:v>-0.026597131681877495</x:v>
      </x:c>
      <x:c r="T14" s="38" t="str">
        <x:v>Verified from complete OpenAI disagreement output: all three removed duplicate rows were TP</x:v>
      </x:c>
    </x:row>
    <x:row r="15" ht="42" customHeight="1">
      <x:c r="A15" s="37" t="str">
        <x:v>Updated v4 — 49 rows</x:v>
      </x:c>
      <x:c r="B15" s="30" t="str">
        <x:v>GPT-5.6 Terra</x:v>
      </x:c>
      <x:c r="C15" s="30" t="str">
        <x:v>Definitions</x:v>
      </x:c>
      <x:c r="D15" s="30" t="n">
        <x:v>49</x:v>
      </x:c>
      <x:c r="E15" s="30" t="n">
        <x:v>19</x:v>
      </x:c>
      <x:c r="F15" s="30" t="n">
        <x:v>10</x:v>
      </x:c>
      <x:c r="G15" s="30" t="n">
        <x:v>0</x:v>
      </x:c>
      <x:c r="H15" s="30" t="n">
        <x:v>20</x:v>
      </x:c>
      <x:c r="I15" s="31" t="n">
        <x:f>(E15+F15)/D15</x:f>
        <x:v>0.5918367346938775</x:v>
      </x:c>
      <x:c r="J15" s="31" t="n">
        <x:f>IF((2*E15+G15+H15)=0,0,2*E15/(2*E15+G15+H15))</x:f>
        <x:v>0.6551724137931034</x:v>
      </x:c>
      <x:c r="K15" s="30" t="n">
        <x:v>46</x:v>
      </x:c>
      <x:c r="L15" s="30" t="n">
        <x:v>16</x:v>
      </x:c>
      <x:c r="M15" s="30" t="n">
        <x:v>10</x:v>
      </x:c>
      <x:c r="N15" s="30" t="n">
        <x:v>0</x:v>
      </x:c>
      <x:c r="O15" s="30" t="n">
        <x:v>20</x:v>
      </x:c>
      <x:c r="P15" s="31" t="n">
        <x:f>(L15+M15)/K15</x:f>
        <x:v>0.5652173913043478</x:v>
      </x:c>
      <x:c r="Q15" s="31" t="n">
        <x:f>IF((2*L15+N15+O15)=0,0,2*L15/(2*L15+N15+O15))</x:f>
        <x:v>0.6153846153846154</x:v>
      </x:c>
      <x:c r="R15" s="31" t="n">
        <x:f>P15-I15</x:f>
        <x:v>-0.02661934338952976</x:v>
      </x:c>
      <x:c r="S15" s="31" t="n">
        <x:f>Q15-J15</x:f>
        <x:v>-0.039787798408488007</x:v>
      </x:c>
      <x:c r="T15" s="38" t="str">
        <x:v>Verified from complete OpenAI disagreement output: all three removed duplicate rows were TP</x:v>
      </x:c>
    </x:row>
    <x:row r="16" ht="42" customHeight="1">
      <x:c r="A16" s="37" t="str">
        <x:v>Updated v4 — 49 rows</x:v>
      </x:c>
      <x:c r="B16" s="30" t="str">
        <x:v>GPT-5.6 Terra</x:v>
      </x:c>
      <x:c r="C16" s="30" t="str">
        <x:v>Examples, no metadata</x:v>
      </x:c>
      <x:c r="D16" s="30" t="n">
        <x:v>49</x:v>
      </x:c>
      <x:c r="E16" s="30" t="n">
        <x:v>29</x:v>
      </x:c>
      <x:c r="F16" s="30" t="n">
        <x:v>9</x:v>
      </x:c>
      <x:c r="G16" s="30" t="n">
        <x:v>1</x:v>
      </x:c>
      <x:c r="H16" s="30" t="n">
        <x:v>10</x:v>
      </x:c>
      <x:c r="I16" s="31" t="n">
        <x:f>(E16+F16)/D16</x:f>
        <x:v>0.7755102040816326</x:v>
      </x:c>
      <x:c r="J16" s="31" t="n">
        <x:f>IF((2*E16+G16+H16)=0,0,2*E16/(2*E16+G16+H16))</x:f>
        <x:v>0.8405797101449275</x:v>
      </x:c>
      <x:c r="K16" s="30" t="n">
        <x:v>40</x:v>
      </x:c>
      <x:c r="L16" s="30" t="n">
        <x:v>23</x:v>
      </x:c>
      <x:c r="M16" s="30" t="n">
        <x:v>6</x:v>
      </x:c>
      <x:c r="N16" s="30" t="n">
        <x:v>1</x:v>
      </x:c>
      <x:c r="O16" s="30" t="n">
        <x:v>10</x:v>
      </x:c>
      <x:c r="P16" s="31" t="n">
        <x:f>(L16+M16)/K16</x:f>
        <x:v>0.725</x:v>
      </x:c>
      <x:c r="Q16" s="31" t="n">
        <x:f>IF((2*L16+N16+O16)=0,0,2*L16/(2*L16+N16+O16))</x:f>
        <x:v>0.8070175438596491</x:v>
      </x:c>
      <x:c r="R16" s="31" t="n">
        <x:f>P16-I16</x:f>
        <x:v>-0.05051020408163265</x:v>
      </x:c>
      <x:c r="S16" s="31" t="n">
        <x:f>Q16-J16</x:f>
        <x:v>-0.033562166285278416</x:v>
      </x:c>
      <x:c r="T16" s="38" t="str">
        <x:v>Verified from complete OpenAI disagreement output: all nine removed rows were correctly classified</x:v>
      </x:c>
    </x:row>
    <x:row r="17" ht="42" customHeight="1">
      <x:c r="A17" s="37" t="str">
        <x:v>Updated v4 — 49 rows</x:v>
      </x:c>
      <x:c r="B17" s="30" t="str">
        <x:v>GPT-5.6 Terra</x:v>
      </x:c>
      <x:c r="C17" s="30" t="str">
        <x:v>Examples + metadata</x:v>
      </x:c>
      <x:c r="D17" s="30" t="n">
        <x:v>49</x:v>
      </x:c>
      <x:c r="E17" s="30" t="n">
        <x:v>30</x:v>
      </x:c>
      <x:c r="F17" s="30" t="n">
        <x:v>7</x:v>
      </x:c>
      <x:c r="G17" s="30" t="n">
        <x:v>3</x:v>
      </x:c>
      <x:c r="H17" s="30" t="n">
        <x:v>9</x:v>
      </x:c>
      <x:c r="I17" s="31" t="n">
        <x:f>(E17+F17)/D17</x:f>
        <x:v>0.7551020408163265</x:v>
      </x:c>
      <x:c r="J17" s="31" t="n">
        <x:f>IF((2*E17+G17+H17)=0,0,2*E17/(2*E17+G17+H17))</x:f>
        <x:v>0.8333333333333334</x:v>
      </x:c>
      <x:c r="K17" s="30" t="n">
        <x:v>40</x:v>
      </x:c>
      <x:c r="L17" s="30" t="n">
        <x:v>24</x:v>
      </x:c>
      <x:c r="M17" s="30" t="n">
        <x:v>4</x:v>
      </x:c>
      <x:c r="N17" s="30" t="n">
        <x:v>3</x:v>
      </x:c>
      <x:c r="O17" s="30" t="n">
        <x:v>9</x:v>
      </x:c>
      <x:c r="P17" s="31" t="n">
        <x:f>(L17+M17)/K17</x:f>
        <x:v>0.7</x:v>
      </x:c>
      <x:c r="Q17" s="31" t="n">
        <x:f>IF((2*L17+N17+O17)=0,0,2*L17/(2*L17+N17+O17))</x:f>
        <x:v>0.8</x:v>
      </x:c>
      <x:c r="R17" s="31" t="n">
        <x:f>P17-I17</x:f>
        <x:v>-0.055102040816326525</x:v>
      </x:c>
      <x:c r="S17" s="31" t="n">
        <x:f>Q17-J17</x:f>
        <x:v>-0.033333333333333326</x:v>
      </x:c>
      <x:c r="T17" s="38" t="str">
        <x:v>Partially reconstructed: leaked rows verified correct; duplicate-tail predictions inferred as TP</x:v>
      </x:c>
    </x:row>
    <x:row r="18" ht="42" customHeight="1">
      <x:c r="A18" s="37" t="str">
        <x:v>Local context — 42 rows</x:v>
      </x:c>
      <x:c r="B18" s="30" t="str">
        <x:v>Claude Sonnet 5</x:v>
      </x:c>
      <x:c r="C18" s="30" t="str">
        <x:v>Definitions + local context</x:v>
      </x:c>
      <x:c r="D18" s="30" t="n">
        <x:v>42</x:v>
      </x:c>
      <x:c r="E18" s="30" t="n">
        <x:v>9</x:v>
      </x:c>
      <x:c r="F18" s="30" t="n">
        <x:v>10</x:v>
      </x:c>
      <x:c r="G18" s="30" t="n">
        <x:v>0</x:v>
      </x:c>
      <x:c r="H18" s="30" t="n">
        <x:v>23</x:v>
      </x:c>
      <x:c r="I18" s="31" t="n">
        <x:f>(E18+F18)/D18</x:f>
        <x:v>0.4523809523809524</x:v>
      </x:c>
      <x:c r="J18" s="31" t="n">
        <x:f>IF((2*E18+G18+H18)=0,0,2*E18/(2*E18+G18+H18))</x:f>
        <x:v>0.43902439024390244</x:v>
      </x:c>
      <x:c r="K18" s="30" t="n">
        <x:v>42</x:v>
      </x:c>
      <x:c r="L18" s="30" t="n">
        <x:v>9</x:v>
      </x:c>
      <x:c r="M18" s="30" t="n">
        <x:v>10</x:v>
      </x:c>
      <x:c r="N18" s="30" t="n">
        <x:v>0</x:v>
      </x:c>
      <x:c r="O18" s="30" t="n">
        <x:v>23</x:v>
      </x:c>
      <x:c r="P18" s="31" t="n">
        <x:f>(L18+M18)/K18</x:f>
        <x:v>0.4523809523809524</x:v>
      </x:c>
      <x:c r="Q18" s="31" t="n">
        <x:f>IF((2*L18+N18+O18)=0,0,2*L18/(2*L18+N18+O18))</x:f>
        <x:v>0.43902439024390244</x:v>
      </x:c>
      <x:c r="R18" s="31" t="n">
        <x:f>P18-I18</x:f>
        <x:v>0</x:v>
      </x:c>
      <x:c r="S18" s="31" t="n">
        <x:f>Q18-J18</x:f>
        <x:v>0</x:v>
      </x:c>
      <x:c r="T18" s="38" t="str">
        <x:v>Exact: no duplicate test rows and no labeled-example leakage</x:v>
      </x:c>
    </x:row>
    <x:row r="19" ht="42" customHeight="1">
      <x:c r="A19" s="37" t="str">
        <x:v>Local context — 42 rows</x:v>
      </x:c>
      <x:c r="B19" s="30" t="str">
        <x:v>Gemini 3.1 Flash Lite</x:v>
      </x:c>
      <x:c r="C19" s="30" t="str">
        <x:v>Definitions + local context</x:v>
      </x:c>
      <x:c r="D19" s="30" t="n">
        <x:v>42</x:v>
      </x:c>
      <x:c r="E19" s="30" t="n">
        <x:v>14</x:v>
      </x:c>
      <x:c r="F19" s="30" t="n">
        <x:v>9</x:v>
      </x:c>
      <x:c r="G19" s="30" t="n">
        <x:v>1</x:v>
      </x:c>
      <x:c r="H19" s="30" t="n">
        <x:v>18</x:v>
      </x:c>
      <x:c r="I19" s="31" t="n">
        <x:f>(E19+F19)/D19</x:f>
        <x:v>0.5476190476190477</x:v>
      </x:c>
      <x:c r="J19" s="31" t="n">
        <x:f>IF((2*E19+G19+H19)=0,0,2*E19/(2*E19+G19+H19))</x:f>
        <x:v>0.5957446808510638</x:v>
      </x:c>
      <x:c r="K19" s="30" t="n">
        <x:v>42</x:v>
      </x:c>
      <x:c r="L19" s="30" t="n">
        <x:v>14</x:v>
      </x:c>
      <x:c r="M19" s="30" t="n">
        <x:v>9</x:v>
      </x:c>
      <x:c r="N19" s="30" t="n">
        <x:v>1</x:v>
      </x:c>
      <x:c r="O19" s="30" t="n">
        <x:v>18</x:v>
      </x:c>
      <x:c r="P19" s="31" t="n">
        <x:f>(L19+M19)/K19</x:f>
        <x:v>0.5476190476190477</x:v>
      </x:c>
      <x:c r="Q19" s="31" t="n">
        <x:f>IF((2*L19+N19+O19)=0,0,2*L19/(2*L19+N19+O19))</x:f>
        <x:v>0.5957446808510638</x:v>
      </x:c>
      <x:c r="R19" s="31" t="n">
        <x:f>P19-I19</x:f>
        <x:v>0</x:v>
      </x:c>
      <x:c r="S19" s="31" t="n">
        <x:f>Q19-J19</x:f>
        <x:v>0</x:v>
      </x:c>
      <x:c r="T19" s="38" t="str">
        <x:v>Exact: no duplicate test rows and no labeled-example leakage</x:v>
      </x:c>
    </x:row>
    <x:row r="20" ht="42" customHeight="1">
      <x:c r="A20" s="39" t="str">
        <x:v>Local context — 42 rows</x:v>
      </x:c>
      <x:c r="B20" s="40" t="str">
        <x:v>GPT-5.6 Terra</x:v>
      </x:c>
      <x:c r="C20" s="40" t="str">
        <x:v>Definitions + local context</x:v>
      </x:c>
      <x:c r="D20" s="40" t="n">
        <x:v>42</x:v>
      </x:c>
      <x:c r="E20" s="40" t="n">
        <x:v>7</x:v>
      </x:c>
      <x:c r="F20" s="40" t="n">
        <x:v>10</x:v>
      </x:c>
      <x:c r="G20" s="40" t="n">
        <x:v>0</x:v>
      </x:c>
      <x:c r="H20" s="40" t="n">
        <x:v>25</x:v>
      </x:c>
      <x:c r="I20" s="41" t="n">
        <x:f>(E20+F20)/D20</x:f>
        <x:v>0.40476190476190477</x:v>
      </x:c>
      <x:c r="J20" s="41" t="n">
        <x:f>IF((2*E20+G20+H20)=0,0,2*E20/(2*E20+G20+H20))</x:f>
        <x:v>0.358974358974359</x:v>
      </x:c>
      <x:c r="K20" s="40" t="n">
        <x:v>42</x:v>
      </x:c>
      <x:c r="L20" s="40" t="n">
        <x:v>7</x:v>
      </x:c>
      <x:c r="M20" s="40" t="n">
        <x:v>10</x:v>
      </x:c>
      <x:c r="N20" s="40" t="n">
        <x:v>0</x:v>
      </x:c>
      <x:c r="O20" s="40" t="n">
        <x:v>25</x:v>
      </x:c>
      <x:c r="P20" s="41" t="n">
        <x:f>(L20+M20)/K20</x:f>
        <x:v>0.40476190476190477</x:v>
      </x:c>
      <x:c r="Q20" s="41" t="n">
        <x:f>IF((2*L20+N20+O20)=0,0,2*L20/(2*L20+N20+O20))</x:f>
        <x:v>0.358974358974359</x:v>
      </x:c>
      <x:c r="R20" s="41" t="n">
        <x:f>P20-I20</x:f>
        <x:v>0</x:v>
      </x:c>
      <x:c r="S20" s="41" t="n">
        <x:f>Q20-J20</x:f>
        <x:v>0</x:v>
      </x:c>
      <x:c r="T20" s="42" t="str">
        <x:v>Exact: no duplicate test rows and no labeled-example leakage</x:v>
      </x:c>
    </x:row>
  </x:sheetData>
  <x:mergeCells>
    <x:mergeCell ref="A1:T1"/>
    <x:mergeCell ref="A2:T3"/>
  </x:mergeCells>
  <x:conditionalFormatting sqref="R6:S20">
    <x:cfRule type="colorScale" priority="1">
      <x:colorScale>
        <x:cfvo type="min"/>
        <x:cfvo type="percentile" val="50"/>
        <x:cfvo type="max"/>
        <x:color rgb="FFF4CCCC"/>
        <x:color rgb="FFFFF2CC"/>
        <x:color rgb="FFD9EAD3"/>
      </x:colorScale>
    </x:cfRule>
  </x:conditionalFormatting>
  <x:conditionalFormatting sqref="P6:Q20">
    <x:cfRule type="dataBar" priority="2">
      <x:dataBar>
        <x:cfvo type="min"/>
        <x:cfvo type="max"/>
        <x:color rgb="FF5B9BD5"/>
      </x:dataBar>
      <x:extLst>
        <x:ext xmlns:x14="http://schemas.microsoft.com/office/spreadsheetml/2009/9/main" uri="{B025F937-C7B1-47D3-B67F-A62EFF666E3E}">
          <x14:id>{D4ABAD96-0FB3-9BCF-4A00-323B8F633ADD}</x14:id>
        </x:ext>
      </x:extLst>
    </x:cfRule>
  </x:conditionalFormatting>
  <x:pageMargins left="0.7" right="0.7" top="0.75" bottom="0.75" header="0.3" footer="0.3"/>
  <x:tableParts count="1">
    <x:tablePart xmlns:r="http://schemas.openxmlformats.org/officeDocument/2006/relationships" r:id="R3f8139f08ba14347"/>
  </x:tableParts>
  <x:extLst>
    <x:ext xmlns:x14="http://schemas.microsoft.com/office/spreadsheetml/2009/9/main" xmlns:xm="http://schemas.microsoft.com/office/excel/2006/main" uri="{78C0D931-6437-407d-A8EE-F0AAD7539E65}">
      <x14:conditionalFormattings>
        <x14:conditionalFormatting>
          <x14:cfRule type="dataBar" priority="2" id="{D4ABAD96-0FB3-9BCF-4A00-323B8F633ADD}">
            <x14:dataBar gradient="1">
              <x14:cfvo type="min"/>
              <x14:cfvo type="max"/>
              <x14:fillColor rgb="FF5B9BD5"/>
            </x14:dataBar>
          </x14:cfRule>
          <xm:sqref>P6:Q20</xm:sqref>
        </x14:conditionalFormatting>
      </x14:conditionalFormattings>
    </x:ext>
  </x:extLst>
</x:worksheet>
</file>

<file path=xl/worksheets/sheet2.xml><?xml version="1.0" encoding="utf-8"?>
<x:worksheet xmlns:x="http://schemas.openxmlformats.org/spreadsheetml/2006/main">
  <x:sheetFormatPr defaultRowHeight="15"/>
  <x:cols>
    <x:col min="1" max="1" width="21" hidden="0" customWidth="1"/>
    <x:col min="2" max="2" width="28" hidden="0" customWidth="1"/>
    <x:col min="3" max="3" width="28" hidden="0" customWidth="1"/>
    <x:col min="4" max="4" width="12" hidden="0" customWidth="1"/>
    <x:col min="5" max="5" width="36" hidden="0" customWidth="1"/>
    <x:col min="6" max="6" width="18" hidden="0" customWidth="1"/>
    <x:col min="7" max="7" width="58" hidden="0" customWidth="1"/>
  </x:cols>
  <x:sheetData>
    <x:row r="1" ht="30" customHeight="1">
      <x:c r="A1" s="5" t="str">
        <x:v>Rows excluded from post-hoc scoring</x:v>
      </x:c>
      <x:c r="B1" s="5"/>
      <x:c r="C1" s="5"/>
      <x:c r="D1" s="5"/>
      <x:c r="E1" s="5"/>
      <x:c r="F1" s="5"/>
      <x:c r="G1" s="5"/>
    </x:row>
    <x:row r="3">
      <x:c r="A3" s="34" t="str">
        <x:v>Removal type</x:v>
      </x:c>
      <x:c r="B3" s="35" t="str">
        <x:v>Removed test row</x:v>
      </x:c>
      <x:c r="C3" s="35" t="str">
        <x:v>Kept / matching row</x:v>
      </x:c>
      <x:c r="D3" s="35" t="str">
        <x:v>Human label</x:v>
      </x:c>
      <x:c r="E3" s="35" t="str">
        <x:v>Affected prompt(s)</x:v>
      </x:c>
      <x:c r="F3" s="35" t="str">
        <x:v>Normalized similarity</x:v>
      </x:c>
      <x:c r="G3" s="36" t="str">
        <x:v>Reason</x:v>
      </x:c>
    </x:row>
    <x:row r="4" ht="46" customHeight="1">
      <x:c r="A4" s="37" t="str">
        <x:v>Near duplicate</x:v>
      </x:c>
      <x:c r="B4" s="30" t="str">
        <x:v>ICA21:1:9</x:v>
      </x:c>
      <x:c r="C4" s="30" t="str">
        <x:v>ICA21:1:4</x:v>
      </x:c>
      <x:c r="D4" s="30" t="str">
        <x:v>Yes</x:v>
      </x:c>
      <x:c r="E4" s="30" t="str">
        <x:v>All four updated-v4 prompts</x:v>
      </x:c>
      <x:c r="F4" s="52" t="n">
        <x:v>0.9977</x:v>
      </x:c>
      <x:c r="G4" s="38" t="str">
        <x:v>Later occurrence removed; normalized passages are effectively identical.</x:v>
      </x:c>
    </x:row>
    <x:row r="5" ht="46" customHeight="1">
      <x:c r="A5" s="37" t="str">
        <x:v>Near duplicate</x:v>
      </x:c>
      <x:c r="B5" s="30" t="str">
        <x:v>ICA21:1:8</x:v>
      </x:c>
      <x:c r="C5" s="30" t="str">
        <x:v>ICA21:1:2</x:v>
      </x:c>
      <x:c r="D5" s="30" t="str">
        <x:v>Yes</x:v>
      </x:c>
      <x:c r="E5" s="30" t="str">
        <x:v>All four updated-v4 prompts</x:v>
      </x:c>
      <x:c r="F5" s="52" t="n">
        <x:v>0.9616</x:v>
      </x:c>
      <x:c r="G5" s="38" t="str">
        <x:v>Later occurrence removed; same appointment-process reform passage.</x:v>
      </x:c>
    </x:row>
    <x:row r="6" ht="46" customHeight="1">
      <x:c r="A6" s="37" t="str">
        <x:v>Near duplicate</x:v>
      </x:c>
      <x:c r="B6" s="30" t="str">
        <x:v>ICA21:0.049305555555555554</x:v>
      </x:c>
      <x:c r="C6" s="30" t="str">
        <x:v>ICA21:0.04861111111111111</x:v>
      </x:c>
      <x:c r="D6" s="30" t="str">
        <x:v>Yes</x:v>
      </x:c>
      <x:c r="E6" s="30" t="str">
        <x:v>All four updated-v4 prompts</x:v>
      </x:c>
      <x:c r="F6" s="52" t="n">
        <x:v>0.9706</x:v>
      </x:c>
      <x:c r="G6" s="38" t="str">
        <x:v>Later occurrence removed; same two-part preparedness recommendation.</x:v>
      </x:c>
    </x:row>
    <x:row r="7" ht="46" customHeight="1">
      <x:c r="A7" s="37" t="str">
        <x:v>Test/example leakage</x:v>
      </x:c>
      <x:c r="B7" s="30" t="str">
        <x:v>ICA25:1:1</x:v>
      </x:c>
      <x:c r="C7" s="30" t="str">
        <x:v>Example 1:1</x:v>
      </x:c>
      <x:c r="D7" s="30" t="str">
        <x:v>No</x:v>
      </x:c>
      <x:c r="E7" s="30" t="str">
        <x:v>Examples, no metadata; Examples + metadata</x:v>
      </x:c>
      <x:c r="F7" s="52"/>
      <x:c r="G7" s="38" t="str">
        <x:v>Exact test passage appeared in the labeled examples supplied to the model.</x:v>
      </x:c>
    </x:row>
    <x:row r="8" ht="46" customHeight="1">
      <x:c r="A8" s="37" t="str">
        <x:v>Test/example leakage</x:v>
      </x:c>
      <x:c r="B8" s="30" t="str">
        <x:v>ICA25:1:2</x:v>
      </x:c>
      <x:c r="C8" s="30" t="str">
        <x:v>Example 1:2</x:v>
      </x:c>
      <x:c r="D8" s="30" t="str">
        <x:v>No</x:v>
      </x:c>
      <x:c r="E8" s="30" t="str">
        <x:v>Examples, no metadata; Examples + metadata</x:v>
      </x:c>
      <x:c r="F8" s="52"/>
      <x:c r="G8" s="38" t="str">
        <x:v>Exact test passage appeared in the labeled examples supplied to the model.</x:v>
      </x:c>
    </x:row>
    <x:row r="9" ht="46" customHeight="1">
      <x:c r="A9" s="37" t="str">
        <x:v>Test/example leakage</x:v>
      </x:c>
      <x:c r="B9" s="30" t="str">
        <x:v>ICA25:1:3</x:v>
      </x:c>
      <x:c r="C9" s="30" t="str">
        <x:v>Example 1:3</x:v>
      </x:c>
      <x:c r="D9" s="30" t="str">
        <x:v>Yes</x:v>
      </x:c>
      <x:c r="E9" s="30" t="str">
        <x:v>Examples, no metadata; Examples + metadata</x:v>
      </x:c>
      <x:c r="F9" s="52"/>
      <x:c r="G9" s="38" t="str">
        <x:v>Exact test passage appeared in the labeled examples supplied to the model.</x:v>
      </x:c>
    </x:row>
    <x:row r="10" ht="46" customHeight="1">
      <x:c r="A10" s="37" t="str">
        <x:v>Test/example leakage</x:v>
      </x:c>
      <x:c r="B10" s="30" t="str">
        <x:v>ICA25:1:4</x:v>
      </x:c>
      <x:c r="C10" s="30" t="str">
        <x:v>Example 1:4</x:v>
      </x:c>
      <x:c r="D10" s="30" t="str">
        <x:v>Yes</x:v>
      </x:c>
      <x:c r="E10" s="30" t="str">
        <x:v>Examples, no metadata; Examples + metadata</x:v>
      </x:c>
      <x:c r="F10" s="52"/>
      <x:c r="G10" s="38" t="str">
        <x:v>Exact test passage appeared in the labeled examples supplied to the model.</x:v>
      </x:c>
    </x:row>
    <x:row r="11" ht="46" customHeight="1">
      <x:c r="A11" s="37" t="str">
        <x:v>Test/example leakage</x:v>
      </x:c>
      <x:c r="B11" s="30" t="str">
        <x:v>ICA25:1:5</x:v>
      </x:c>
      <x:c r="C11" s="30" t="str">
        <x:v>Example 1:5</x:v>
      </x:c>
      <x:c r="D11" s="30" t="str">
        <x:v>Yes</x:v>
      </x:c>
      <x:c r="E11" s="30" t="str">
        <x:v>Examples, no metadata; Examples + metadata</x:v>
      </x:c>
      <x:c r="F11" s="52"/>
      <x:c r="G11" s="38" t="str">
        <x:v>Exact test passage appeared in the labeled examples supplied to the model.</x:v>
      </x:c>
    </x:row>
    <x:row r="12" ht="46" customHeight="1">
      <x:c r="A12" s="39" t="str">
        <x:v>Test/example leakage</x:v>
      </x:c>
      <x:c r="B12" s="40" t="str">
        <x:v>ICA25:1:9</x:v>
      </x:c>
      <x:c r="C12" s="40" t="str">
        <x:v>Example 1:9</x:v>
      </x:c>
      <x:c r="D12" s="40" t="str">
        <x:v>No</x:v>
      </x:c>
      <x:c r="E12" s="40" t="str">
        <x:v>Examples, no metadata; Examples + metadata</x:v>
      </x:c>
      <x:c r="F12" s="54"/>
      <x:c r="G12" s="42" t="str">
        <x:v>Exact test passage appeared in the labeled examples supplied to the model.</x:v>
      </x:c>
    </x:row>
  </x:sheetData>
  <x:mergeCells>
    <x:mergeCell ref="A1:G1"/>
  </x:mergeCells>
  <x:pageMargins left="0.7" right="0.7" top="0.75" bottom="0.75" header="0.3" footer="0.3"/>
  <x:tableParts count="1">
    <x:tablePart xmlns:r="http://schemas.openxmlformats.org/officeDocument/2006/relationships" r:id="Rb8050d5236694af3"/>
  </x:tableParts>
</x:worksheet>
</file>

<file path=xl/worksheets/sheet3.xml><?xml version="1.0" encoding="utf-8"?>
<x:worksheet xmlns:x="http://schemas.openxmlformats.org/spreadsheetml/2006/main">
  <x:sheetFormatPr defaultRowHeight="15"/>
  <x:cols>
    <x:col min="1" max="1" width="33" hidden="0" customWidth="1"/>
    <x:col min="2" max="2" width="100" hidden="0" customWidth="1"/>
  </x:cols>
  <x:sheetData>
    <x:row r="1" ht="30" customHeight="1">
      <x:c r="A1" s="5" t="str">
        <x:v>Method and interpretation notes</x:v>
      </x:c>
      <x:c r="B1" s="5"/>
      <x:c r="C1" s="5"/>
      <x:c r="D1" s="5"/>
    </x:row>
    <x:row r="3">
      <x:c r="A3" s="34" t="str">
        <x:v>Rule</x:v>
      </x:c>
      <x:c r="B3" s="36" t="str">
        <x:v>Application</x:v>
      </x:c>
    </x:row>
    <x:row r="4" ht="50" customHeight="1">
      <x:c r="A4" s="37" t="str">
        <x:v>Duplicate detection</x:v>
      </x:c>
      <x:c r="B4" s="38" t="str">
        <x:v>Compared normalized target text. Three later occurrences with similarity above 0.96 were removed from the 49-row evaluation.</x:v>
      </x:c>
    </x:row>
    <x:row r="5" ht="50" customHeight="1">
      <x:c r="A5" s="37" t="str">
        <x:v>Leakage detection</x:v>
      </x:c>
      <x:c r="B5" s="38" t="str">
        <x:v>Matched labeled few-shot example text against test text. Six exact overlaps were removed only from the two example-based prompt conditions.</x:v>
      </x:c>
    </x:row>
    <x:row r="6" ht="50" customHeight="1">
      <x:c r="A6" s="37" t="str">
        <x:v>Updated-v4 direct/definitions denominator</x:v>
      </x:c>
      <x:c r="B6" s="38" t="str">
        <x:v>46 rows: 49 original rows minus 3 duplicate rows.</x:v>
      </x:c>
    </x:row>
    <x:row r="7" ht="50" customHeight="1">
      <x:c r="A7" s="37" t="str">
        <x:v>Updated-v4 example denominator</x:v>
      </x:c>
      <x:c r="B7" s="38" t="str">
        <x:v>40 rows: 49 original rows minus 3 duplicate rows minus 6 leaked test/example rows.</x:v>
      </x:c>
    </x:row>
    <x:row r="8" ht="50" customHeight="1">
      <x:c r="A8" s="37" t="str">
        <x:v>Local-context denominator</x:v>
      </x:c>
      <x:c r="B8" s="38" t="str">
        <x:v>42 rows. No within-test duplicate rows or labeled-example leakage were found, so metrics are unchanged.</x:v>
      </x:c>
    </x:row>
    <x:row r="9" ht="50" customHeight="1">
      <x:c r="A9" s="39" t="str">
        <x:v>Target repeated in local-context prompt</x:v>
      </x:c>
      <x:c r="B9" s="42" t="str">
        <x:v>The target paragraph also appears inside the context block. This is not label leakage and cannot be corrected post hoc; a target-once rerun is needed to isolate that prompt-design effect.</x:v>
      </x:c>
    </x:row>
    <x:row r="11">
      <x:c r="A11" s="12" t="str">
        <x:v>Audit limitation: exact row-level recalculation for every updated-v4 condition requires the generated predictions_long_v4_provider_separated_confidence_api_fixes.csv or provider JSONL files. Those files were saved during the Colab run but were not embedded in the uploaded notebook.</x:v>
      </x:c>
      <x:c r="B11" s="12"/>
      <x:c r="C11" s="12"/>
      <x:c r="D11" s="12"/>
    </x:row>
    <x:row r="12">
      <x:c r="A12" s="12"/>
      <x:c r="B12" s="12"/>
      <x:c r="C12" s="12"/>
      <x:c r="D12" s="12"/>
    </x:row>
  </x:sheetData>
  <x:mergeCells>
    <x:mergeCell ref="A1:D1"/>
    <x:mergeCell ref="A11:D12"/>
  </x:mergeCells>
  <x:pageMargins left="0.7" right="0.7" top="0.75" bottom="0.75" header="0.3" footer="0.3"/>
</x:worksheet>
</file>
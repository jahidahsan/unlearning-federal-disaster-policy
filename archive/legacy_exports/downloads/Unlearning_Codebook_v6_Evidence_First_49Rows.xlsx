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ebeb486008046b6" /></Relationships>
</file>

<file path=xl/workbook.xml><?xml version="1.0" encoding="utf-8"?>
<x:workbook xmlns:x="http://schemas.openxmlformats.org/spreadsheetml/2006/main">
  <x:sheets>
    <x:sheet xmlns:r="http://schemas.openxmlformats.org/officeDocument/2006/relationships" name="README" sheetId="1" r:id="Rea14f1d321684fb5"/>
    <x:sheet xmlns:r="http://schemas.openxmlformats.org/officeDocument/2006/relationships" name="GPT Test" sheetId="2" r:id="Re6346612e9b24aef"/>
    <x:sheet xmlns:r="http://schemas.openxmlformats.org/officeDocument/2006/relationships" name="Codebook" sheetId="3" r:id="R7b31b0c0cb4841dd"/>
    <x:sheet xmlns:r="http://schemas.openxmlformats.org/officeDocument/2006/relationships" name="Prompt Rules" sheetId="4" r:id="R8a3c8450fd54481c"/>
    <x:sheet xmlns:r="http://schemas.openxmlformats.org/officeDocument/2006/relationships" name="Adjudication" sheetId="5" r:id="R5d07aaaf162a4358"/>
    <x:sheet xmlns:r="http://schemas.openxmlformats.org/officeDocument/2006/relationships" name="Codebook Original" sheetId="6" r:id="Ra2d87ab9469e44ff"/>
    <x:sheet xmlns:r="http://schemas.openxmlformats.org/officeDocument/2006/relationships" name="Validation Lists" sheetId="7" r:id="R55f13eb16e6f49bc"/>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FFFFFF"/>
      <x:name val="Carlito"/>
    </x:font>
    <x:font>
      <x:b/>
      <x:sz val="11"/>
      <x:color rgb="FFFFFFFF"/>
      <x:name val="Carlito"/>
    </x:font>
    <x:font>
      <x:sz val="10"/>
      <x:name val="Carlito"/>
    </x:font>
    <x:font>
      <x:b/>
      <x:sz val="10"/>
      <x:color rgb="FF17365D"/>
      <x:name val="Carlito"/>
    </x:font>
  </x:fonts>
  <x:fills count="7">
    <x:fill>
      <x:patternFill patternType="none"/>
    </x:fill>
    <x:fill>
      <x:patternFill patternType="gray125"/>
    </x:fill>
    <x:fill>
      <x:patternFill patternType="solid">
        <x:fgColor rgb="FF17365D"/>
      </x:patternFill>
    </x:fill>
    <x:fill>
      <x:patternFill patternType="solid">
        <x:fgColor rgb="FF2F75B5"/>
      </x:patternFill>
    </x:fill>
    <x:fill>
      <x:patternFill patternType="solid">
        <x:fgColor rgb="FFD9EAF7"/>
      </x:patternFill>
    </x:fill>
    <x:fill>
      <x:patternFill patternType="solid">
        <x:fgColor rgb="FFF7FBFF"/>
      </x:patternFill>
    </x:fill>
    <x:fill>
      <x:patternFill patternType="solid">
        <x:fgColor rgb="FFE2F0D9"/>
      </x:patternFill>
    </x:fill>
  </x:fills>
  <x:borders count="2">
    <x:border/>
    <x:border/>
  </x:borders>
  <x:cellStyleXfs count="1">
    <x:xf numFmtId="0" fontId="0" fillId="0" borderId="0"/>
  </x:cellStyleXfs>
  <x:cellXfs count="3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3" fillId="0" borderId="1" xfId="0" applyNumberFormat="1" applyFont="1" applyFill="1" applyBorder="1"/>
    <x:xf numFmtId="0" fontId="3" fillId="0" borderId="1" xfId="0" applyNumberFormat="1" applyFont="1" applyFill="1" applyBorder="1" applyAlignment="1">
      <x:alignment wrapText="1"/>
    </x:xf>
    <x:xf numFmtId="0" fontId="3" fillId="0" borderId="1"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0" xfId="0" applyNumberFormat="1" applyFont="1" applyFill="1" applyBorder="1" applyAlignment="1">
      <x:alignment vertical="center" wrapText="1"/>
    </x:xf>
    <x:xf numFmtId="0" fontId="3" fillId="4" borderId="1" xfId="0" applyNumberFormat="1" applyFont="1" applyFill="1" applyBorder="1" applyAlignment="1">
      <x:alignment vertical="top" wrapText="1"/>
    </x:xf>
    <x:xf numFmtId="0" fontId="4" fillId="4" borderId="1" xfId="0" applyNumberFormat="1" applyFont="1" applyFill="1" applyBorder="1" applyAlignment="1">
      <x:alignment vertical="top" wrapText="1"/>
    </x:xf>
    <x:xf numFmtId="0" fontId="4" fillId="4" borderId="1" xfId="0" applyNumberFormat="1" applyFont="1" applyFill="1" applyBorder="1" applyAlignment="1">
      <x:alignment vertical="center" wrapText="1"/>
    </x:xf>
    <x:xf numFmtId="0" fontId="3" fillId="5" borderId="0" xfId="0" applyNumberFormat="1" applyFont="1" applyFill="1" applyBorder="1" applyAlignment="1">
      <x:alignment vertical="top" wrapText="1"/>
    </x:xf>
    <x:xf numFmtId="0" fontId="3" fillId="5" borderId="1"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3" fillId="6" borderId="1" xfId="0" applyNumberFormat="1" applyFont="1" applyFill="1" applyBorder="1" applyAlignment="1">
      <x:alignment vertical="top" wrapText="1"/>
    </x:xf>
    <x:xf numFmtId="0" fontId="0" fillId="0" borderId="0" xfId="0" applyNumberFormat="1" applyFont="1" applyFill="1" applyBorder="1" applyAlignment="1">
      <x:alignment wrapText="1"/>
    </x:xf>
  </x:cellXfs>
  <x:cellStyles count="1">
    <x:cellStyle name="Normal" xfId="0"/>
  </x:cellStyles>
  <x:dxfs count="6">
    <x:dxf>
      <x:fill>
        <x:patternFill patternType="solid">
          <x:bgColor rgb="FFE2F0D9"/>
        </x:patternFill>
      </x:fill>
    </x:dxf>
    <x:dxf>
      <x:fill>
        <x:patternFill patternType="solid">
          <x:bgColor rgb="FFFCE4D6"/>
        </x:patternFill>
      </x:fill>
    </x:dxf>
    <x:dxf>
      <x:fill>
        <x:patternFill patternType="solid">
          <x:bgColor rgb="FFFFF2CC"/>
        </x:patternFill>
      </x:fill>
    </x:dxf>
    <x:dxf>
      <x:fill>
        <x:patternFill patternType="solid">
          <x:bgColor rgb="FFE2F0D9"/>
        </x:patternFill>
      </x:fill>
    </x:dxf>
    <x:dxf>
      <x:fill>
        <x:patternFill patternType="solid">
          <x:bgColor rgb="FFE2F0D9"/>
        </x:patternFill>
      </x:fill>
    </x:dxf>
    <x:dxf>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9a8810e6a5549fa" /><Relationship Type="http://schemas.openxmlformats.org/officeDocument/2006/relationships/theme" Target="/xl/theme/theme1.xml" Id="R35b61c60e4084e32" /><Relationship Type="http://schemas.openxmlformats.org/officeDocument/2006/relationships/sharedStrings" Target="/xl/sharedStrings.xml" Id="Rbef766371c5943c3" /><Relationship Type="http://schemas.openxmlformats.org/officeDocument/2006/relationships/worksheet" Target="/xl/worksheets/sheet1.xml" Id="Rea14f1d321684fb5" /><Relationship Type="http://schemas.openxmlformats.org/officeDocument/2006/relationships/worksheet" Target="/xl/worksheets/sheet2.xml" Id="Re6346612e9b24aef" /><Relationship Type="http://schemas.openxmlformats.org/officeDocument/2006/relationships/worksheet" Target="/xl/worksheets/sheet3.xml" Id="R7b31b0c0cb4841dd" /><Relationship Type="http://schemas.openxmlformats.org/officeDocument/2006/relationships/worksheet" Target="/xl/worksheets/sheet4.xml" Id="R8a3c8450fd54481c" /><Relationship Type="http://schemas.openxmlformats.org/officeDocument/2006/relationships/worksheet" Target="/xl/worksheets/sheet5.xml" Id="R5d07aaaf162a4358" /><Relationship Type="http://schemas.openxmlformats.org/officeDocument/2006/relationships/worksheet" Target="/xl/worksheets/sheet6.xml" Id="Ra2d87ab9469e44ff" /><Relationship Type="http://schemas.openxmlformats.org/officeDocument/2006/relationships/worksheet" Target="/xl/worksheets/sheet7.xml" Id="R55f13eb16e6f49bc" /></Relationships>
</file>

<file path=xl/tables/table1.xml><?xml version="1.0" encoding="utf-8"?>
<x:table xmlns:x="http://schemas.openxmlformats.org/spreadsheetml/2006/main" id="1" name="GPTTest49Table" displayName="GPTTest49Table" ref="A1:T50" headerRowCount="1">
  <x:tableColumns count="20">
    <x:tableColumn id="1" name="Row ID"/>
    <x:tableColumn id="2" name="Source Label ID"/>
    <x:tableColumn id="3" name="Legacy Original IDs"/>
    <x:tableColumn id="4" name="Legacy Link Type"/>
    <x:tableColumn id="5" name="Text Content"/>
    <x:tableColumn id="6" name="Document Title"/>
    <x:tableColumn id="7" name="Source File"/>
    <x:tableColumn id="8" name="PDF Page"/>
    <x:tableColumn id="9" name="Section Heading"/>
    <x:tableColumn id="10" name="Paragraph Order"/>
    <x:tableColumn id="11" name="Previous Paragraph"/>
    <x:tableColumn id="12" name="Next Paragraph"/>
    <x:tableColumn id="13" name="Context Verified"/>
    <x:tableColumn id="14" name="Text Quality Status"/>
    <x:tableColumn id="15" name="Text Verification Note"/>
    <x:tableColumn id="16" name="Codes"/>
    <x:tableColumn id="17" name="Original Unlearning"/>
    <x:tableColumn id="18" name="Original Target"/>
    <x:tableColumn id="19" name="Original Government Agency"/>
    <x:tableColumn id="20" name="Original Rationale"/>
  </x:tableColumns>
  <x:tableStyleInfo name="TableStyleMedium2" showRowStripes="1"/>
</x:table>
</file>

<file path=xl/tables/table2.xml><?xml version="1.0" encoding="utf-8"?>
<x:table xmlns:x="http://schemas.openxmlformats.org/spreadsheetml/2006/main" id="2" name="Adjudication49Table" displayName="Adjudication49Table" ref="A1:R50" headerRowCount="1">
  <x:tableColumns count="18">
    <x:tableColumn id="1" name="Row ID"/>
    <x:tableColumn id="2" name="Source Label ID"/>
    <x:tableColumn id="3" name="Document Title"/>
    <x:tableColumn id="4" name="Original Unlearning"/>
    <x:tableColumn id="5" name="Original Target"/>
    <x:tableColumn id="6" name="Original Government Agency"/>
    <x:tableColumn id="7" name="Human Rationale"/>
    <x:tableColumn id="8" name="Prior Practice Evidence"/>
    <x:tableColumn id="9" name="Failure/Inadequacy Evidence"/>
    <x:tableColumn id="10" name="Proposed Change Evidence"/>
    <x:tableColumn id="11" name="Change Type"/>
    <x:tableColumn id="12" name="Review Decision"/>
    <x:tableColumn id="13" name="Final Unlearning"/>
    <x:tableColumn id="14" name="Final Target"/>
    <x:tableColumn id="15" name="Final Government Agency"/>
    <x:tableColumn id="16" name="Reviewer"/>
    <x:tableColumn id="17" name="Review Date"/>
    <x:tableColumn id="18"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3c7a9c5dba14a04" /></Relationships>
</file>

<file path=xl/worksheets/_rels/sheet5.xml.rels>&#65279;<?xml version="1.0" encoding="utf-8"?><Relationships xmlns="http://schemas.openxmlformats.org/package/2006/relationships"><Relationship Type="http://schemas.openxmlformats.org/officeDocument/2006/relationships/table" Target="/xl/tables/table2.xml" Id="R5d96a49cf50a4d7e" /></Relationships>
</file>

<file path=xl/worksheets/sheet1.xml><?xml version="1.0" encoding="utf-8"?>
<x:worksheet xmlns:x="http://schemas.openxmlformats.org/spreadsheetml/2006/main">
  <x:sheetFormatPr defaultRowHeight="15"/>
  <x:cols>
    <x:col min="1" max="1" width="21" hidden="0" customWidth="1"/>
    <x:col min="2" max="2" width="58" hidden="0" customWidth="1"/>
    <x:col min="3" max="3" width="3" hidden="0" customWidth="1"/>
    <x:col min="4" max="4" width="25" hidden="0" customWidth="1"/>
    <x:col min="5" max="5" width="14" hidden="0" customWidth="1"/>
    <x:col min="6" max="6" width="28" hidden="0" customWidth="1"/>
  </x:cols>
  <x:sheetData>
    <x:row r="1" ht="32" customHeight="1">
      <x:c r="A1" s="5" t="str">
        <x:v>Unlearning Benchmark v6 — Evidence-First 49-Row Input</x:v>
      </x:c>
      <x:c r="B1" s="5"/>
      <x:c r="C1" s="5"/>
      <x:c r="D1" s="5"/>
      <x:c r="E1" s="5"/>
      <x:c r="F1" s="5"/>
    </x:row>
    <x:row r="3">
      <x:c r="A3" s="14" t="str">
        <x:v>Purpose</x:v>
      </x:c>
      <x:c r="B3" s="14" t="str">
        <x:v>Controlled input workbook for the evidence-first, two-stage LLM annotation notebook.</x:v>
      </x:c>
      <x:c r="C3" s="14"/>
      <x:c r="D3" s="14" t="str">
        <x:v>Quality check</x:v>
      </x:c>
      <x:c r="E3" s="14" t="str">
        <x:v>Value</x:v>
      </x:c>
      <x:c r="F3" s="14" t="str">
        <x:v>Status</x:v>
      </x:c>
    </x:row>
    <x:row r="4">
      <x:c r="A4" s="28" t="str">
        <x:v>Dataset</x:v>
      </x:c>
      <x:c r="B4" s="22" t="str">
        <x:v>Exactly 49 passages: 39 original human Yes and 10 original human No.</x:v>
      </x:c>
      <x:c r="C4" s="22"/>
      <x:c r="D4" s="28" t="str">
        <x:v>Rows</x:v>
      </x:c>
      <x:c r="E4" s="22" t="n">
        <x:f>COUNTA('GPT Test'!A2:A50)</x:f>
        <x:v>49</x:v>
      </x:c>
      <x:c r="F4" s="22" t="str">
        <x:v>PASS</x:v>
      </x:c>
    </x:row>
    <x:row r="5">
      <x:c r="A5" s="28" t="str">
        <x:v>Binary design</x:v>
      </x:c>
      <x:c r="B5" s="22" t="str">
        <x:v>Stage 1 extracts prior-practice, failure, and proposed-change evidence before returning a binary judgment.</x:v>
      </x:c>
      <x:c r="C5" s="22"/>
      <x:c r="D5" s="28" t="str">
        <x:v>Human Yes</x:v>
      </x:c>
      <x:c r="E5" s="22" t="n">
        <x:f>COUNTIF('GPT Test'!Q2:Q50,"Yes")</x:f>
        <x:v>39</x:v>
      </x:c>
      <x:c r="F5" s="22" t="str">
        <x:v>PASS</x:v>
      </x:c>
    </x:row>
    <x:row r="6">
      <x:c r="A6" s="28" t="str">
        <x:v>Target design</x:v>
      </x:c>
      <x:c r="B6" s="22" t="str">
        <x:v>Stage 2 assigns target and agency only after Stage 1 indicates a possible positive case.</x:v>
      </x:c>
      <x:c r="C6" s="22"/>
      <x:c r="D6" s="28" t="str">
        <x:v>Human No</x:v>
      </x:c>
      <x:c r="E6" s="22" t="n">
        <x:f>COUNTIF('GPT Test'!Q2:Q50,"No")</x:f>
        <x:v>10</x:v>
      </x:c>
      <x:c r="F6" s="22" t="str">
        <x:v>PASS</x:v>
      </x:c>
    </x:row>
    <x:row r="7">
      <x:c r="A7" s="28" t="str">
        <x:v>Codebook handling</x:v>
      </x:c>
      <x:c r="B7" s="22" t="str">
        <x:v>Codebook Original preserves the uploaded file verbatim. Codebook is the operational copy with retired objective language removed, obvious typos corrected, and explicit evidence/context rules added.</x:v>
      </x:c>
      <x:c r="C7" s="22"/>
      <x:c r="D7" s="28" t="str">
        <x:v>Stable Row IDs</x:v>
      </x:c>
      <x:c r="E7" s="22" t="n">
        <x:f>COUNTA('GPT Test'!A2:A50)</x:f>
        <x:v>49</x:v>
      </x:c>
      <x:c r="F7" s="22" t="str">
        <x:v>PASS</x:v>
      </x:c>
    </x:row>
    <x:row r="8">
      <x:c r="A8" s="28" t="str">
        <x:v>Adjudication</x:v>
      </x:c>
      <x:c r="B8" s="22" t="str">
        <x:v>Original labels are never overwritten. Final labels are used only when Review Decision = Final and a final label is supplied.</x:v>
      </x:c>
      <x:c r="C8" s="22"/>
      <x:c r="D8" s="28" t="str">
        <x:v>Blank source label IDs</x:v>
      </x:c>
      <x:c r="E8" s="22" t="n">
        <x:f>COUNTBLANK('GPT Test'!B2:B50)</x:f>
        <x:v>2</x:v>
      </x:c>
      <x:c r="F8" s="22" t="str">
        <x:v>Preserved; stable Row IDs added</x:v>
      </x:c>
    </x:row>
    <x:row r="9">
      <x:c r="A9" s="28" t="str">
        <x:v>Context</x:v>
      </x:c>
      <x:c r="B9" s="22" t="str">
        <x:v>The supplied workbook did not contain verified previous/next paragraphs. Context columns remain blank and Context Verified = No; the notebook will not fabricate adjacency.</x:v>
      </x:c>
      <x:c r="C9" s="22"/>
      <x:c r="D9" s="28" t="str">
        <x:v>Verified context rows</x:v>
      </x:c>
      <x:c r="E9" s="22" t="n">
        <x:f>COUNTIF('GPT Test'!M2:M50,"Yes")</x:f>
        <x:v>0</x:v>
      </x:c>
      <x:c r="F9" s="22" t="str">
        <x:v>Context intentionally not used</x:v>
      </x:c>
    </x:row>
    <x:row r="10">
      <x:c r="A10" s="28" t="str">
        <x:v>Text repairs</x:v>
      </x:c>
      <x:c r="B10" s="22" t="str">
        <x:v>Seven visibly truncated or footnote-contaminated target passages were restored from the previously verified local-context workbook. Labels were unchanged.</x:v>
      </x:c>
      <x:c r="C10" s="22"/>
      <x:c r="D10" s="28" t="str">
        <x:v>Source-text repairs</x:v>
      </x:c>
      <x:c r="E10" s="22" t="n">
        <x:f>COUNTIF('GPT Test'!N2:N50,"Source-verified restoration")</x:f>
        <x:v>7</x:v>
      </x:c>
      <x:c r="F10" s="22" t="str">
        <x:v>Verified against prior enriched workbook</x:v>
      </x:c>
    </x:row>
    <x:row r="11">
      <x:c r="A11" s="28" t="str">
        <x:v>Legacy comparison</x:v>
      </x:c>
      <x:c r="B11" s="22" t="str">
        <x:v>The 11 original legacy prompts map to 10 unique expanded rows because one expanded row represents two legacy prompts (14:4 and 14:12). Metrics therefore report the 10 unique legacy-linked rows, not a misleading 11-row count.</x:v>
      </x:c>
      <x:c r="C11" s="22"/>
      <x:c r="D11" s="28" t="str">
        <x:v>Legacy-linked unique rows</x:v>
      </x:c>
      <x:c r="E11" s="22" t="n">
        <x:f>COUNTIF('GPT Test'!D2:D50,"Legacy-linked")</x:f>
        <x:v>10</x:v>
      </x:c>
      <x:c r="F11" s="22" t="str">
        <x:v>Represents 11 original prompts</x:v>
      </x:c>
    </x:row>
    <x:row r="12">
      <x:c r="A12" s="28" t="str">
        <x:v>Output isolation</x:v>
      </x:c>
      <x:c r="B12" s="22" t="str">
        <x:v>The notebook hashes the workbook, codebook, prompts, schema, and model configuration; each run writes to its own directory and stale results are rejected.</x:v>
      </x:c>
      <x:c r="C12" s="22"/>
      <x:c r="D12" s="28"/>
      <x:c r="E12" s="22"/>
      <x:c r="F12" s="22"/>
    </x:row>
  </x:sheetData>
  <x:mergeCells>
    <x:mergeCell ref="A1:F1"/>
  </x:mergeCells>
  <x:pageMargins left="0.7" right="0.7" top="0.75" bottom="0.75" header="0.3" footer="0.3"/>
</x:worksheet>
</file>

<file path=xl/worksheets/sheet2.xml><?xml version="1.0" encoding="utf-8"?>
<x:worksheet xmlns:x="http://schemas.openxmlformats.org/spreadsheetml/2006/main">
  <x:sheetFormatPr defaultRowHeight="15"/>
  <x:cols>
    <x:col min="1" max="1" width="10" hidden="0" customWidth="1"/>
    <x:col min="2" max="2" width="20" hidden="0" customWidth="1"/>
    <x:col min="3" max="3" width="20" hidden="0" customWidth="1"/>
    <x:col min="4" max="4" width="18" hidden="0" customWidth="1"/>
    <x:col min="5" max="5" width="48" hidden="0" customWidth="1"/>
    <x:col min="6" max="6" width="40" hidden="0" customWidth="1"/>
    <x:col min="7" max="7" width="30" hidden="0" customWidth="1"/>
    <x:col min="8" max="8" width="10" hidden="0" customWidth="1"/>
    <x:col min="9" max="9" width="28" hidden="0" customWidth="1"/>
    <x:col min="10" max="10" width="14" hidden="0" customWidth="1"/>
    <x:col min="11" max="11" width="40" hidden="0" customWidth="1"/>
    <x:col min="12" max="12" width="40" hidden="0" customWidth="1"/>
    <x:col min="13" max="13" width="14" hidden="0" customWidth="1"/>
    <x:col min="14" max="14" width="24" hidden="0" customWidth="1"/>
    <x:col min="15" max="15" width="42" hidden="0" customWidth="1"/>
    <x:col min="16" max="16" width="34" hidden="0" customWidth="1"/>
    <x:col min="17" max="17" width="15" hidden="0" customWidth="1"/>
    <x:col min="18" max="18" width="22" hidden="0" customWidth="1"/>
    <x:col min="19" max="19" width="28" hidden="0" customWidth="1"/>
    <x:col min="20" max="20" width="42" hidden="0" customWidth="1"/>
  </x:cols>
  <x:sheetData>
    <x:row r="1">
      <x:c r="A1" s="14" t="str">
        <x:v>Row ID</x:v>
      </x:c>
      <x:c r="B1" s="14" t="str">
        <x:v>Source Label ID</x:v>
      </x:c>
      <x:c r="C1" s="14" t="str">
        <x:v>Legacy Original IDs</x:v>
      </x:c>
      <x:c r="D1" s="14" t="str">
        <x:v>Legacy Link Type</x:v>
      </x:c>
      <x:c r="E1" s="14" t="str">
        <x:v>Text Content</x:v>
      </x:c>
      <x:c r="F1" s="14" t="str">
        <x:v>Document Title</x:v>
      </x:c>
      <x:c r="G1" s="14" t="str">
        <x:v>Source File</x:v>
      </x:c>
      <x:c r="H1" s="14" t="str">
        <x:v>PDF Page</x:v>
      </x:c>
      <x:c r="I1" s="14" t="str">
        <x:v>Section Heading</x:v>
      </x:c>
      <x:c r="J1" s="14" t="str">
        <x:v>Paragraph Order</x:v>
      </x:c>
      <x:c r="K1" s="14" t="str">
        <x:v>Previous Paragraph</x:v>
      </x:c>
      <x:c r="L1" s="14" t="str">
        <x:v>Next Paragraph</x:v>
      </x:c>
      <x:c r="M1" s="14" t="str">
        <x:v>Context Verified</x:v>
      </x:c>
      <x:c r="N1" s="14" t="str">
        <x:v>Text Quality Status</x:v>
      </x:c>
      <x:c r="O1" s="14" t="str">
        <x:v>Text Verification Note</x:v>
      </x:c>
      <x:c r="P1" s="14" t="str">
        <x:v>Codes</x:v>
      </x:c>
      <x:c r="Q1" s="14" t="str">
        <x:v>Original Unlearning</x:v>
      </x:c>
      <x:c r="R1" s="14" t="str">
        <x:v>Original Target</x:v>
      </x:c>
      <x:c r="S1" s="14" t="str">
        <x:v>Original Government Agency</x:v>
      </x:c>
      <x:c r="T1" s="14" t="str">
        <x:v>Original Rationale</x:v>
      </x:c>
    </x:row>
    <x:row r="2">
      <x:c r="A2" s="32" t="str">
        <x:v>P001</x:v>
      </x:c>
      <x:c r="B2" s="32" t="str">
        <x:v>ICA25:1:1</x:v>
      </x:c>
      <x:c r="C2" s="32"/>
      <x:c r="D2" s="32" t="str">
        <x:v>Expanded-only row</x:v>
      </x:c>
      <x:c r="E2" s="22" t="str">
        <x:v>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x:v>
      </x:c>
      <x:c r="F2" s="22" t="str">
        <x:v>Lessons Learned: EPA’s Response to Hurricane Katrina</x:v>
      </x:c>
      <x:c r="G2" s="22" t="str">
        <x:v>EPA 20060914-2006-p-00033.pdf</x:v>
      </x:c>
      <x:c r="H2" s="22"/>
      <x:c r="I2" s="22"/>
      <x:c r="J2" s="22"/>
      <x:c r="K2" s="22"/>
      <x:c r="L2" s="22"/>
      <x:c r="M2" s="22" t="str">
        <x:v>No</x:v>
      </x:c>
      <x:c r="N2" s="22" t="str">
        <x:v>Supplied text retained</x:v>
      </x:c>
      <x:c r="O2" s="22" t="str">
        <x:v>Text copied from the uploaded 49-row workbook without semantic editing.</x:v>
      </x:c>
      <x:c r="P2" s="22" t="str">
        <x:v>Unlearning: No</x:v>
      </x:c>
      <x:c r="Q2" s="22" t="str">
        <x:v>No</x:v>
      </x:c>
      <x:c r="R2" s="22"/>
      <x:c r="S2" s="22"/>
      <x:c r="T2" s="22" t="str">
        <x:v>Not unlearning. As no logic being abandoned.</x:v>
      </x:c>
    </x:row>
    <x:row r="3">
      <x:c r="A3" s="32" t="str">
        <x:v>P002</x:v>
      </x:c>
      <x:c r="B3" s="32" t="str">
        <x:v>ICA25:1:2</x:v>
      </x:c>
      <x:c r="C3" s="32"/>
      <x:c r="D3" s="32" t="str">
        <x:v>Expanded-only row</x:v>
      </x:c>
      <x:c r="E3" s="22" t="str">
        <x:v>EPA officials told us that, in some instances, coordination could be improved for future disaster responses. Areas where coordination could be improved occurred with respect to both the drinking water and wastewater responses.
Drinking Water Response 
EPA regional officials and USACE district officials informed us of coordination problems between the EPA and USACE at the beginning of the response.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x:v>
      </x:c>
      <x:c r="F3" s="22" t="str">
        <x:v>Lessons Learned: EPA’s Response to Hurricane Katrina</x:v>
      </x:c>
      <x:c r="G3" s="22" t="str">
        <x:v>EPA 20060914-2006-p-00033.pdf</x:v>
      </x:c>
      <x:c r="H3" s="22"/>
      <x:c r="I3" s="22"/>
      <x:c r="J3" s="22"/>
      <x:c r="K3" s="22"/>
      <x:c r="L3" s="22"/>
      <x:c r="M3" s="22" t="str">
        <x:v>No</x:v>
      </x:c>
      <x:c r="N3" s="22" t="str">
        <x:v>Supplied text retained</x:v>
      </x:c>
      <x:c r="O3" s="22" t="str">
        <x:v>Text copied from the uploaded 49-row workbook without semantic editing.</x:v>
      </x:c>
      <x:c r="P3" s="22" t="str">
        <x:v>Unlearning: No</x:v>
      </x:c>
      <x:c r="Q3" s="22" t="str">
        <x:v>No</x:v>
      </x:c>
      <x:c r="R3" s="22"/>
      <x:c r="S3" s="22"/>
      <x:c r="T3" s="22" t="str">
        <x:v>Not unlearning. As no logic being abandoned just better cooordination.</x:v>
      </x:c>
    </x:row>
    <x:row r="4">
      <x:c r="A4" s="32" t="str">
        <x:v>P003</x:v>
      </x:c>
      <x:c r="B4" s="32" t="str">
        <x:v>ICA25:1:3</x:v>
      </x:c>
      <x:c r="C4" s="32"/>
      <x:c r="D4" s="32" t="str">
        <x:v>Expanded-only row</x:v>
      </x:c>
      <x:c r="E4" s="22" t="str">
        <x:v>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x:v>
      </x:c>
      <x:c r="F4" s="22" t="str">
        <x:v>Lessons Learned: EPA’s Response to Hurricane Katrina</x:v>
      </x:c>
      <x:c r="G4" s="22" t="str">
        <x:v>EPA 20060914-2006-p-00033.pdf</x:v>
      </x:c>
      <x:c r="H4" s="22"/>
      <x:c r="I4" s="22"/>
      <x:c r="J4" s="22"/>
      <x:c r="K4" s="22"/>
      <x:c r="L4" s="22"/>
      <x:c r="M4" s="22" t="str">
        <x:v>No</x:v>
      </x:c>
      <x:c r="N4" s="22" t="str">
        <x:v>Supplied text retained</x:v>
      </x:c>
      <x:c r="O4" s="22" t="str">
        <x:v>Text copied from the uploaded 49-row workbook without semantic editing.</x:v>
      </x:c>
      <x:c r="P4" s="22" t="str">
        <x:v>Unlearning: Yes | Government Agency: EPA</x:v>
      </x:c>
      <x:c r="Q4" s="22" t="str">
        <x:v>Yes</x:v>
      </x:c>
      <x:c r="R4" s="22"/>
      <x:c r="S4" s="22" t="str">
        <x:v>EPA</x:v>
      </x:c>
      <x:c r="T4" s="22" t="str">
        <x:v>Unlearning as it states EPA was not commuunicating. Implies change in EPA communication.</x:v>
      </x:c>
    </x:row>
    <x:row r="5">
      <x:c r="A5" s="32" t="str">
        <x:v>P004</x:v>
      </x:c>
      <x:c r="B5" s="32" t="str">
        <x:v>ICA25:1:4</x:v>
      </x:c>
      <x:c r="C5" s="32"/>
      <x:c r="D5" s="32" t="str">
        <x:v>Expanded-only row</x:v>
      </x:c>
      <x:c r="E5" s="22" t="str">
        <x:v>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x:v>
      </x:c>
      <x:c r="F5" s="22" t="str">
        <x:v>Lessons Learned: EPA’s Response to Hurricane Katrina</x:v>
      </x:c>
      <x:c r="G5" s="22" t="str">
        <x:v>EPA 20060914-2006-p-00033.pdf</x:v>
      </x:c>
      <x:c r="H5" s="22"/>
      <x:c r="I5" s="22"/>
      <x:c r="J5" s="22"/>
      <x:c r="K5" s="22"/>
      <x:c r="L5" s="22"/>
      <x:c r="M5" s="22" t="str">
        <x:v>No</x:v>
      </x:c>
      <x:c r="N5" s="22" t="str">
        <x:v>Supplied text retained</x:v>
      </x:c>
      <x:c r="O5" s="22" t="str">
        <x:v>Text copied from the uploaded 49-row workbook without semantic editing.</x:v>
      </x:c>
      <x:c r="P5" s="22" t="str">
        <x:v>Unlearning: Yes | Government Agency: EPA</x:v>
      </x:c>
      <x:c r="Q5" s="22" t="str">
        <x:v>Yes</x:v>
      </x:c>
      <x:c r="R5" s="22"/>
      <x:c r="S5" s="22" t="str">
        <x:v>EPA</x:v>
      </x:c>
      <x:c r="T5" s="22" t="str">
        <x:v>Unlearning as it focuses on establishing teams, defining responsiliblites.</x:v>
      </x:c>
    </x:row>
    <x:row r="6">
      <x:c r="A6" s="32" t="str">
        <x:v>P005</x:v>
      </x:c>
      <x:c r="B6" s="32" t="str">
        <x:v>ICA25:1:5</x:v>
      </x:c>
      <x:c r="C6" s="32"/>
      <x:c r="D6" s="32" t="str">
        <x:v>Expanded-only row</x:v>
      </x:c>
      <x:c r="E6" s="22" t="str">
        <x:v>EPA regional officials concurred that tremendous communication issues existed following Hurricane Katrina. Both Regions 4 and 6 indicated they have taken a number of steps to improve communication during future disasters, including upgrading the current telecommunications equipment, planning to deploy additional staff during the next disaster, and reevaluating current communication standard operating procedures.</x:v>
      </x:c>
      <x:c r="F6" s="22" t="str">
        <x:v>Lessons Learned: EPA’s Response to Hurricane Katrina</x:v>
      </x:c>
      <x:c r="G6" s="22" t="str">
        <x:v>EPA 20060914-2006-p-00033.pdf</x:v>
      </x:c>
      <x:c r="H6" s="22"/>
      <x:c r="I6" s="22"/>
      <x:c r="J6" s="22"/>
      <x:c r="K6" s="22"/>
      <x:c r="L6" s="22"/>
      <x:c r="M6" s="22" t="str">
        <x:v>No</x:v>
      </x:c>
      <x:c r="N6" s="22" t="str">
        <x:v>Source-verified restoration</x:v>
      </x:c>
      <x:c r="O6" s="22" t="str">
        <x:v>The supplied target text was visibly truncated or footnote-contaminated. It was restored from the previously verified local-context workbook; labels were not changed.</x:v>
      </x:c>
      <x:c r="P6" s="22" t="str">
        <x:v>Unlearning: Yes | Government Agency: EPA</x:v>
      </x:c>
      <x:c r="Q6" s="22" t="str">
        <x:v>Yes</x:v>
      </x:c>
      <x:c r="R6" s="22"/>
      <x:c r="S6" s="22" t="str">
        <x:v>EPA</x:v>
      </x:c>
      <x:c r="T6" s="22" t="str">
        <x:v>Unlearning as they intend to "reevaluate" current communication procudures.</x:v>
      </x:c>
    </x:row>
    <x:row r="7">
      <x:c r="A7" s="32" t="str">
        <x:v>P006</x:v>
      </x:c>
      <x:c r="B7" s="32" t="str">
        <x:v>ICA25:1:6</x:v>
      </x:c>
      <x:c r="C7" s="32"/>
      <x:c r="D7" s="32" t="str">
        <x:v>Expanded-only row</x:v>
      </x:c>
      <x:c r="E7" s="22" t="str">
        <x:v>This memorandum addresses the fifth and final question of our drinking water evaluation – whether EPA followed its emergency response protocols, including those lessons learned from the World Trade Center collapse and its responsibilities as delineated in the National Response Plan (NRP), in responding to the Katrina disaster. Although this objective was not included in the scope of our other Katrina-related evaluations, this report includes relevant observations from those evaluations regarding our objective. In addition, this report presents lessons learned identified from all three Katrina-related evaluations.</x:v>
      </x:c>
      <x:c r="F7" s="22" t="str">
        <x:v>Lessons Learned: EPA’s Response to Hurricane Katrina</x:v>
      </x:c>
      <x:c r="G7" s="22" t="str">
        <x:v>EPA 20060914-2006-p-00033.pdf</x:v>
      </x:c>
      <x:c r="H7" s="22"/>
      <x:c r="I7" s="22"/>
      <x:c r="J7" s="22"/>
      <x:c r="K7" s="22"/>
      <x:c r="L7" s="22"/>
      <x:c r="M7" s="22" t="str">
        <x:v>No</x:v>
      </x:c>
      <x:c r="N7" s="22" t="str">
        <x:v>Source-verified restoration</x:v>
      </x:c>
      <x:c r="O7" s="22" t="str">
        <x:v>The supplied target text was visibly truncated or footnote-contaminated. It was restored from the previously verified local-context workbook; labels were not changed.</x:v>
      </x:c>
      <x:c r="P7" s="22" t="str">
        <x:v>Unlearning: Yes</x:v>
      </x:c>
      <x:c r="Q7" s="22" t="str">
        <x:v>Yes</x:v>
      </x:c>
      <x:c r="R7" s="22"/>
      <x:c r="S7" s="22"/>
      <x:c r="T7" s="22" t="str">
        <x:v>References WTC. From past.</x:v>
      </x:c>
    </x:row>
    <x:row r="8">
      <x:c r="A8" s="32" t="str">
        <x:v>P007</x:v>
      </x:c>
      <x:c r="B8" s="32" t="str">
        <x:v>ICA25:1:9</x:v>
      </x:c>
      <x:c r="C8" s="32"/>
      <x:c r="D8" s="32" t="str">
        <x:v>Expanded-only row</x:v>
      </x:c>
      <x:c r="E8" s="22" t="str">
        <x:v>Regional officials told us that the primary reasons the response to restoring drinking water supplies worked well were the good working relationships and collaborative planning between the State agencies and EPA regions prior to Hurricane Katrina. As a result of this planning, EPA staff were deployed to the impacted areas during the early stages of the hurricane response. This deployment included staff from other EPA regions who volunteered to assist State drinking water programs. 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x:v>
      </x:c>
      <x:c r="F8" s="22" t="str">
        <x:v>Lessons Learned: EPA’s Response to Hurricane Katrina</x:v>
      </x:c>
      <x:c r="G8" s="22" t="str">
        <x:v>EPA 20060914-2006-p-00033.pdf</x:v>
      </x:c>
      <x:c r="H8" s="22"/>
      <x:c r="I8" s="22"/>
      <x:c r="J8" s="22"/>
      <x:c r="K8" s="22"/>
      <x:c r="L8" s="22"/>
      <x:c r="M8" s="22" t="str">
        <x:v>No</x:v>
      </x:c>
      <x:c r="N8" s="22" t="str">
        <x:v>Source-verified restoration</x:v>
      </x:c>
      <x:c r="O8" s="22" t="str">
        <x:v>The supplied target text was visibly truncated or footnote-contaminated. It was restored from the previously verified local-context workbook; labels were not changed.</x:v>
      </x:c>
      <x:c r="P8" s="22" t="str">
        <x:v>Unlearning: No</x:v>
      </x:c>
      <x:c r="Q8" s="22" t="str">
        <x:v>No</x:v>
      </x:c>
      <x:c r="R8" s="22"/>
      <x:c r="S8" s="22"/>
      <x:c r="T8" s="22" t="str">
        <x:v>not unlearning</x:v>
      </x:c>
    </x:row>
    <x:row r="9">
      <x:c r="A9" s="32" t="str">
        <x:v>P008</x:v>
      </x:c>
      <x:c r="B9" s="32" t="str">
        <x:v>ICA25:1:10</x:v>
      </x:c>
      <x:c r="C9" s="32"/>
      <x:c r="D9" s="32" t="str">
        <x:v>Expanded-only row</x:v>
      </x:c>
      <x:c r="E9" s="22" t="str">
        <x:v>Coordination within EPA, as well as EPA’s coordination with State and local officials and the USACE, could have been better. In some instances, coordination problems resulted in duplicative work being completed by EPA and Louisiana officials.</x:v>
      </x:c>
      <x:c r="F9" s="22" t="str">
        <x:v>Lessons Learned: EPA’s Response to Hurricane Katrina</x:v>
      </x:c>
      <x:c r="G9" s="22" t="str">
        <x:v>EPA 20060914-2006-p-00033.pdf</x:v>
      </x:c>
      <x:c r="H9" s="22"/>
      <x:c r="I9" s="22"/>
      <x:c r="J9" s="22"/>
      <x:c r="K9" s="22"/>
      <x:c r="L9" s="22"/>
      <x:c r="M9" s="22" t="str">
        <x:v>No</x:v>
      </x:c>
      <x:c r="N9" s="22" t="str">
        <x:v>Supplied text retained</x:v>
      </x:c>
      <x:c r="O9" s="22" t="str">
        <x:v>Text copied from the uploaded 49-row workbook without semantic editing.</x:v>
      </x:c>
      <x:c r="P9" s="22" t="str">
        <x:v>Unlearning: Yes | Government Agency: EPA | Government Agency: EPA region 6 | Government Agency: USACE</x:v>
      </x:c>
      <x:c r="Q9" s="22" t="str">
        <x:v>Yes</x:v>
      </x:c>
      <x:c r="R9" s="22"/>
      <x:c r="S9" s="22" t="str">
        <x:v>EPA; EPA region 6; USACE</x:v>
      </x:c>
      <x:c r="T9" s="22" t="str">
        <x:v>Coordination needs to be better.</x:v>
      </x:c>
    </x:row>
    <x:row r="10">
      <x:c r="A10" s="32" t="str">
        <x:v>P009</x:v>
      </x:c>
      <x:c r="B10" s="32" t="str">
        <x:v>ICA25:1:11</x:v>
      </x:c>
      <x:c r="C10" s="32"/>
      <x:c r="D10" s="32" t="str">
        <x:v>Expanded-only row</x:v>
      </x:c>
      <x:c r="E10" s="22" t="str">
        <x:v>•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x:v>
      </x:c>
      <x:c r="F10" s="22" t="str">
        <x:v>Lessons Learned: EPA’s Response to Hurricane Katrina</x:v>
      </x:c>
      <x:c r="G10" s="22" t="str">
        <x:v>EPA 20060914-2006-p-00033.pdf</x:v>
      </x:c>
      <x:c r="H10" s="22"/>
      <x:c r="I10" s="22"/>
      <x:c r="J10" s="22"/>
      <x:c r="K10" s="22"/>
      <x:c r="L10" s="22"/>
      <x:c r="M10" s="22" t="str">
        <x:v>No</x:v>
      </x:c>
      <x:c r="N10" s="22" t="str">
        <x:v>Source-verified restoration</x:v>
      </x:c>
      <x:c r="O10" s="22" t="str">
        <x:v>The supplied target text was visibly truncated or footnote-contaminated. It was restored from the previously verified local-context workbook; labels were not changed.</x:v>
      </x:c>
      <x:c r="P10" s="22" t="str">
        <x:v>Unlearning: Yes | Government Agency: EPA</x:v>
      </x:c>
      <x:c r="Q10" s="22" t="str">
        <x:v>Yes</x:v>
      </x:c>
      <x:c r="R10" s="22"/>
      <x:c r="S10" s="22" t="str">
        <x:v>EPA</x:v>
      </x:c>
      <x:c r="T10" s="22" t="str">
        <x:v>Corrrecting flawed approach fro water trasnp[ort.</x:v>
      </x:c>
    </x:row>
    <x:row r="11">
      <x:c r="A11" s="32" t="str">
        <x:v>P010</x:v>
      </x:c>
      <x:c r="B11" s="32" t="str">
        <x:v>ICA25:1:12</x:v>
      </x:c>
      <x:c r="C11" s="32"/>
      <x:c r="D11" s="32" t="str">
        <x:v>Expanded-only row</x:v>
      </x:c>
      <x:c r="E11" s="22" t="str">
        <x:v>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x:v>
      </x:c>
      <x:c r="F11" s="22" t="str">
        <x:v>Lessons Learned: EPA’s Response to Hurricane Katrina</x:v>
      </x:c>
      <x:c r="G11" s="22" t="str">
        <x:v>EPA 20060914-2006-p-00033.pdf</x:v>
      </x:c>
      <x:c r="H11" s="22"/>
      <x:c r="I11" s="22"/>
      <x:c r="J11" s="22"/>
      <x:c r="K11" s="22"/>
      <x:c r="L11" s="22"/>
      <x:c r="M11" s="22" t="str">
        <x:v>No</x:v>
      </x:c>
      <x:c r="N11" s="22" t="str">
        <x:v>Supplied text retained</x:v>
      </x:c>
      <x:c r="O11" s="22" t="str">
        <x:v>Text copied from the uploaded 49-row workbook without semantic editing.</x:v>
      </x:c>
      <x:c r="P11" s="22" t="str">
        <x:v>Unlearning: Yes | Government Agency: USACE</x:v>
      </x:c>
      <x:c r="Q11" s="22" t="str">
        <x:v>Yes</x:v>
      </x:c>
      <x:c r="R11" s="22"/>
      <x:c r="S11" s="22" t="str">
        <x:v>USACE</x:v>
      </x:c>
      <x:c r="T11" s="22" t="str">
        <x:v>These agencies didnt understand each others protocols.</x:v>
      </x:c>
    </x:row>
    <x:row r="12">
      <x:c r="A12" s="32" t="str">
        <x:v>P011</x:v>
      </x:c>
      <x:c r="B12" s="32" t="str">
        <x:v>ICA25:1:13</x:v>
      </x:c>
      <x:c r="C12" s="32"/>
      <x:c r="D12" s="32" t="str">
        <x:v>Expanded-only row</x:v>
      </x:c>
      <x:c r="E12" s="22" t="str">
        <x:v>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x:v>
      </x:c>
      <x:c r="F12" s="22" t="str">
        <x:v>Lessons Learned: EPA’s Response to Hurricane Katrina</x:v>
      </x:c>
      <x:c r="G12" s="22" t="str">
        <x:v>EPA 20060914-2006-p-00033.pdf</x:v>
      </x:c>
      <x:c r="H12" s="22"/>
      <x:c r="I12" s="22"/>
      <x:c r="J12" s="22"/>
      <x:c r="K12" s="22"/>
      <x:c r="L12" s="22"/>
      <x:c r="M12" s="22" t="str">
        <x:v>No</x:v>
      </x:c>
      <x:c r="N12" s="22" t="str">
        <x:v>Source-verified restoration</x:v>
      </x:c>
      <x:c r="O12" s="22" t="str">
        <x:v>The supplied target text was visibly truncated or footnote-contaminated. It was restored from the previously verified local-context workbook; labels were not changed.</x:v>
      </x:c>
      <x:c r="P12" s="22" t="str">
        <x:v>Unlearning: Yes</x:v>
      </x:c>
      <x:c r="Q12" s="22" t="str">
        <x:v>Yes</x:v>
      </x:c>
      <x:c r="R12" s="22"/>
      <x:c r="S12" s="22"/>
      <x:c r="T12" s="22"/>
    </x:row>
    <x:row r="13">
      <x:c r="A13" s="32" t="str">
        <x:v>P012</x:v>
      </x:c>
      <x:c r="B13" s="32" t="str">
        <x:v>ICA25:1:14</x:v>
      </x:c>
      <x:c r="C13" s="32"/>
      <x:c r="D13" s="32" t="str">
        <x:v>Expanded-only row</x:v>
      </x:c>
      <x:c r="E13" s="22" t="str">
        <x:v>.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x:v>
      </x:c>
      <x:c r="F13" s="22" t="str">
        <x:v>Lessons Learned: EPA’s Response to Hurricane Katrina</x:v>
      </x:c>
      <x:c r="G13" s="22" t="str">
        <x:v>EPA 20060914-2006-p-00033.pdf</x:v>
      </x:c>
      <x:c r="H13" s="22"/>
      <x:c r="I13" s="22"/>
      <x:c r="J13" s="22"/>
      <x:c r="K13" s="22"/>
      <x:c r="L13" s="22"/>
      <x:c r="M13" s="22" t="str">
        <x:v>No</x:v>
      </x:c>
      <x:c r="N13" s="22" t="str">
        <x:v>Source-verified restoration</x:v>
      </x:c>
      <x:c r="O13" s="22" t="str">
        <x:v>The supplied target text was visibly truncated or footnote-contaminated. It was restored from the previously verified local-context workbook; labels were not changed.</x:v>
      </x:c>
      <x:c r="P13" s="22" t="str">
        <x:v>Unlearning: Yes | Government Agency: ESF Units | Government Agency: Support Annexes</x:v>
      </x:c>
      <x:c r="Q13" s="22" t="str">
        <x:v>Yes</x:v>
      </x:c>
      <x:c r="R13" s="22"/>
      <x:c r="S13" s="22" t="str">
        <x:v>ESF Units; Support Annexes</x:v>
      </x:c>
      <x:c r="T13" s="22"/>
    </x:row>
    <x:row r="14">
      <x:c r="A14" s="32" t="str">
        <x:v>P013</x:v>
      </x:c>
      <x:c r="B14" s="32" t="str">
        <x:v>ICA25:1:15</x:v>
      </x:c>
      <x:c r="C14" s="32"/>
      <x:c r="D14" s="32" t="str">
        <x:v>Expanded-only row</x:v>
      </x:c>
      <x:c r="E14" s="22" t="str">
        <x:v>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x:v>
      </x:c>
      <x:c r="F14" s="22" t="str">
        <x:v>Lessons Learned: EPA’s Response to Hurricane Katrina</x:v>
      </x:c>
      <x:c r="G14" s="22" t="str">
        <x:v>EPA 20060914-2006-p-00033.pdf</x:v>
      </x:c>
      <x:c r="H14" s="22"/>
      <x:c r="I14" s="22"/>
      <x:c r="J14" s="22"/>
      <x:c r="K14" s="22"/>
      <x:c r="L14" s="22"/>
      <x:c r="M14" s="22" t="str">
        <x:v>No</x:v>
      </x:c>
      <x:c r="N14" s="22" t="str">
        <x:v>Supplied text retained</x:v>
      </x:c>
      <x:c r="O14" s="22" t="str">
        <x:v>Text copied from the uploaded 49-row workbook without semantic editing.</x:v>
      </x:c>
      <x:c r="P14" s="22" t="str">
        <x:v>Unlearning: Yes | Government Agency: EPA | Government Agency: USACE</x:v>
      </x:c>
      <x:c r="Q14" s="22" t="str">
        <x:v>Yes</x:v>
      </x:c>
      <x:c r="R14" s="22"/>
      <x:c r="S14" s="22" t="str">
        <x:v>EPA; USACE</x:v>
      </x:c>
      <x:c r="T14" s="22"/>
    </x:row>
    <x:row r="15">
      <x:c r="A15" s="32" t="str">
        <x:v>P014</x:v>
      </x:c>
      <x:c r="B15" s="32" t="str">
        <x:v>ICA25:1:16</x:v>
      </x:c>
      <x:c r="C15" s="32"/>
      <x:c r="D15" s="32" t="str">
        <x:v>Expanded-only row</x:v>
      </x:c>
      <x:c r="E15" s="22" t="str">
        <x:v>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x:v>
      </x:c>
      <x:c r="F15" s="22" t="str">
        <x:v>Lessons Learned: EPA’s Response to Hurricane Katrina</x:v>
      </x:c>
      <x:c r="G15" s="22" t="str">
        <x:v>EPA 20060914-2006-p-00033.pdf</x:v>
      </x:c>
      <x:c r="H15" s="22"/>
      <x:c r="I15" s="22"/>
      <x:c r="J15" s="22"/>
      <x:c r="K15" s="22"/>
      <x:c r="L15" s="22"/>
      <x:c r="M15" s="22" t="str">
        <x:v>No</x:v>
      </x:c>
      <x:c r="N15" s="22" t="str">
        <x:v>Supplied text retained</x:v>
      </x:c>
      <x:c r="O15" s="22" t="str">
        <x:v>Text copied from the uploaded 49-row workbook without semantic editing.</x:v>
      </x:c>
      <x:c r="P15" s="22" t="str">
        <x:v>Unlearning: Yes | Government Agency: EPA region 6</x:v>
      </x:c>
      <x:c r="Q15" s="22" t="str">
        <x:v>Yes</x:v>
      </x:c>
      <x:c r="R15" s="22"/>
      <x:c r="S15" s="22" t="str">
        <x:v>EPA region 6</x:v>
      </x:c>
      <x:c r="T15" s="22"/>
    </x:row>
    <x:row r="16">
      <x:c r="A16" s="32" t="str">
        <x:v>P015</x:v>
      </x:c>
      <x:c r="B16" s="32" t="str">
        <x:v>ICA25:1:17</x:v>
      </x:c>
      <x:c r="C16" s="32"/>
      <x:c r="D16" s="32" t="str">
        <x:v>Expanded-only row</x:v>
      </x:c>
      <x:c r="E16" s="22" t="str">
        <x:v>Region 6 officials said they have established a senior liaison position between Region 6 and Louisiana, defined roles and responsibilities between EPA and the States, and developed a DVD that addresses emergency response activities.</x:v>
      </x:c>
      <x:c r="F16" s="22" t="str">
        <x:v>Lessons Learned: EPA’s Response to Hurricane Katrina</x:v>
      </x:c>
      <x:c r="G16" s="22" t="str">
        <x:v>EPA 20060914-2006-p-00033.pdf</x:v>
      </x:c>
      <x:c r="H16" s="22"/>
      <x:c r="I16" s="22"/>
      <x:c r="J16" s="22"/>
      <x:c r="K16" s="22"/>
      <x:c r="L16" s="22"/>
      <x:c r="M16" s="22" t="str">
        <x:v>No</x:v>
      </x:c>
      <x:c r="N16" s="22" t="str">
        <x:v>Supplied text retained</x:v>
      </x:c>
      <x:c r="O16" s="22" t="str">
        <x:v>Text copied from the uploaded 49-row workbook without semantic editing.</x:v>
      </x:c>
      <x:c r="P16" s="22" t="str">
        <x:v>Unlearning: Yes | Government Agency: EPA region 6 | Government Agency: Louisiana</x:v>
      </x:c>
      <x:c r="Q16" s="22" t="str">
        <x:v>Yes</x:v>
      </x:c>
      <x:c r="R16" s="22"/>
      <x:c r="S16" s="22" t="str">
        <x:v>EPA region 6; Louisiana</x:v>
      </x:c>
      <x:c r="T16" s="22"/>
    </x:row>
    <x:row r="17">
      <x:c r="A17" s="32" t="str">
        <x:v>P016</x:v>
      </x:c>
      <x:c r="B17" s="32" t="str">
        <x:v>ICA25:1:18</x:v>
      </x:c>
      <x:c r="C17" s="32"/>
      <x:c r="D17" s="32" t="str">
        <x:v>Expanded-only row</x:v>
      </x:c>
      <x:c r="E17" s="22" t="str">
        <x:v>During emergencies such as Hurricane Katrina, there is an immediate need for decision makers at various levels of government to have reliable water quality data. One of the databases used by EPA to store floodwater data is the SCRIBE database.2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x:v>
      </x:c>
      <x:c r="F17" s="22" t="str">
        <x:v>Lessons Learned: EPA’s Response to Hurricane Katrina</x:v>
      </x:c>
      <x:c r="G17" s="22" t="str">
        <x:v>EPA 20060914-2006-p-00033.pdf</x:v>
      </x:c>
      <x:c r="H17" s="22"/>
      <x:c r="I17" s="22"/>
      <x:c r="J17" s="22"/>
      <x:c r="K17" s="22"/>
      <x:c r="L17" s="22"/>
      <x:c r="M17" s="22" t="str">
        <x:v>No</x:v>
      </x:c>
      <x:c r="N17" s="22" t="str">
        <x:v>Supplied text retained</x:v>
      </x:c>
      <x:c r="O17" s="22" t="str">
        <x:v>Text copied from the uploaded 49-row workbook without semantic editing.</x:v>
      </x:c>
      <x:c r="P17" s="22" t="str">
        <x:v>Unlearning: Yes | Government Agency: EPA region 6 | Government Agency: Louisiana</x:v>
      </x:c>
      <x:c r="Q17" s="22" t="str">
        <x:v>Yes</x:v>
      </x:c>
      <x:c r="R17" s="22"/>
      <x:c r="S17" s="22" t="str">
        <x:v>EPA region 6; Louisiana</x:v>
      </x:c>
      <x:c r="T17" s="22"/>
    </x:row>
    <x:row r="18">
      <x:c r="A18" s="32" t="str">
        <x:v>P017</x:v>
      </x:c>
      <x:c r="B18" s="32" t="str">
        <x:v>ICA25:1:19</x:v>
      </x:c>
      <x:c r="C18" s="32"/>
      <x:c r="D18" s="32" t="str">
        <x:v>Expanded-only row</x:v>
      </x:c>
      <x:c r="E18" s="22" t="str">
        <x:v>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x:v>
      </x:c>
      <x:c r="F18" s="22" t="str">
        <x:v>Lessons Learned: EPA’s Response to Hurricane Katrina</x:v>
      </x:c>
      <x:c r="G18" s="22" t="str">
        <x:v>EPA 20060914-2006-p-00033.pdf</x:v>
      </x:c>
      <x:c r="H18" s="22"/>
      <x:c r="I18" s="22"/>
      <x:c r="J18" s="22"/>
      <x:c r="K18" s="22"/>
      <x:c r="L18" s="22"/>
      <x:c r="M18" s="22" t="str">
        <x:v>No</x:v>
      </x:c>
      <x:c r="N18" s="22" t="str">
        <x:v>Supplied text retained</x:v>
      </x:c>
      <x:c r="O18" s="22" t="str">
        <x:v>Text copied from the uploaded 49-row workbook without semantic editing.</x:v>
      </x:c>
      <x:c r="P18" s="22" t="str">
        <x:v>Unlearning: Yes | Government Agency: EPA | Government Agency: ESF-3 agencies | Government Agency: USACE</x:v>
      </x:c>
      <x:c r="Q18" s="22" t="str">
        <x:v>Yes</x:v>
      </x:c>
      <x:c r="R18" s="22"/>
      <x:c r="S18" s="22" t="str">
        <x:v>EPA; ESF-3 agencies; USACE</x:v>
      </x:c>
      <x:c r="T18" s="22"/>
    </x:row>
    <x:row r="19">
      <x:c r="A19" s="32" t="str">
        <x:v>P018</x:v>
      </x:c>
      <x:c r="B19" s="32" t="str">
        <x:v>ICA25:1:20</x:v>
      </x:c>
      <x:c r="C19" s="32"/>
      <x:c r="D19" s="32" t="str">
        <x:v>Expanded-only row</x:v>
      </x:c>
      <x:c r="E19" s="22" t="str">
        <x:v>EPA provided its sample results to ATSDR for evaluation and notification to the public.
ATSDR concluded that short- and long-term exposures to sediments in the oil spill area do not pose a public health hazard. However, ATSDR recommended that returning residents should avoid direct contact with the oil contaminated sediments, as they may cause skin irritation</x:v>
      </x:c>
      <x:c r="F19" s="22" t="str">
        <x:v>Lessons Learned: EPA’s Response to Hurricane Katrina</x:v>
      </x:c>
      <x:c r="G19" s="22" t="str">
        <x:v>EPA 20060914-2006-p-00033.pdf</x:v>
      </x:c>
      <x:c r="H19" s="22"/>
      <x:c r="I19" s="22"/>
      <x:c r="J19" s="22"/>
      <x:c r="K19" s="22"/>
      <x:c r="L19" s="22"/>
      <x:c r="M19" s="22" t="str">
        <x:v>No</x:v>
      </x:c>
      <x:c r="N19" s="22" t="str">
        <x:v>Supplied text retained</x:v>
      </x:c>
      <x:c r="O19" s="22" t="str">
        <x:v>Text copied from the uploaded 49-row workbook without semantic editing.</x:v>
      </x:c>
      <x:c r="P19" s="22" t="str">
        <x:v>Unlearning: Yes</x:v>
      </x:c>
      <x:c r="Q19" s="22" t="str">
        <x:v>Yes</x:v>
      </x:c>
      <x:c r="R19" s="22"/>
      <x:c r="S19" s="22"/>
      <x:c r="T19" s="22"/>
    </x:row>
    <x:row r="20">
      <x:c r="A20" s="32" t="str">
        <x:v>P019</x:v>
      </x:c>
      <x:c r="B20" s="32" t="str">
        <x:v>ICA25:1:21</x:v>
      </x:c>
      <x:c r="C20" s="32"/>
      <x:c r="D20" s="32" t="str">
        <x:v>Expanded-only row</x:v>
      </x:c>
      <x:c r="E20" s="22" t="str">
        <x:v>One of the databases used by EPA to store floodwater data is the SCRIBE database.2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x:v>
      </x:c>
      <x:c r="F20" s="22" t="str">
        <x:v>Lessons Learned: EPA’s Response to Hurricane Katrina</x:v>
      </x:c>
      <x:c r="G20" s="22" t="str">
        <x:v>EPA 20060914-2006-p-00033.pdf</x:v>
      </x:c>
      <x:c r="H20" s="22"/>
      <x:c r="I20" s="22"/>
      <x:c r="J20" s="22"/>
      <x:c r="K20" s="22"/>
      <x:c r="L20" s="22"/>
      <x:c r="M20" s="22" t="str">
        <x:v>No</x:v>
      </x:c>
      <x:c r="N20" s="22" t="str">
        <x:v>Supplied text retained</x:v>
      </x:c>
      <x:c r="O20" s="22" t="str">
        <x:v>Text copied from the uploaded 49-row workbook without semantic editing.</x:v>
      </x:c>
      <x:c r="P20" s="22" t="str">
        <x:v>Unlearning: Yes</x:v>
      </x:c>
      <x:c r="Q20" s="22" t="str">
        <x:v>Yes</x:v>
      </x:c>
      <x:c r="R20" s="22"/>
      <x:c r="S20" s="22"/>
      <x:c r="T20" s="22"/>
    </x:row>
    <x:row r="21">
      <x:c r="A21" s="32" t="str">
        <x:v>P020</x:v>
      </x:c>
      <x:c r="B21" s="32" t="str">
        <x:v>ICA25:1:22</x:v>
      </x:c>
      <x:c r="C21" s="32"/>
      <x:c r="D21" s="32" t="str">
        <x:v>Expanded-only row</x:v>
      </x:c>
      <x:c r="E21" s="22" t="str">
        <x:v>Although the analytical capacity for Mississippi and Louisiana was diminished after Katrina, EPA Regions 4, 6, and 8 addressed this by providing mobile laboratories and staff to Mississippi and Louisiana to provide monitoring and analytical support for drinking water.</x:v>
      </x:c>
      <x:c r="F21" s="22" t="str">
        <x:v>Lessons Learned: EPA’s Response to Hurricane Katrina</x:v>
      </x:c>
      <x:c r="G21" s="22" t="str">
        <x:v>EPA 20060914-2006-p-00033.pdf</x:v>
      </x:c>
      <x:c r="H21" s="22"/>
      <x:c r="I21" s="22"/>
      <x:c r="J21" s="22"/>
      <x:c r="K21" s="22"/>
      <x:c r="L21" s="22"/>
      <x:c r="M21" s="22" t="str">
        <x:v>No</x:v>
      </x:c>
      <x:c r="N21" s="22" t="str">
        <x:v>Supplied text retained</x:v>
      </x:c>
      <x:c r="O21" s="22" t="str">
        <x:v>Text copied from the uploaded 49-row workbook without semantic editing.</x:v>
      </x:c>
      <x:c r="P21" s="22" t="str">
        <x:v>Unlearning: Yes</x:v>
      </x:c>
      <x:c r="Q21" s="22" t="str">
        <x:v>Yes</x:v>
      </x:c>
      <x:c r="R21" s="22"/>
      <x:c r="S21" s="22"/>
      <x:c r="T21" s="22"/>
    </x:row>
    <x:row r="22">
      <x:c r="A22" s="32" t="str">
        <x:v>P021</x:v>
      </x:c>
      <x:c r="B22" s="32" t="str">
        <x:v>ICA25:1:23</x:v>
      </x:c>
      <x:c r="C22" s="32"/>
      <x:c r="D22" s="32" t="str">
        <x:v>Expanded-only row</x:v>
      </x:c>
      <x:c r="E22" s="22" t="str">
        <x:v>Louisiana officials experienced problems in querying data and in verifying the quality of data in EPA’s database used to collect floodwater results.</x:v>
      </x:c>
      <x:c r="F22" s="22" t="str">
        <x:v>Lessons Learned: EPA’s Response to Hurricane Katrina</x:v>
      </x:c>
      <x:c r="G22" s="22" t="str">
        <x:v>EPA 20060914-2006-p-00033.pdf</x:v>
      </x:c>
      <x:c r="H22" s="22"/>
      <x:c r="I22" s="22"/>
      <x:c r="J22" s="22"/>
      <x:c r="K22" s="22"/>
      <x:c r="L22" s="22"/>
      <x:c r="M22" s="22" t="str">
        <x:v>No</x:v>
      </x:c>
      <x:c r="N22" s="22" t="str">
        <x:v>Supplied text retained</x:v>
      </x:c>
      <x:c r="O22" s="22" t="str">
        <x:v>Text copied from the uploaded 49-row workbook without semantic editing.</x:v>
      </x:c>
      <x:c r="P22" s="22" t="str">
        <x:v>Unlearning: No</x:v>
      </x:c>
      <x:c r="Q22" s="22" t="str">
        <x:v>No</x:v>
      </x:c>
      <x:c r="R22" s="22"/>
      <x:c r="S22" s="22"/>
      <x:c r="T22" s="22" t="str">
        <x:v>Not unlearning.</x:v>
      </x:c>
    </x:row>
    <x:row r="23">
      <x:c r="A23" s="32" t="str">
        <x:v>P022</x:v>
      </x:c>
      <x:c r="B23" s="32" t="str">
        <x:v>ICA25:1:24</x:v>
      </x:c>
      <x:c r="C23" s="32"/>
      <x:c r="D23" s="32" t="str">
        <x:v>Expanded-only row</x:v>
      </x:c>
      <x:c r="E23" s="22" t="str">
        <x:v>With respect to both coordination issues discussed, Region 6 informed us that, to the extent there was any duplication of effort, it was only a result of an attempt to ensure that all wastewater facilities were reached, evaluated, and assisted as quickly as possible.</x:v>
      </x:c>
      <x:c r="F23" s="22" t="str">
        <x:v>Lessons Learned: EPA’s Response to Hurricane Katrina</x:v>
      </x:c>
      <x:c r="G23" s="22" t="str">
        <x:v>EPA 20060914-2006-p-00033.pdf</x:v>
      </x:c>
      <x:c r="H23" s="22"/>
      <x:c r="I23" s="22"/>
      <x:c r="J23" s="22"/>
      <x:c r="K23" s="22"/>
      <x:c r="L23" s="22"/>
      <x:c r="M23" s="22" t="str">
        <x:v>No</x:v>
      </x:c>
      <x:c r="N23" s="22" t="str">
        <x:v>Supplied text retained</x:v>
      </x:c>
      <x:c r="O23" s="22" t="str">
        <x:v>Text copied from the uploaded 49-row workbook without semantic editing.</x:v>
      </x:c>
      <x:c r="P23" s="22" t="str">
        <x:v>Unlearning: Yes</x:v>
      </x:c>
      <x:c r="Q23" s="22" t="str">
        <x:v>Yes</x:v>
      </x:c>
      <x:c r="R23" s="22"/>
      <x:c r="S23" s="22"/>
      <x:c r="T23" s="22"/>
    </x:row>
    <x:row r="24">
      <x:c r="A24" s="32" t="str">
        <x:v>P023</x:v>
      </x:c>
      <x:c r="B24" s="32" t="str">
        <x:v>ICA25:1:25</x:v>
      </x:c>
      <x:c r="C24" s="32"/>
      <x:c r="D24" s="32" t="str">
        <x:v>Expanded-only row</x:v>
      </x:c>
      <x:c r="E24" s="22" t="str">
        <x:v>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x:v>
      </x:c>
      <x:c r="F24" s="22" t="str">
        <x:v>Lessons Learned: EPA’s Response to Hurricane Katrina</x:v>
      </x:c>
      <x:c r="G24" s="22" t="str">
        <x:v>EPA 20060914-2006-p-00033.pdf</x:v>
      </x:c>
      <x:c r="H24" s="22"/>
      <x:c r="I24" s="22"/>
      <x:c r="J24" s="22"/>
      <x:c r="K24" s="22"/>
      <x:c r="L24" s="22"/>
      <x:c r="M24" s="22" t="str">
        <x:v>No</x:v>
      </x:c>
      <x:c r="N24" s="22" t="str">
        <x:v>Supplied text retained</x:v>
      </x:c>
      <x:c r="O24" s="22" t="str">
        <x:v>Text copied from the uploaded 49-row workbook without semantic editing.</x:v>
      </x:c>
      <x:c r="P24" s="22" t="str">
        <x:v>Unlearning: Yes</x:v>
      </x:c>
      <x:c r="Q24" s="22" t="str">
        <x:v>Yes</x:v>
      </x:c>
      <x:c r="R24" s="22"/>
      <x:c r="S24" s="22"/>
      <x:c r="T24" s="22"/>
    </x:row>
    <x:row r="25">
      <x:c r="A25" s="32" t="str">
        <x:v>P024</x:v>
      </x:c>
      <x:c r="B25" s="32" t="str">
        <x:v>ICA25:1:26</x:v>
      </x:c>
      <x:c r="C25" s="32"/>
      <x:c r="D25" s="32" t="str">
        <x:v>Expanded-only row</x:v>
      </x:c>
      <x:c r="E25" s="22" t="str">
        <x:v>With respect to improving coordination with USACE, Region 6 told us that it plans to conduct a series of interagency planning meetings to establish coordination protocols under a Memorandum of Understanding with USACE.</x:v>
      </x:c>
      <x:c r="F25" s="22" t="str">
        <x:v>Lessons Learned: EPA’s Response to Hurricane Katrina</x:v>
      </x:c>
      <x:c r="G25" s="22" t="str">
        <x:v>EPA 20060914-2006-p-00033.pdf</x:v>
      </x:c>
      <x:c r="H25" s="22"/>
      <x:c r="I25" s="22"/>
      <x:c r="J25" s="22"/>
      <x:c r="K25" s="22"/>
      <x:c r="L25" s="22"/>
      <x:c r="M25" s="22" t="str">
        <x:v>No</x:v>
      </x:c>
      <x:c r="N25" s="22" t="str">
        <x:v>Supplied text retained</x:v>
      </x:c>
      <x:c r="O25" s="22" t="str">
        <x:v>Text copied from the uploaded 49-row workbook without semantic editing.</x:v>
      </x:c>
      <x:c r="P25" s="22" t="str">
        <x:v>Unlearning: No</x:v>
      </x:c>
      <x:c r="Q25" s="22" t="str">
        <x:v>No</x:v>
      </x:c>
      <x:c r="R25" s="22"/>
      <x:c r="S25" s="22"/>
      <x:c r="T25" s="22" t="str">
        <x:v>Not unlearning</x:v>
      </x:c>
    </x:row>
    <x:row r="26">
      <x:c r="A26" s="32" t="str">
        <x:v>P025</x:v>
      </x:c>
      <x:c r="B26" s="32" t="str">
        <x:v>ICA25:1:27</x:v>
      </x:c>
      <x:c r="C26" s="32"/>
      <x:c r="D26" s="32" t="str">
        <x:v>Expanded-only row</x:v>
      </x:c>
      <x:c r="E26" s="22" t="str">
        <x:v>EPA will meet with USACE and other ESF #3 support agencies in August to discuss ESF-3 agency roles and capabilities and will continue to work with USACE to ensure that current ESF #3 SOPs can be appropriately updated and revised</x:v>
      </x:c>
      <x:c r="F26" s="22" t="str">
        <x:v>Lessons Learned: EPA’s Response to Hurricane Katrina</x:v>
      </x:c>
      <x:c r="G26" s="22" t="str">
        <x:v>EPA 20060914-2006-p-00033.pdf</x:v>
      </x:c>
      <x:c r="H26" s="22"/>
      <x:c r="I26" s="22"/>
      <x:c r="J26" s="22"/>
      <x:c r="K26" s="22"/>
      <x:c r="L26" s="22"/>
      <x:c r="M26" s="22" t="str">
        <x:v>No</x:v>
      </x:c>
      <x:c r="N26" s="22" t="str">
        <x:v>Supplied text retained</x:v>
      </x:c>
      <x:c r="O26" s="22" t="str">
        <x:v>Text copied from the uploaded 49-row workbook without semantic editing.</x:v>
      </x:c>
      <x:c r="P26" s="22" t="str">
        <x:v>Unlearning: Yes</x:v>
      </x:c>
      <x:c r="Q26" s="22" t="str">
        <x:v>Yes</x:v>
      </x:c>
      <x:c r="R26" s="22"/>
      <x:c r="S26" s="22"/>
      <x:c r="T26" s="22"/>
    </x:row>
    <x:row r="27">
      <x:c r="A27" s="32" t="str">
        <x:v>P026</x:v>
      </x:c>
      <x:c r="B27" s="32" t="str">
        <x:v>ICA25:14:1</x:v>
      </x:c>
      <x:c r="C27" s="32" t="str">
        <x:v>14:2</x:v>
      </x:c>
      <x:c r="D27" s="32" t="str">
        <x:v>Legacy-linked</x:v>
      </x:c>
      <x:c r="E27" s="22" t="str">
        <x:v>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x:v>
      </x:c>
      <x:c r="F27" s="22" t="str">
        <x:v>Hurricane Katrina: GAO’s Preliminary Observations Regarding Preparedness, Response, and Recovery</x:v>
      </x:c>
      <x:c r="G27" s="22" t="str">
        <x:v>gao-06-442t.pdf</x:v>
      </x:c>
      <x:c r="H27" s="22"/>
      <x:c r="I27" s="22"/>
      <x:c r="J27" s="22"/>
      <x:c r="K27" s="22"/>
      <x:c r="L27" s="22"/>
      <x:c r="M27" s="22" t="str">
        <x:v>No</x:v>
      </x:c>
      <x:c r="N27" s="22" t="str">
        <x:v>Supplied text retained</x:v>
      </x:c>
      <x:c r="O27" s="22" t="str">
        <x:v>Text copied from the uploaded 49-row workbook without semantic editing.</x:v>
      </x:c>
      <x:c r="P27" s="22" t="str">
        <x:v>Unlearning: Yes</x:v>
      </x:c>
      <x:c r="Q27" s="22" t="str">
        <x:v>Yes</x:v>
      </x:c>
      <x:c r="R27" s="22"/>
      <x:c r="S27" s="22"/>
      <x:c r="T27" s="22"/>
    </x:row>
    <x:row r="28">
      <x:c r="A28" s="32" t="str">
        <x:v>P027</x:v>
      </x:c>
      <x:c r="B28" s="32" t="str">
        <x:v>ICA25:14:3 | GPT:14:3</x:v>
      </x:c>
      <x:c r="C28" s="32" t="str">
        <x:v>14:3</x:v>
      </x:c>
      <x:c r="D28" s="32" t="str">
        <x:v>Legacy-linked</x:v>
      </x:c>
      <x:c r="E28" s="22" t="str">
        <x:v>In addition, we have done a great deal of work on prior disasters. In 1993, we conducted several reviews examining the federal response to Hurricane Andrew. The reviews focused on the unique challenges involved in responding to “catastrophic disasters.”2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x:v>
      </x:c>
      <x:c r="F28" s="22" t="str">
        <x:v>Hurricane Katrina: GAO’s Preliminary Observations Regarding Preparedness, Response, and Recovery</x:v>
      </x:c>
      <x:c r="G28" s="22" t="str">
        <x:v>gao-06-442t.pdf</x:v>
      </x:c>
      <x:c r="H28" s="22"/>
      <x:c r="I28" s="22"/>
      <x:c r="J28" s="22"/>
      <x:c r="K28" s="22"/>
      <x:c r="L28" s="22"/>
      <x:c r="M28" s="22" t="str">
        <x:v>No</x:v>
      </x:c>
      <x:c r="N28" s="22" t="str">
        <x:v>Supplied text retained</x:v>
      </x:c>
      <x:c r="O28" s="22" t="str">
        <x:v>Text copied from the uploaded 49-row workbook without semantic editing.</x:v>
      </x:c>
      <x:c r="P28" s="22" t="str">
        <x:v>Unlearning: Yes</x:v>
      </x:c>
      <x:c r="Q28" s="22" t="str">
        <x:v>Yes</x:v>
      </x:c>
      <x:c r="R28" s="22"/>
      <x:c r="S28" s="22" t="str">
        <x:v>Dept of Defense</x:v>
      </x:c>
      <x:c r="T28" s="22"/>
    </x:row>
    <x:row r="29">
      <x:c r="A29" s="32" t="str">
        <x:v>P028</x:v>
      </x:c>
      <x:c r="B29" s="32" t="str">
        <x:v>ICA25:14:5 | GPT:14:5</x:v>
      </x:c>
      <x:c r="C29" s="32" t="str">
        <x:v>14:5</x:v>
      </x:c>
      <x:c r="D29" s="32" t="str">
        <x:v>Legacy-linked</x:v>
      </x:c>
      <x:c r="E29" s="22" t="str">
        <x:v>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Page 13 GAO-06-442T rely on the traditional layered approach and instead should proactively provide, or ‘push,’ its capabilities and assistance directly to those in need.”</x:v>
      </x:c>
      <x:c r="F29" s="22" t="str">
        <x:v>Hurricane Katrina: GAO’s Preliminary Observations Regarding Preparedness, Response, and Recovery</x:v>
      </x:c>
      <x:c r="G29" s="22" t="str">
        <x:v>gao-06-442t.pdf</x:v>
      </x:c>
      <x:c r="H29" s="22"/>
      <x:c r="I29" s="22"/>
      <x:c r="J29" s="22"/>
      <x:c r="K29" s="22"/>
      <x:c r="L29" s="22"/>
      <x:c r="M29" s="22" t="str">
        <x:v>No</x:v>
      </x:c>
      <x:c r="N29" s="22" t="str">
        <x:v>Supplied text retained</x:v>
      </x:c>
      <x:c r="O29" s="22" t="str">
        <x:v>Text copied from the uploaded 49-row workbook without semantic editing.</x:v>
      </x:c>
      <x:c r="P29" s="22" t="str">
        <x:v>Unlearning: Yes</x:v>
      </x:c>
      <x:c r="Q29" s="22" t="str">
        <x:v>Yes</x:v>
      </x:c>
      <x:c r="R29" s="22"/>
      <x:c r="S29" s="22"/>
      <x:c r="T29" s="22"/>
    </x:row>
    <x:row r="30">
      <x:c r="A30" s="32" t="str">
        <x:v>P029</x:v>
      </x:c>
      <x:c r="B30" s="32" t="str">
        <x:v>ICA25:14:6 | GPT:14:6</x:v>
      </x:c>
      <x:c r="C30" s="32" t="str">
        <x:v>14:6</x:v>
      </x:c>
      <x:c r="D30" s="32" t="str">
        <x:v>Legacy-linked</x:v>
      </x:c>
      <x:c r="E30" s="22" t="str">
        <x:v>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x:v>
      </x:c>
      <x:c r="F30" s="22" t="str">
        <x:v>Hurricane Katrina: GAO’s Preliminary Observations Regarding Preparedness, Response, and Recovery</x:v>
      </x:c>
      <x:c r="G30" s="22" t="str">
        <x:v>gao-06-442t.pdf</x:v>
      </x:c>
      <x:c r="H30" s="22"/>
      <x:c r="I30" s="22"/>
      <x:c r="J30" s="22"/>
      <x:c r="K30" s="22"/>
      <x:c r="L30" s="22"/>
      <x:c r="M30" s="22" t="str">
        <x:v>No</x:v>
      </x:c>
      <x:c r="N30" s="22" t="str">
        <x:v>Supplied text retained</x:v>
      </x:c>
      <x:c r="O30" s="22" t="str">
        <x:v>Text copied from the uploaded 49-row workbook without semantic editing.</x:v>
      </x:c>
      <x:c r="P30" s="22" t="str">
        <x:v>Unlearning: Yes | Government Agency: Congress</x:v>
      </x:c>
      <x:c r="Q30" s="22" t="str">
        <x:v>Yes</x:v>
      </x:c>
      <x:c r="R30" s="22"/>
      <x:c r="S30" s="22" t="str">
        <x:v>Congress</x:v>
      </x:c>
      <x:c r="T30" s="22"/>
    </x:row>
    <x:row r="31">
      <x:c r="A31" s="32" t="str">
        <x:v>P030</x:v>
      </x:c>
      <x:c r="B31" s="32" t="str">
        <x:v>ICA25:14:7 | GPT:14:7</x:v>
      </x:c>
      <x:c r="C31" s="32" t="str">
        <x:v>14:7</x:v>
      </x:c>
      <x:c r="D31" s="32" t="str">
        <x:v>Legacy-linked</x:v>
      </x:c>
      <x:c r="E31" s="22" t="str">
        <x:v>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x:v>
      </x:c>
      <x:c r="F31" s="22" t="str">
        <x:v>Hurricane Katrina: GAO’s Preliminary Observations Regarding Preparedness, Response, and Recovery</x:v>
      </x:c>
      <x:c r="G31" s="22" t="str">
        <x:v>gao-06-442t.pdf</x:v>
      </x:c>
      <x:c r="H31" s="22"/>
      <x:c r="I31" s="22"/>
      <x:c r="J31" s="22"/>
      <x:c r="K31" s="22"/>
      <x:c r="L31" s="22"/>
      <x:c r="M31" s="22" t="str">
        <x:v>No</x:v>
      </x:c>
      <x:c r="N31" s="22" t="str">
        <x:v>Supplied text retained</x:v>
      </x:c>
      <x:c r="O31" s="22" t="str">
        <x:v>Text copied from the uploaded 49-row workbook without semantic editing.</x:v>
      </x:c>
      <x:c r="P31" s="22" t="str">
        <x:v>Unlearning: Yes</x:v>
      </x:c>
      <x:c r="Q31" s="22" t="str">
        <x:v>Yes</x:v>
      </x:c>
      <x:c r="R31" s="22"/>
      <x:c r="S31" s="22"/>
      <x:c r="T31" s="22"/>
    </x:row>
    <x:row r="32">
      <x:c r="A32" s="32" t="str">
        <x:v>P031</x:v>
      </x:c>
      <x:c r="B32" s="32" t="str">
        <x:v>ICA25:14:8 | GPT:14:8</x:v>
      </x:c>
      <x:c r="C32" s="32" t="str">
        <x:v>14:8</x:v>
      </x:c>
      <x:c r="D32" s="32" t="str">
        <x:v>Legacy-linked</x:v>
      </x:c>
      <x:c r="E32" s="22" t="str">
        <x:v>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x:v>
      </x:c>
      <x:c r="F32" s="22" t="str">
        <x:v>Hurricane Katrina: GAO’s Preliminary Observations Regarding Preparedness, Response, and Recovery</x:v>
      </x:c>
      <x:c r="G32" s="22" t="str">
        <x:v>gao-06-442t.pdf</x:v>
      </x:c>
      <x:c r="H32" s="22"/>
      <x:c r="I32" s="22"/>
      <x:c r="J32" s="22"/>
      <x:c r="K32" s="22"/>
      <x:c r="L32" s="22"/>
      <x:c r="M32" s="22" t="str">
        <x:v>No</x:v>
      </x:c>
      <x:c r="N32" s="22" t="str">
        <x:v>Supplied text retained</x:v>
      </x:c>
      <x:c r="O32" s="22" t="str">
        <x:v>Text copied from the uploaded 49-row workbook without semantic editing.</x:v>
      </x:c>
      <x:c r="P32" s="22" t="str">
        <x:v>Unlearning: Yes</x:v>
      </x:c>
      <x:c r="Q32" s="22" t="str">
        <x:v>Yes</x:v>
      </x:c>
      <x:c r="R32" s="22"/>
      <x:c r="S32" s="22"/>
      <x:c r="T32" s="22"/>
    </x:row>
    <x:row r="33">
      <x:c r="A33" s="32" t="str">
        <x:v>P032</x:v>
      </x:c>
      <x:c r="B33" s="32" t="str">
        <x:v>ICA25:14:9 | GPT:14:9</x:v>
      </x:c>
      <x:c r="C33" s="32" t="str">
        <x:v>14:9</x:v>
      </x:c>
      <x:c r="D33" s="32" t="str">
        <x:v>Legacy-linked</x:v>
      </x:c>
      <x:c r="E33" s="22" t="str">
        <x:v>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x:v>
      </x:c>
      <x:c r="F33" s="22" t="str">
        <x:v>Hurricane Katrina: GAO’s Preliminary Observations Regarding Preparedness, Response, and Recovery</x:v>
      </x:c>
      <x:c r="G33" s="22" t="str">
        <x:v>gao-06-442t.pdf</x:v>
      </x:c>
      <x:c r="H33" s="22"/>
      <x:c r="I33" s="22"/>
      <x:c r="J33" s="22"/>
      <x:c r="K33" s="22"/>
      <x:c r="L33" s="22"/>
      <x:c r="M33" s="22" t="str">
        <x:v>No</x:v>
      </x:c>
      <x:c r="N33" s="22" t="str">
        <x:v>Supplied text retained</x:v>
      </x:c>
      <x:c r="O33" s="22" t="str">
        <x:v>Text copied from the uploaded 49-row workbook without semantic editing.</x:v>
      </x:c>
      <x:c r="P33" s="22" t="str">
        <x:v>Unlearning: Yes | Government Agency: Dept of Defense</x:v>
      </x:c>
      <x:c r="Q33" s="22" t="str">
        <x:v>Yes</x:v>
      </x:c>
      <x:c r="R33" s="22"/>
      <x:c r="S33" s="22" t="str">
        <x:v>Dept of Defense</x:v>
      </x:c>
      <x:c r="T33" s="22"/>
    </x:row>
    <x:row r="34">
      <x:c r="A34" s="32" t="str">
        <x:v>P033</x:v>
      </x:c>
      <x:c r="B34" s="32" t="str">
        <x:v>ICA25:14:10</x:v>
      </x:c>
      <x:c r="C34" s="32"/>
      <x:c r="D34" s="32" t="str">
        <x:v>Expanded-only row</x:v>
      </x:c>
      <x:c r="E34" s="22" t="str">
        <x:v>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Page 18 GAO-06-442T indicated agencies needed additional capabilities to (1) adequately anticipate requirements for needed goods and services, (2) clearly communicate responsibilities across agencies and jurisdictions, and (3) deploy sufficient numbers of personnel to provide contractor oversight.8</x:v>
      </x:c>
      <x:c r="F34" s="22" t="str">
        <x:v>Hurricane Katrina: GAO’s Preliminary Observations Regarding Preparedness, Response, and Recovery</x:v>
      </x:c>
      <x:c r="G34" s="22" t="str">
        <x:v>gao-06-442t.pdf</x:v>
      </x:c>
      <x:c r="H34" s="22"/>
      <x:c r="I34" s="22"/>
      <x:c r="J34" s="22"/>
      <x:c r="K34" s="22"/>
      <x:c r="L34" s="22"/>
      <x:c r="M34" s="22" t="str">
        <x:v>No</x:v>
      </x:c>
      <x:c r="N34" s="22" t="str">
        <x:v>Supplied text retained</x:v>
      </x:c>
      <x:c r="O34" s="22" t="str">
        <x:v>Text copied from the uploaded 49-row workbook without semantic editing.</x:v>
      </x:c>
      <x:c r="P34" s="22" t="str">
        <x:v>Unlearning: No</x:v>
      </x:c>
      <x:c r="Q34" s="22" t="str">
        <x:v>No</x:v>
      </x:c>
      <x:c r="R34" s="22"/>
      <x:c r="S34" s="22"/>
      <x:c r="T34" s="22"/>
    </x:row>
    <x:row r="35">
      <x:c r="A35" s="32" t="str">
        <x:v>P034</x:v>
      </x:c>
      <x:c r="B35" s="32" t="str">
        <x:v>ICA25:14:11</x:v>
      </x:c>
      <x:c r="C35" s="32"/>
      <x:c r="D35" s="32" t="str">
        <x:v>Expanded-only row</x:v>
      </x:c>
      <x:c r="E35" s="22" t="str">
        <x:v>Establishing more robust surveillance and warning mechanisms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x:v>
      </x:c>
      <x:c r="F35" s="22" t="str">
        <x:v>Hurricane Katrina: GAO’s Preliminary Observations Regarding Preparedness, Response, and Recovery</x:v>
      </x:c>
      <x:c r="G35" s="22" t="str">
        <x:v>gao-06-442t.pdf</x:v>
      </x:c>
      <x:c r="H35" s="22"/>
      <x:c r="I35" s="22"/>
      <x:c r="J35" s="22"/>
      <x:c r="K35" s="22"/>
      <x:c r="L35" s="22"/>
      <x:c r="M35" s="22" t="str">
        <x:v>No</x:v>
      </x:c>
      <x:c r="N35" s="22" t="str">
        <x:v>Supplied text retained</x:v>
      </x:c>
      <x:c r="O35" s="22" t="str">
        <x:v>Text copied from the uploaded 49-row workbook without semantic editing.</x:v>
      </x:c>
      <x:c r="P35" s="22" t="str">
        <x:v>Unlearning: No</x:v>
      </x:c>
      <x:c r="Q35" s="22" t="str">
        <x:v>No</x:v>
      </x:c>
      <x:c r="R35" s="22"/>
      <x:c r="S35" s="22"/>
      <x:c r="T35" s="22"/>
    </x:row>
    <x:row r="36">
      <x:c r="A36" s="32" t="str">
        <x:v>P035</x:v>
      </x:c>
      <x:c r="B36" s="32" t="str">
        <x:v>ICA25:14:12 | GPT:14:12</x:v>
      </x:c>
      <x:c r="C36" s="32" t="str">
        <x:v>14:4; 14:12</x:v>
      </x:c>
      <x:c r="D36" s="32" t="str">
        <x:v>Legacy-linked</x:v>
      </x:c>
      <x:c r="E36" s="22" t="str">
        <x:v>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Organizational Placement Has Been Raised as a Key FEMA Performance Factor 
Factors Other Than Organizational Placement May Impact FEMA’s Performance
Page 28 GAO-06-442T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x:v>
      </x:c>
      <x:c r="F36" s="22" t="str">
        <x:v>Hurricane Katrina: GAO’s Preliminary Observations Regarding Preparedness, Response, and Recovery</x:v>
      </x:c>
      <x:c r="G36" s="22" t="str">
        <x:v>gao-06-442t.pdf</x:v>
      </x:c>
      <x:c r="H36" s="22"/>
      <x:c r="I36" s="22"/>
      <x:c r="J36" s="22"/>
      <x:c r="K36" s="22"/>
      <x:c r="L36" s="22"/>
      <x:c r="M36" s="22" t="str">
        <x:v>No</x:v>
      </x:c>
      <x:c r="N36" s="22" t="str">
        <x:v>Supplied text retained</x:v>
      </x:c>
      <x:c r="O36" s="22" t="str">
        <x:v>Text copied from the uploaded 49-row workbook without semantic editing.</x:v>
      </x:c>
      <x:c r="P36" s="22" t="str">
        <x:v>Unlearning: Yes | Government Agency: FEMA</x:v>
      </x:c>
      <x:c r="Q36" s="22" t="str">
        <x:v>Yes</x:v>
      </x:c>
      <x:c r="R36" s="22"/>
      <x:c r="S36" s="22" t="str">
        <x:v>FEMA</x:v>
      </x:c>
      <x:c r="T36" s="22"/>
    </x:row>
    <x:row r="37">
      <x:c r="A37" s="32" t="str">
        <x:v>P036</x:v>
      </x:c>
      <x:c r="B37" s="32" t="str">
        <x:v>ICA25:14:13 | GPT:14:13</x:v>
      </x:c>
      <x:c r="C37" s="32" t="str">
        <x:v>14:13</x:v>
      </x:c>
      <x:c r="D37" s="32" t="str">
        <x:v>Legacy-linked</x:v>
      </x:c>
      <x:c r="E37" s="22" t="str">
        <x:v>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x:v>
      </x:c>
      <x:c r="F37" s="22" t="str">
        <x:v>Hurricane Katrina: GAO’s Preliminary Observations Regarding Preparedness, Response, and Recovery</x:v>
      </x:c>
      <x:c r="G37" s="22" t="str">
        <x:v>gao-06-442t.pdf</x:v>
      </x:c>
      <x:c r="H37" s="22"/>
      <x:c r="I37" s="22"/>
      <x:c r="J37" s="22"/>
      <x:c r="K37" s="22"/>
      <x:c r="L37" s="22"/>
      <x:c r="M37" s="22" t="str">
        <x:v>No</x:v>
      </x:c>
      <x:c r="N37" s="22" t="str">
        <x:v>Supplied text retained</x:v>
      </x:c>
      <x:c r="O37" s="22" t="str">
        <x:v>Text copied from the uploaded 49-row workbook without semantic editing.</x:v>
      </x:c>
      <x:c r="P37" s="22" t="str">
        <x:v>Unlearning: Yes</x:v>
      </x:c>
      <x:c r="Q37" s="22" t="str">
        <x:v>Yes</x:v>
      </x:c>
      <x:c r="R37" s="22"/>
      <x:c r="S37" s="22"/>
      <x:c r="T37" s="22"/>
    </x:row>
    <x:row r="38">
      <x:c r="A38" s="32" t="str">
        <x:v>P037</x:v>
      </x:c>
      <x:c r="B38" s="32" t="str">
        <x:v>ICA25:14:14 | GPT:14:14</x:v>
      </x:c>
      <x:c r="C38" s="32" t="str">
        <x:v>14:14</x:v>
      </x:c>
      <x:c r="D38" s="32" t="str">
        <x:v>Legacy-linked</x:v>
      </x:c>
      <x:c r="E38" s="22" t="str">
        <x:v>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x:v>
      </x:c>
      <x:c r="F38" s="22" t="str">
        <x:v>Hurricane Katrina: GAO’s Preliminary Observations Regarding Preparedness, Response, and Recovery</x:v>
      </x:c>
      <x:c r="G38" s="22" t="str">
        <x:v>gao-06-442t.pdf</x:v>
      </x:c>
      <x:c r="H38" s="22"/>
      <x:c r="I38" s="22"/>
      <x:c r="J38" s="22"/>
      <x:c r="K38" s="22"/>
      <x:c r="L38" s="22"/>
      <x:c r="M38" s="22" t="str">
        <x:v>No</x:v>
      </x:c>
      <x:c r="N38" s="22" t="str">
        <x:v>Supplied text retained</x:v>
      </x:c>
      <x:c r="O38" s="22" t="str">
        <x:v>Text copied from the uploaded 49-row workbook without semantic editing.</x:v>
      </x:c>
      <x:c r="P38" s="22" t="str">
        <x:v>Unlearning: Yes</x:v>
      </x:c>
      <x:c r="Q38" s="22" t="str">
        <x:v>Yes</x:v>
      </x:c>
      <x:c r="R38" s="22"/>
      <x:c r="S38" s="22"/>
      <x:c r="T38" s="22"/>
    </x:row>
    <x:row r="39">
      <x:c r="A39" s="32" t="str">
        <x:v>P038</x:v>
      </x:c>
      <x:c r="B39" s="32"/>
      <x:c r="C39" s="32"/>
      <x:c r="D39" s="32" t="str">
        <x:v>Expanded-only row</x:v>
      </x:c>
      <x:c r="E39" s="22" t="str">
        <x:v>As was noted during a hearing before this committee, technological advances should provide the capability to prevent or significantly reduce the fog of war during a catastrophe. The secretary also has announced plans for better logistics and debris removal capabilities.</x:v>
      </x:c>
      <x:c r="F39" s="22" t="str">
        <x:v>Hurricane Katrina: GAO’s Preliminary Observations Regarding Preparedness, Response, and Recovery</x:v>
      </x:c>
      <x:c r="G39" s="22" t="str">
        <x:v>gao-06-442t.pdf</x:v>
      </x:c>
      <x:c r="H39" s="22"/>
      <x:c r="I39" s="22"/>
      <x:c r="J39" s="22"/>
      <x:c r="K39" s="22"/>
      <x:c r="L39" s="22"/>
      <x:c r="M39" s="22" t="str">
        <x:v>No</x:v>
      </x:c>
      <x:c r="N39" s="22" t="str">
        <x:v>Supplied text retained</x:v>
      </x:c>
      <x:c r="O39" s="22" t="str">
        <x:v>Text copied from the uploaded 49-row workbook without semantic editing.</x:v>
      </x:c>
      <x:c r="P39" s="22"/>
      <x:c r="Q39" s="22" t="str">
        <x:v>No</x:v>
      </x:c>
      <x:c r="R39" s="22"/>
      <x:c r="S39" s="22"/>
      <x:c r="T39" s="22" t="str">
        <x:v>example of learning through better logistics and debris removal capabilities.</x:v>
      </x:c>
    </x:row>
    <x:row r="40">
      <x:c r="A40" s="32" t="str">
        <x:v>P039</x:v>
      </x:c>
      <x:c r="B40" s="32"/>
      <x:c r="C40" s="32"/>
      <x:c r="D40" s="32" t="str">
        <x:v>Expanded-only row</x:v>
      </x:c>
      <x:c r="E40" s="22" t="str">
        <x:v>For example, although the National Disaster Medical System (NDMS) is a mechanism through which the federal government can provide assistance with patient evacuations, NDMS has agreements with hospitals only and does not address the needs of nursing homes.</x:v>
      </x:c>
      <x:c r="F40" s="22" t="str">
        <x:v>Hurricane Katrina: GAO’s Preliminary Observations Regarding Preparedness, Response, and Recovery</x:v>
      </x:c>
      <x:c r="G40" s="22" t="str">
        <x:v>gao-06-442t.pdf</x:v>
      </x:c>
      <x:c r="H40" s="22"/>
      <x:c r="I40" s="22"/>
      <x:c r="J40" s="22"/>
      <x:c r="K40" s="22"/>
      <x:c r="L40" s="22"/>
      <x:c r="M40" s="22" t="str">
        <x:v>No</x:v>
      </x:c>
      <x:c r="N40" s="22" t="str">
        <x:v>Supplied text retained</x:v>
      </x:c>
      <x:c r="O40" s="22" t="str">
        <x:v>Text copied from the uploaded 49-row workbook without semantic editing.</x:v>
      </x:c>
      <x:c r="P40" s="22"/>
      <x:c r="Q40" s="22" t="str">
        <x:v>No</x:v>
      </x:c>
      <x:c r="R40" s="22"/>
      <x:c r="S40" s="22"/>
      <x:c r="T40" s="22" t="str">
        <x:v>It aims to add nursing homes to the medical system but the underlying logic of the NDMS </x:v>
      </x:c>
    </x:row>
    <x:row r="41">
      <x:c r="A41" s="32" t="str">
        <x:v>P040</x:v>
      </x:c>
      <x:c r="B41" s="32" t="str">
        <x:v>ICA21:1:1</x:v>
      </x:c>
      <x:c r="C41" s="32"/>
      <x:c r="D41" s="32" t="str">
        <x:v>Expanded-only row</x:v>
      </x:c>
      <x:c r="E41" s="22" t="str">
        <x:v>1. 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 to better prepare individual citizens and federal, state, and local agencies for a wide range of catastrophic events. Without displacing existing efforts within departments such as Homeland Security, Health and Human Services, Commerce, Interior, and Labor, and within agencies such as the Environmental Protection Agency, such a directorate should provide needed coordination and oversight to eliminate unnecessary duplication, while assuring that the nation is prepared to meet a range of hazards in coming years.</x:v>
      </x:c>
      <x:c r="F41" s="22" t="str">
        <x:v>The Katrina Effect on American Preparedness — A report on the lessons Americans learned in watching the Katrina catastrophe unfold</x:v>
      </x:c>
      <x:c r="G41" s="22" t="str">
        <x:v>Post-Katrina preparedness.pdf</x:v>
      </x:c>
      <x:c r="H41" s="22"/>
      <x:c r="I41" s="22"/>
      <x:c r="J41" s="22"/>
      <x:c r="K41" s="22"/>
      <x:c r="L41" s="22"/>
      <x:c r="M41" s="22" t="str">
        <x:v>No</x:v>
      </x:c>
      <x:c r="N41" s="22" t="str">
        <x:v>Source-verified restoration</x:v>
      </x:c>
      <x:c r="O41" s="22" t="str">
        <x:v>The supplied target text was visibly truncated or footnote-contaminated. It was restored from the previously verified local-context workbook; labels were not changed.</x:v>
      </x:c>
      <x:c r="P41" s="22" t="str">
        <x:v>Unlearning: Yes | Target: Laws, plans and policies | Government Agency: Congress | Government Agency: Dept of Homeland Security | Government Agency: White House</x:v>
      </x:c>
      <x:c r="Q41" s="22" t="str">
        <x:v>Yes</x:v>
      </x:c>
      <x:c r="R41" s="22" t="str">
        <x:v>Laws, plans and policies</x:v>
      </x:c>
      <x:c r="S41" s="22" t="str">
        <x:v>Congress; Dept of Homeland Security; White House</x:v>
      </x:c>
      <x:c r="T41" s="22" t="str">
        <x:v>This is creating a new directorate within DHS and is fundemntall discoutinuous</x:v>
      </x:c>
    </x:row>
    <x:row r="42">
      <x:c r="A42" s="32" t="str">
        <x:v>P041</x:v>
      </x:c>
      <x:c r="B42" s="32" t="str">
        <x:v>ICA21:1:2</x:v>
      </x:c>
      <x:c r="C42" s="32"/>
      <x:c r="D42" s="32" t="str">
        <x:v>Expanded-only row</x:v>
      </x:c>
      <x:c r="E42" s="22" t="str">
        <x:v>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x:v>
      </x:c>
      <x:c r="F42" s="22" t="str">
        <x:v>The Katrina Effect on American Preparedness — A report on the lessons Americans learned in watching the Katrina catastrophe unfold</x:v>
      </x:c>
      <x:c r="G42" s="22" t="str">
        <x:v>Post-Katrina preparedness.pdf</x:v>
      </x:c>
      <x:c r="H42" s="22"/>
      <x:c r="I42" s="22"/>
      <x:c r="J42" s="22"/>
      <x:c r="K42" s="22"/>
      <x:c r="L42" s="22"/>
      <x:c r="M42" s="22" t="str">
        <x:v>No</x:v>
      </x:c>
      <x:c r="N42" s="22" t="str">
        <x:v>Supplied text retained</x:v>
      </x:c>
      <x:c r="O42" s="22" t="str">
        <x:v>Text copied from the uploaded 49-row workbook without semantic editing.</x:v>
      </x:c>
      <x:c r="P42" s="22" t="str">
        <x:v>Unlearning: Yes | Target: Laws, plans and policies | Government Agency: Congress | Government Agency: White House</x:v>
      </x:c>
      <x:c r="Q42" s="22" t="str">
        <x:v>Yes</x:v>
      </x:c>
      <x:c r="R42" s="22" t="str">
        <x:v>Laws, plans and policies</x:v>
      </x:c>
      <x:c r="S42" s="22" t="str">
        <x:v>Congress; White House</x:v>
      </x:c>
      <x:c r="T42" s="22" t="str">
        <x:v>This points to multiple areas where subtraction or reducing needs to happen</x:v>
      </x:c>
    </x:row>
    <x:row r="43">
      <x:c r="A43" s="32" t="str">
        <x:v>P042</x:v>
      </x:c>
      <x:c r="B43" s="32" t="str">
        <x:v>ICA21:1:4</x:v>
      </x:c>
      <x:c r="C43" s="32"/>
      <x:c r="D43" s="32" t="str">
        <x:v>Expanded-only row</x:v>
      </x:c>
      <x:c r="E43" s="22" t="str">
        <x:v>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x:v>
      </x:c>
      <x:c r="F43" s="22" t="str">
        <x:v>The Katrina Effect on American Preparedness — A report on the lessons Americans learned in watching the Katrina catastrophe unfold</x:v>
      </x:c>
      <x:c r="G43" s="22" t="str">
        <x:v>Post-Katrina preparedness.pdf</x:v>
      </x:c>
      <x:c r="H43" s="22"/>
      <x:c r="I43" s="22"/>
      <x:c r="J43" s="22"/>
      <x:c r="K43" s="22"/>
      <x:c r="L43" s="22"/>
      <x:c r="M43" s="22" t="str">
        <x:v>No</x:v>
      </x:c>
      <x:c r="N43" s="22" t="str">
        <x:v>Supplied text retained</x:v>
      </x:c>
      <x:c r="O43" s="22" t="str">
        <x:v>Text copied from the uploaded 49-row workbook without semantic editing.</x:v>
      </x:c>
      <x:c r="P43" s="22" t="str">
        <x:v>Unlearning: Yes | Target: Miscellaneous</x:v>
      </x:c>
      <x:c r="Q43" s="22" t="str">
        <x:v>Yes</x:v>
      </x:c>
      <x:c r="R43" s="22" t="str">
        <x:v>Miscellaneous</x:v>
      </x:c>
      <x:c r="S43" s="22"/>
      <x:c r="T43" s="22" t="str">
        <x:v>I had not labelled unlearning. It doesn't state a specific policy response; however,  post-discussion, I agreed that this should be labelled unlearning. It identifies a significant change in public consumption of information before, during and after a disaster and need to change strategy.</x:v>
      </x:c>
    </x:row>
    <x:row r="44">
      <x:c r="A44" s="32" t="str">
        <x:v>P043</x:v>
      </x:c>
      <x:c r="B44" s="32" t="str">
        <x:v>ICA21:1:5</x:v>
      </x:c>
      <x:c r="C44" s="32"/>
      <x:c r="D44" s="32" t="str">
        <x:v>Expanded-only row</x:v>
      </x:c>
      <x:c r="E44" s="22" t="str">
        <x:v>Draw upon the Department of Homeland Security playbook. Local governments should think hard about creating a governmentwide office of preparedness, which the Department of Homeland Security just created to enhance cooperation between all units involved in disaster education, funding, and preparedness. Creating a government-wide preparedness unit in the mayor’s 
 or city manager’s office is easily done, and could reassure citizens provided that a talented professional is selected to head the operation. Cronyism has no place in such an appointment.</x:v>
      </x:c>
      <x:c r="F44" s="22" t="str">
        <x:v>The Katrina Effect on American Preparedness — A report on the lessons Americans learned in watching the Katrina catastrophe unfold</x:v>
      </x:c>
      <x:c r="G44" s="22" t="str">
        <x:v>Post-Katrina preparedness.pdf</x:v>
      </x:c>
      <x:c r="H44" s="22"/>
      <x:c r="I44" s="22"/>
      <x:c r="J44" s="22"/>
      <x:c r="K44" s="22"/>
      <x:c r="L44" s="22"/>
      <x:c r="M44" s="22" t="str">
        <x:v>No</x:v>
      </x:c>
      <x:c r="N44" s="22" t="str">
        <x:v>Supplied text retained</x:v>
      </x:c>
      <x:c r="O44" s="22" t="str">
        <x:v>Text copied from the uploaded 49-row workbook without semantic editing.</x:v>
      </x:c>
      <x:c r="P44" s="22" t="str">
        <x:v>Unlearning: No</x:v>
      </x:c>
      <x:c r="Q44" s="22" t="str">
        <x:v>No</x:v>
      </x:c>
      <x:c r="R44" s="22"/>
      <x:c r="S44" s="22"/>
      <x:c r="T44" s="22" t="str">
        <x:v>Not labelled as unlearning. It doesn highlight a past policy or practice that doesnt work. It ends with a generic remark.</x:v>
      </x:c>
    </x:row>
    <x:row r="45">
      <x:c r="A45" s="32" t="str">
        <x:v>P044</x:v>
      </x:c>
      <x:c r="B45" s="32" t="str">
        <x:v>ICA21:1:6</x:v>
      </x:c>
      <x:c r="C45" s="32"/>
      <x:c r="D45" s="32" t="str">
        <x:v>Expanded-only row</x:v>
      </x:c>
      <x:c r="E45" s="22" t="str">
        <x:v>Create a local command center.
 Local governments should also give close consideration to the Department of Homeland Security’s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x:v>
      </x:c>
      <x:c r="F45" s="22" t="str">
        <x:v>The Katrina Effect on American Preparedness — A report on the lessons Americans learned in watching the Katrina catastrophe unfold</x:v>
      </x:c>
      <x:c r="G45" s="22" t="str">
        <x:v>Post-Katrina preparedness.pdf</x:v>
      </x:c>
      <x:c r="H45" s="22"/>
      <x:c r="I45" s="22"/>
      <x:c r="J45" s="22"/>
      <x:c r="K45" s="22"/>
      <x:c r="L45" s="22"/>
      <x:c r="M45" s="22" t="str">
        <x:v>No</x:v>
      </x:c>
      <x:c r="N45" s="22" t="str">
        <x:v>Supplied text retained</x:v>
      </x:c>
      <x:c r="O45" s="22" t="str">
        <x:v>Text copied from the uploaded 49-row workbook without semantic editing.</x:v>
      </x:c>
      <x:c r="P45" s="22" t="str">
        <x:v>Unlearning: Yes | Target: Leadership | Government Agency: State and Local governments</x:v>
      </x:c>
      <x:c r="Q45" s="22" t="str">
        <x:v>Yes</x:v>
      </x:c>
      <x:c r="R45" s="22" t="str">
        <x:v>Leadership</x:v>
      </x:c>
      <x:c r="S45" s="22" t="str">
        <x:v>State and Local governments</x:v>
      </x:c>
      <x:c r="T45" s="22" t="str">
        <x:v>This can be labelled as unlearning as it highlights a problem with not having a local command centre and advocates for one.</x:v>
      </x:c>
    </x:row>
    <x:row r="46">
      <x:c r="A46" s="32" t="str">
        <x:v>P045</x:v>
      </x:c>
      <x:c r="B46" s="32" t="str">
        <x:v>ICA21:1:7</x:v>
      </x:c>
      <x:c r="C46" s="32"/>
      <x:c r="D46" s="32" t="str">
        <x:v>Expanded-only row</x:v>
      </x:c>
      <x:c r="E46" s="22" t="str">
        <x:v>The fourth and final pillar of a robust response system is alignment of all organizations to a central plan. There are not only too many cooks in the kitchen, as New Orleans Mayor Ray Nagin complained the day his levees collapsed, but too many recipes for action. Each one of the plans was no doubt drafted with the best of attentions, but they rarely blend together into a seamless whole. Having an aligned system means decid - ing who is in charge under which circumstances, then communicating that decision to the public</x:v>
      </x:c>
      <x:c r="F46" s="22" t="str">
        <x:v>The Katrina Effect on American Preparedness — A report on the lessons Americans learned in watching the Katrina catastrophe unfold</x:v>
      </x:c>
      <x:c r="G46" s="22" t="str">
        <x:v>Post-Katrina preparedness.pdf</x:v>
      </x:c>
      <x:c r="H46" s="22"/>
      <x:c r="I46" s="22"/>
      <x:c r="J46" s="22"/>
      <x:c r="K46" s="22"/>
      <x:c r="L46" s="22"/>
      <x:c r="M46" s="22" t="str">
        <x:v>No</x:v>
      </x:c>
      <x:c r="N46" s="22" t="str">
        <x:v>Supplied text retained</x:v>
      </x:c>
      <x:c r="O46" s="22" t="str">
        <x:v>Text copied from the uploaded 49-row workbook without semantic editing.</x:v>
      </x:c>
      <x:c r="P46" s="22" t="str">
        <x:v>Unlearning: Yes | Target: Leadership</x:v>
      </x:c>
      <x:c r="Q46" s="22" t="str">
        <x:v>Yes</x:v>
      </x:c>
      <x:c r="R46" s="22" t="str">
        <x:v>Leadership</x:v>
      </x:c>
      <x:c r="S46" s="22"/>
      <x:c r="T46" s="22" t="str">
        <x:v>Didn't label this as unlearning, as it doesnt give a specific policy suggestions, but on reflection it speaks to discarding past practice of having too many plans and confusion and subsequently having clarity on roles and responsibilities.</x:v>
      </x:c>
    </x:row>
    <x:row r="47">
      <x:c r="A47" s="32" t="str">
        <x:v>P046</x:v>
      </x:c>
      <x:c r="B47" s="32" t="str">
        <x:v>ICA21:1:8</x:v>
      </x:c>
      <x:c r="C47" s="32"/>
      <x:c r="D47" s="32" t="str">
        <x:v>Expanded-only row</x:v>
      </x:c>
      <x:c r="E47" s="22" t="str">
        <x:v>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x:v>
      </x:c>
      <x:c r="F47" s="22" t="str">
        <x:v>The Katrina Effect on American Preparedness — A report on the lessons Americans learned in watching the Katrina catastrophe unfold</x:v>
      </x:c>
      <x:c r="G47" s="22" t="str">
        <x:v>Post-Katrina preparedness.pdf</x:v>
      </x:c>
      <x:c r="H47" s="22"/>
      <x:c r="I47" s="22"/>
      <x:c r="J47" s="22"/>
      <x:c r="K47" s="22"/>
      <x:c r="L47" s="22"/>
      <x:c r="M47" s="22" t="str">
        <x:v>No</x:v>
      </x:c>
      <x:c r="N47" s="22" t="str">
        <x:v>Supplied text retained</x:v>
      </x:c>
      <x:c r="O47" s="22" t="str">
        <x:v>Text copied from the uploaded 49-row workbook without semantic editing.</x:v>
      </x:c>
      <x:c r="P47" s="22" t="str">
        <x:v>Unlearning: Yes | Target: Laws, plans and policies</x:v>
      </x:c>
      <x:c r="Q47" s="22" t="str">
        <x:v>Yes</x:v>
      </x:c>
      <x:c r="R47" s="22" t="str">
        <x:v>Laws, plans and policies</x:v>
      </x:c>
      <x:c r="S47" s="22"/>
      <x:c r="T47" s="22" t="str">
        <x:v>Labelled as unlearning as it speaks to "reduction" in questions</x:v>
      </x:c>
    </x:row>
    <x:row r="48">
      <x:c r="A48" s="32" t="str">
        <x:v>P047</x:v>
      </x:c>
      <x:c r="B48" s="32" t="str">
        <x:v>ICA21:1:9</x:v>
      </x:c>
      <x:c r="C48" s="32"/>
      <x:c r="D48" s="32" t="str">
        <x:v>Expanded-only row</x:v>
      </x:c>
      <x:c r="E48" s="22" t="str">
        <x:v>6. 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x:v>
      </x:c>
      <x:c r="F48" s="22" t="str">
        <x:v>The Katrina Effect on American Preparedness — A report on the lessons Americans learned in watching the Katrina catastrophe unfold</x:v>
      </x:c>
      <x:c r="G48" s="22" t="str">
        <x:v>Post-Katrina preparedness.pdf</x:v>
      </x:c>
      <x:c r="H48" s="22"/>
      <x:c r="I48" s="22"/>
      <x:c r="J48" s="22"/>
      <x:c r="K48" s="22"/>
      <x:c r="L48" s="22"/>
      <x:c r="M48" s="22" t="str">
        <x:v>No</x:v>
      </x:c>
      <x:c r="N48" s="22" t="str">
        <x:v>Supplied text retained</x:v>
      </x:c>
      <x:c r="O48" s="22" t="str">
        <x:v>Text copied from the uploaded 49-row workbook without semantic editing.</x:v>
      </x:c>
      <x:c r="P48" s="22" t="str">
        <x:v>Unlearning: Yes</x:v>
      </x:c>
      <x:c r="Q48" s="22" t="str">
        <x:v>Yes</x:v>
      </x:c>
      <x:c r="R48" s="22"/>
      <x:c r="S48" s="22"/>
      <x:c r="T48" s="22" t="str">
        <x:v>I had not labelled unlearning. It doesn't state a specific policy response; however,  post-discussion, I agreed that this should be labelled unlearning. It identifies a significant change in public consumption of information before, during and after a disaster and need to change strategy.</x:v>
      </x:c>
    </x:row>
    <x:row r="49">
      <x:c r="A49" s="32" t="str">
        <x:v>P048</x:v>
      </x:c>
      <x:c r="B49" s="32" t="str">
        <x:v>ICA21:0.04861111111111111</x:v>
      </x:c>
      <x:c r="C49" s="32"/>
      <x:c r="D49" s="32" t="str">
        <x:v>Expanded-only row</x:v>
      </x:c>
      <x:c r="E49" s="22" t="str">
        <x:v>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x:v>
      </x:c>
      <x:c r="F49" s="22" t="str">
        <x:v>The Katrina Effect on American Preparedness — A report on the lessons Americans learned in watching the Katrina catastrophe unfold</x:v>
      </x:c>
      <x:c r="G49" s="22" t="str">
        <x:v>Post-Katrina preparedness.pdf</x:v>
      </x:c>
      <x:c r="H49" s="22"/>
      <x:c r="I49" s="22"/>
      <x:c r="J49" s="22"/>
      <x:c r="K49" s="22"/>
      <x:c r="L49" s="22"/>
      <x:c r="M49" s="22" t="str">
        <x:v>No</x:v>
      </x:c>
      <x:c r="N49" s="22" t="str">
        <x:v>Supplied text retained</x:v>
      </x:c>
      <x:c r="O49" s="22" t="str">
        <x:v>Text copied from the uploaded 49-row workbook without semantic editing.</x:v>
      </x:c>
      <x:c r="P49" s="22" t="str">
        <x:v>Unlearning: Yes | Target: Laws, plans and policies | Target: Leadership | Government Agency: Congress | Government Agency: White House,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x:v>
      </x:c>
      <x:c r="Q49" s="22" t="str">
        <x:v>Yes</x:v>
      </x:c>
      <x:c r="R49" s="22" t="str">
        <x:v>Laws, plans and policies; Leadership</x:v>
      </x:c>
      <x:c r="S49" s="22" t="str">
        <x:v>Congress; White House,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x:v>
      </x:c>
      <x:c r="T49" s="22" t="str">
        <x:v>Agreed that this should be coded as unlearning. Had left this as it was bullet points in the executive summary but coded as unlearning in the longer description section.</x:v>
      </x:c>
    </x:row>
    <x:row r="50">
      <x:c r="A50" s="32" t="str">
        <x:v>P049</x:v>
      </x:c>
      <x:c r="B50" s="32" t="str">
        <x:v>ICA21:0.049305555555555554</x:v>
      </x:c>
      <x:c r="C50" s="32"/>
      <x:c r="D50" s="32" t="str">
        <x:v>Expanded-only row</x:v>
      </x:c>
      <x:c r="E50" s="22" t="str">
        <x:v>Key Recommendations: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x:v>
      </x:c>
      <x:c r="F50" s="22" t="str">
        <x:v>The Katrina Effect on American Preparedness — A report on the lessons Americans learned in watching the Katrina catastrophe unfold</x:v>
      </x:c>
      <x:c r="G50" s="22" t="str">
        <x:v>Post-Katrina preparedness.pdf</x:v>
      </x:c>
      <x:c r="H50" s="22"/>
      <x:c r="I50" s="22"/>
      <x:c r="J50" s="22"/>
      <x:c r="K50" s="22"/>
      <x:c r="L50" s="22"/>
      <x:c r="M50" s="22" t="str">
        <x:v>No</x:v>
      </x:c>
      <x:c r="N50" s="22" t="str">
        <x:v>Supplied text retained</x:v>
      </x:c>
      <x:c r="O50" s="22" t="str">
        <x:v>Text copied from the uploaded 49-row workbook without semantic editing.</x:v>
      </x:c>
      <x:c r="P50" s="22" t="str">
        <x:v>Unlearning: Yes | Target: Leadership | Government Agency: Congress | Government Agency: White House</x:v>
      </x:c>
      <x:c r="Q50" s="22" t="str">
        <x:v>Yes</x:v>
      </x:c>
      <x:c r="R50" s="22" t="str">
        <x:v>Leadership</x:v>
      </x:c>
      <x:c r="S50" s="22" t="str">
        <x:v>Congress; White House</x:v>
      </x:c>
      <x:c r="T50" s="22" t="str">
        <x:v>Agreed that this should be coded as unlearning. Had left this as it was bullet points in the executive summary but coded as unlearning in the longer description section.</x:v>
      </x:c>
    </x:row>
  </x:sheetData>
  <x:conditionalFormatting sqref="Q2:Q50">
    <x:cfRule type="expression" dxfId="0" priority="1">
      <x:formula>Q2="Yes"</x:formula>
    </x:cfRule>
    <x:cfRule type="expression" dxfId="1" priority="2">
      <x:formula>Q2="No"</x:formula>
    </x:cfRule>
  </x:conditionalFormatting>
  <x:conditionalFormatting sqref="N2:N50">
    <x:cfRule type="expression" dxfId="2" priority="3">
      <x:formula>N2="Source-verified restoration"</x:formula>
    </x:cfRule>
  </x:conditionalFormatting>
  <x:dataValidations count="1">
    <x:dataValidation type="list" sqref="M2:M50">
      <x:formula1>"Yes,No"</x:formula1>
    </x:dataValidation>
  </x:dataValidations>
  <x:pageMargins left="0.7" right="0.7" top="0.75" bottom="0.75" header="0.3" footer="0.3"/>
  <x:tableParts count="1">
    <x:tablePart xmlns:r="http://schemas.openxmlformats.org/officeDocument/2006/relationships" r:id="R73c7a9c5dba14a04"/>
  </x:tableParts>
</x:worksheet>
</file>

<file path=xl/worksheets/sheet3.xml><?xml version="1.0" encoding="utf-8"?>
<x:worksheet xmlns:x="http://schemas.openxmlformats.org/spreadsheetml/2006/main">
  <x:sheetFormatPr defaultRowHeight="15"/>
  <x:cols>
    <x:col min="1" max="1" width="32" hidden="0" customWidth="1"/>
    <x:col min="2" max="2" width="48" hidden="0" customWidth="1"/>
    <x:col min="3" max="3" width="45" hidden="0" customWidth="1"/>
    <x:col min="4" max="4" width="45" hidden="0" customWidth="1"/>
    <x:col min="5" max="5" width="48" hidden="0" customWidth="1"/>
    <x:col min="6" max="6" width="48" hidden="0" customWidth="1"/>
  </x:cols>
  <x:sheetData>
    <x:row r="1">
      <x:c r="A1" s="5" t="str">
        <x:v>Objective: This codebook supports an empirical, evidence-based study of how large U.S. government bureaucracies discard misaligned assumptions, obsolete knowledge, or established routines and replace them with approaches better suited to catastrophic risk. The coding sequence is: (1) binary unlearning, (2) one target for positive passages, and (3) one agency/stakeholder when identifiable.</x:v>
      </x:c>
      <x:c r="B1" s="5"/>
      <x:c r="C1" s="5"/>
      <x:c r="D1" s="5"/>
      <x:c r="E1" s="5"/>
      <x:c r="F1" s="5"/>
    </x:row>
    <x:row r="2">
      <x:c r="A2" s="14" t="str">
        <x:v>Code</x:v>
      </x:c>
      <x:c r="B2" s="14" t="str">
        <x:v>Definition</x:v>
      </x:c>
      <x:c r="C2" s="14" t="str">
        <x:v>Detection Logic</x:v>
      </x:c>
      <x:c r="D2" s="14" t="str">
        <x:v>Examples</x:v>
      </x:c>
      <x:c r="E2" s="14" t="str">
        <x:v>Positive Clarification</x:v>
      </x:c>
      <x:c r="F2" s="14" t="str">
        <x:v>Negative Clarification</x:v>
      </x:c>
    </x:row>
    <x:row r="3">
      <x:c r="A3" s="28" t="str">
        <x:v>Step 1 -- Binary classification based on unlearning definition</x:v>
      </x:c>
      <x:c r="B3" s="28"/>
      <x:c r="C3" s="28"/>
      <x:c r="D3" s="28"/>
      <x:c r="E3" s="28"/>
      <x:c r="F3" s="28"/>
    </x:row>
    <x:row r="4">
      <x:c r="A4" s="22" t="str">
        <x:v>Unlearning (Yes/No)</x:v>
      </x:c>
      <x:c r="B4" s="22" t="str">
        <x:v>Unlearning is the deliberate process by which a government agency discards misaligned assumptions, obsolete knowledge, or outdated routines in response to demonstrated failure — here, Hurricane Katrina. It becomes visible in discourse when institutions explicitly problematise a prior practice, justify its abandonment, and signal a departure from established norms.</x:v>
      </x:c>
      <x:c r="C4" s="22" t="str">
        <x:v>Does the text explicitly identify a prior policy, assumption, practice, or technical system as inadequate or harmful — AND call for its removal, replacement, or fundamental rethinking?
If YES → code as Unlearning; proceed to Step 2.
If NO  → do not code; stop here.</x:v>
      </x:c>
      <x:c r="D4" s="22" t="str">
        <x:v>"[T]he Federal government should not rely on the traditional layered approach and instead should proactively provide its capabilities and assistance directly to those in need."
— White House Report
(Prior assumption explicitly rejected; new approach mandated.)</x:v>
      </x:c>
      <x:c r="E4" s="22" t="str">
        <x:v>Code when the text:
• Names a specific prior assumption, policy, practice, or system as the source of failure.
• Explicitly calls for abandoning, replacing, dismantling, or fundamentally rethinking it.
• Frames the departure from past practice as necessary — not merely aspirational.</x:v>
      </x:c>
      <x:c r="F4" s="22" t="str">
        <x:v>DO NOT code if:
• The text only documents what went wrong without calling for change ('the levees failed').
• The change is purely additive — new resources or capacity added without rejecting prior logic.
• The text uses 'lessons learned' language that implies improvement, not replacement.
• A new tool/software is adopted but the underlying governance assumption is unchanged.
BOUNDARY CASE: Problem diagnosis alone ≠ unlearning. 'The command structure was inadequate' is NOT unlearning unless the text also calls for dismantling or replacing that structure.</x:v>
      </x:c>
    </x:row>
    <x:row r="5">
      <x:c r="A5" s="28" t="str">
        <x:v>STEP 2 — TARGET OF UNLEARNING (assign one per passage)</x:v>
      </x:c>
      <x:c r="B5" s="28"/>
      <x:c r="C5" s="28"/>
      <x:c r="D5" s="28"/>
      <x:c r="E5" s="28"/>
      <x:c r="F5" s="28"/>
    </x:row>
    <x:row r="6">
      <x:c r="A6" s="22" t="str">
        <x:v>Target (Leadership)</x:v>
      </x:c>
      <x:c r="B6" s="22" t="str">
        <x:v>The text questions or redefines the role, authority, or responsibilities of a specific leadership position (e.g., DHS Secretary, FEMA Director, POTUS) in disaster management — not merely who occupies the role, but whether the role itself is fit for purpose.</x:v>
      </x:c>
      <x:c r="C6" s="22" t="str">
        <x:v>Does the text call for redefining or redistributing leadership authority — not just replacing the person in the role?</x:v>
      </x:c>
      <x:c r="D6" s="22" t="str">
        <x:v>"[A] single individual directly responsible and accountable to the President must be designated to act as the central focal point to lead and coordinate the overall federal response…"
 — GAO
 (Prior distributed-authority model is rejected in favour of unified accountability.)</x:v>
      </x:c>
      <x:c r="E6" s="22" t="str">
        <x:v>Code when the text:
 • Calls into question whether an existing leadership structure is capable of managing catastrophic events.
 • Proposes redistributing, consolidating, or redefining authority at the leadership level.
 • Frames past leadership arrangements as a root cause of failure.</x:v>
      </x:c>
      <x:c r="F6" s="22" t="str">
        <x:v>DO NOT code if:
 • The text recommends appointing a new person to an existing, unchanged role.
 • Minor reporting-line adjustments are proposed without questioning the underlying authority structure.
 • Leadership is mentioned only as context, not as the object of change.</x:v>
      </x:c>
    </x:row>
    <x:row r="7">
      <x:c r="A7" s="22" t="str">
        <x:v>Target (laws, plans and policies)</x:v>
      </x:c>
      <x:c r="B7" s="22" t="str">
        <x:v>The text calls for terminating, replacing, or fundamentally revising a law, regulation, plan, or formal policy that is now seen as harmful, unjust, or structurally inadequate.</x:v>
      </x:c>
      <x:c r="C7" s="22" t="str">
        <x:v>Does the text identify a specific law, plan, or policy as harmful or obsolete — and call for its elimination or replacement?</x:v>
      </x:c>
      <x:c r="D7" s="22" t="str">
        <x:v>"Removing statutory restrictions on DOD authority to activate Reserve units for catastrophic disaster relief."
 — GAO 
 (Existing statutory constraint identified as harmful; removal explicitly recommended.)</x:v>
      </x:c>
      <x:c r="E7" s="22" t="str">
        <x:v>Code when the text:
 • Calls for eliminating or replacing a specific statute, executive order, plan, or doctrine.
 • Frames an existing legal or policy arrangement as a root cause of failure.
 • Proposes dismantling a governance structure, not merely amending it at the margins.</x:v>
      </x:c>
      <x:c r="F7" s="22" t="str">
        <x:v>DO NOT code if:
 • The text proposes reform or better implementation of an existing policy without questioning its underlying logic.
 • A new plan is added alongside an old one, with no indication the old one is discarded.
 • The change is a routine policy update with no connection to Katrina-identified failure.</x:v>
      </x:c>
    </x:row>
    <x:row r="8">
      <x:c r="A8" s="22" t="str">
        <x:v>Target (capabilities)</x:v>
      </x:c>
      <x:c r="B8" s="22" t="str">
        <x:v>The text identifies a technical system — model, map, software, infrastructure, training protocol, or engineering standard, assessing damage, citizen service, communications, exercise  — as built on obsolete assumptions and calls for its recalibration or replacement.</x:v>
      </x:c>
      <x:c r="C8" s="22" t="str">
        <x:v>Does the text identify a specific technical system as misaligned with catastrophic or climate-amplified risk — and call for its revision or replacement?</x:v>
      </x:c>
      <x:c r="D8" s="22" t="str">
        <x:v>"We identified the need for the federal government to upgrade training and exercises for state and local governments specifically geared towards catastrophic disaster response."
 — GAO 
 (Existing training regime is identified as inadequate for catastrophic-scale events; replacement mandated.)</x:v>
      </x:c>
      <x:c r="E8" s="22" t="str">
        <x:v>Code when the text:
 • Identifies a technical system (model, protocol, map, standard) as based on outdated or inadequate assumptions.
 • Calls for replacing engineering standards, revising risk models, or overhauling training regimes.
 • Frames the technical failure as rooted in prior assumptions, not just under-resourcing.</x:v>
      </x:c>
      <x:c r="F8" s="22" t="str">
        <x:v>DO NOT code if:
 • The text describes routine maintenance or a standard equipment upgrade with no prior assumption rejected.
 • New technology is added as a supplement without any existing system being questioned.
 • The text identifies a gap without calling for the replacement of the system that created the gap.</x:v>
      </x:c>
    </x:row>
    <x:row r="9">
      <x:c r="A9" s="22" t="str">
        <x:v>Target (funds and resource allocation)</x:v>
      </x:c>
      <x:c r="B9" s="22" t="str">
        <x:v>The text calls for changing how disaster funds are allocated, distributed, or governed — not merely requesting more funding, but questioning the rules or structures that govern resource flow.</x:v>
      </x:c>
      <x:c r="C9" s="22" t="str">
        <x:v>Does the text identify the existing funds management structure as inadequate — and call for changing how resources are allocated or governed?</x:v>
      </x:c>
      <x:c r="D9" s="22" t="str">
        <x:v>"Federal agencies involved in managing international assistance were not prepared to coordinate, receive, distribute, or account for the assistance… agencies had not planned for the acceptance of international assistance for use in the United States."
 — GAO 
 (Absence of a resource-management framework identified; new procedures explicitly required.)</x:v>
      </x:c>
      <x:c r="E9" s="22" t="str">
        <x:v>Code when the text:
 • Calls for changing the rules, structures, or authorities governing funds distribution.
 • Identifies an existing allocation logic as a source of inequity or failure.
 • Proposes dismantling or replacing a resource governance mechanism.</x:v>
      </x:c>
      <x:c r="F9" s="22" t="str">
        <x:v>DO NOT code if:
 • The text only requests additional funding without questioning how existing funds are managed.
 • A new grant programme is added without any existing allocation logic being rejected.
 • Funds management approach remains substantively unchanged.</x:v>
      </x:c>
    </x:row>
    <x:row r="10">
      <x:c r="A10" s="22" t="str">
        <x:v>Target (miscellaneous) organizational culture, communication norms, or inter-agency coordination logics not captured above</x:v>
      </x:c>
      <x:c r="B10" s="22" t="str">
        <x:v>The text calls for unlearning in a domain not captured above — such as inter-agency coordination norms, communication protocols, or organisational culture — where a specific prior assumption or practice is explicitly rejected.</x:v>
      </x:c>
      <x:c r="C10" s="22" t="str">
        <x:v>Does the text call for discarding a prior assumption or practice in a domain not covered by the four targets above?</x:v>
      </x:c>
      <x:c r="D10" s="22" t="str">
        <x:v>Use sparingly. Flag for team discussion if used more than 10% of coded passages.</x:v>
      </x:c>
      <x:c r="E10" s="22" t="str">
        <x:v>Code when the text:
 • Explicitly rejects a prior norm or practice in coordination, culture, or communication.
 • Cannot reasonably be assigned to any of the four primary targets.</x:v>
      </x:c>
      <x:c r="F10" s="22" t="str">
        <x:v>DO NOT use as a default catch-all. If the passage is ambiguous across targets, assign the closest primary target and note the ambiguity. Reserve this code for genuinely novel domains.
 Flag all uses of this code for inter-coder discussion.</x:v>
      </x:c>
    </x:row>
    <x:row r="11">
      <x:c r="A11" s="28" t="str">
        <x:v>STEP 3 — STAKEHOLDER / AGENCY (assign one per passage)</x:v>
      </x:c>
      <x:c r="B11" s="28"/>
      <x:c r="C11" s="28"/>
      <x:c r="D11" s="28"/>
      <x:c r="E11" s="28"/>
      <x:c r="F11" s="28"/>
    </x:row>
    <x:row r="12">
      <x:c r="A12" s="22" t="str">
        <x:v>Government Agency</x:v>
      </x:c>
      <x:c r="B12" s="22" t="str">
        <x:v>The specific federal agency, sub-unit, or institutional actor identified in the passage as the subject of unlearning — i.e., the entity whose prior assumption or practice is being rejected.</x:v>
      </x:c>
      <x:c r="C12" s="22" t="str">
        <x:v>Does the text name a specific agency, office, or sub-unit as the actor whose prior practice must change?</x:v>
      </x:c>
      <x:c r="D12" s="22" t="str">
        <x:v>"[O]ther factors such as leadership and resources may be more important to FEMA's future success than organizational placement."
 — GAO
 (FEMA named as the agency whose organisational logic is under scrutiny.)</x:v>
      </x:c>
      <x:c r="E12" s="22" t="str">
        <x:v>Code when the text:
 • Names a specific government agency, office, or legal mechanism as the subject of change.
 • Code at the most specific level mentioned (e.g., 'FEMA Operations Division', not just 'FEMA').</x:v>
      </x:c>
      <x:c r="F12" s="22" t="str">
        <x:v>DO NOT code the agency calling for change (e.g., GAO recommending FEMA reform) — code only the agency whose practices are the object of unlearning.</x:v>
      </x:c>
    </x:row>
    <x:row r="13">
      <x:c r="A13" s="28" t="str">
        <x:v>CODING PROCEDURE &amp; UNIT OF ANALYSIS</x:v>
      </x:c>
      <x:c r="B13" s="28"/>
      <x:c r="C13" s="28"/>
      <x:c r="D13" s="28"/>
      <x:c r="E13" s="28"/>
      <x:c r="F13" s="28"/>
    </x:row>
    <x:row r="14">
      <x:c r="A14" s="22" t="str">
        <x:v>Unit of Analysis</x:v>
      </x:c>
      <x:c r="B14" s="22" t="str">
        <x:v>Code at the paragraph level. Do not split a paragraph across multiple codes.</x:v>
      </x:c>
      <x:c r="C14" s="22" t="str">
        <x:v>Does the paragraph as a whole constitute an instance of unlearning?</x:v>
      </x:c>
      <x:c r="D14" s="22" t="str">
        <x:v>If a paragraph contains both diagnostic language and a call for change, code the paragraph as Unlearning (Yes).</x:v>
      </x:c>
      <x:c r="E14" s="22" t="str">
        <x:v>Code the entire paragraph — do not extract individual sentences.</x:v>
      </x:c>
      <x:c r="F14" s="22" t="str">
        <x:v>If the paragraph only diagnoses a problem without calling for change, do NOT code as unlearning.</x:v>
      </x:c>
    </x:row>
    <x:row r="15">
      <x:c r="A15" s="22" t="str">
        <x:v>ICA Protocol</x:v>
      </x:c>
      <x:c r="B15" s="22" t="str">
        <x:v>Each coder assigns: (1) Unlearning Yes/No, (2) Target, (3) Agency. Disagreements on any dimension are flagged and resolved by majority or adjudication.</x:v>
      </x:c>
      <x:c r="C15" s="22" t="str">
        <x:v>—</x:v>
      </x:c>
      <x:c r="D15" s="22" t="str">
        <x:v>Target: Miscellaneous and boundary-case passages should be flagged for team discussion before finalising.</x:v>
      </x:c>
      <x:c r="E15" s="22" t="str">
        <x:v>Record all disagreements and resolutions in the ICA log.</x:v>
      </x:c>
      <x:c r="F15" s="22" t="str">
        <x:v>Do not adjudicate privately — all boundary cases go to the full team.</x:v>
      </x:c>
    </x:row>
    <x:row r="16">
      <x:c r="A16" s="34" t="str">
        <x:v>Evidence Requirements</x:v>
      </x:c>
      <x:c r="B16" s="34" t="str">
        <x:v>For binary coding, record the prior practice or assumption, the demonstrated inadequacy or failure, and the proposed departure before assigning the label.</x:v>
      </x:c>
      <x:c r="C16" s="34" t="str">
        <x:v>A strict evidence-supported Yes requires: (1) an identifiable prior practice/assumption/system, (2) failure or inadequacy linked to it, and (3) removal, replacement, suspension, redistribution, movement away from, or fundamental rethinking.</x:v>
      </x:c>
      <x:c r="D16" s="34" t="str">
        <x:v>Evidence fields are extracted before the binary decision so disagreements can be traced to missing evidence, interpretation, or the decision rule.</x:v>
      </x:c>
      <x:c r="E16" s="34" t="str">
        <x:v>Literal verbs such as “abandon” or “replace” are not required. Functional equivalents may include “move away from,” “no longer rely on,” “shift authority,” “suspend,” “eliminate,” or “replace business as usual.”</x:v>
      </x:c>
      <x:c r="F16" s="34" t="str">
        <x:v>Do not infer missing evidence. Diagnosis alone, additive capacity, routine improvement, and lessons-learned language alone are insufficient.</x:v>
      </x:c>
    </x:row>
    <x:row r="17">
      <x:c r="A17" s="34" t="str">
        <x:v>Verified Context Use</x:v>
      </x:c>
      <x:c r="B17" s="34" t="str">
        <x:v>Adjacent context may be used only when it has been verified against the source document and explicitly marked as verified.</x:v>
      </x:c>
      <x:c r="C17" s="34" t="str">
        <x:v>Use context to resolve references or connect the target paragraph’s diagnosis and proposed change. Keep the target paragraph as the unit of analysis.</x:v>
      </x:c>
      <x:c r="D17" s="34" t="str">
        <x:v>A target paragraph may qualify when its evidence is distributed across verified adjacent context and clearly refers to the same prior practice and change.</x:v>
      </x:c>
      <x:c r="E17" s="34" t="str">
        <x:v>Context can clarify an otherwise incomplete reference.</x:v>
      </x:c>
      <x:c r="F17" s="34" t="str">
        <x:v>Do not code the target paragraph Yes solely because a neighboring paragraph independently contains unlearning.</x:v>
      </x:c>
    </x:row>
    <x:row r="18">
      <x:c r="A18" s="26" t="str">
        <x:v>Revised operational copy — Targets retained | Retired Pillar, Depth, and Nature dimensions excluded | Evidence-first binary coding | Paragraph-level coding | Verified-context rule</x:v>
      </x:c>
      <x:c r="B18" s="26"/>
      <x:c r="C18" s="26"/>
      <x:c r="D18" s="26"/>
      <x:c r="E18" s="26"/>
      <x:c r="F18" s="26"/>
    </x:row>
  </x:sheetData>
  <x:mergeCells>
    <x:mergeCell ref="A1:F1"/>
  </x:mergeCell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62" hidden="0" customWidth="1"/>
    <x:col min="4" max="4" width="44" hidden="0" customWidth="1"/>
    <x:col min="5" max="5" width="20" hidden="0" customWidth="1"/>
  </x:cols>
  <x:sheetData>
    <x:row r="1">
      <x:c r="A1" s="14" t="str">
        <x:v>Rule ID</x:v>
      </x:c>
      <x:c r="B1" s="14" t="str">
        <x:v>Stage</x:v>
      </x:c>
      <x:c r="C1" s="14" t="str">
        <x:v>Operational Rule</x:v>
      </x:c>
      <x:c r="D1" s="14" t="str">
        <x:v>Purpose</x:v>
      </x:c>
      <x:c r="E1" s="14" t="str">
        <x:v>Included in Model Prompt</x:v>
      </x:c>
    </x:row>
    <x:row r="2">
      <x:c r="A2" s="22" t="str">
        <x:v>B01</x:v>
      </x:c>
      <x:c r="B2" s="22" t="str">
        <x:v>Binary</x:v>
      </x:c>
      <x:c r="C2" s="22" t="str">
        <x:v>Extract evidence before deciding.</x:v>
      </x:c>
      <x:c r="D2" s="22" t="str">
        <x:v>Separates evidence failure from label failure.</x:v>
      </x:c>
      <x:c r="E2" s="22" t="str">
        <x:v>Yes</x:v>
      </x:c>
    </x:row>
    <x:row r="3">
      <x:c r="A3" s="22" t="str">
        <x:v>B02</x:v>
      </x:c>
      <x:c r="B3" s="22" t="str">
        <x:v>Binary</x:v>
      </x:c>
      <x:c r="C3" s="22" t="str">
        <x:v>Identify the prior policy, assumption, practice, routine, role structure, or technical system.</x:v>
      </x:c>
      <x:c r="D3" s="22" t="str">
        <x:v>The codebook requires a specific prior approach.</x:v>
      </x:c>
      <x:c r="E3" s="22" t="str">
        <x:v>Yes</x:v>
      </x:c>
    </x:row>
    <x:row r="4">
      <x:c r="A4" s="22" t="str">
        <x:v>B03</x:v>
      </x:c>
      <x:c r="B4" s="22" t="str">
        <x:v>Binary</x:v>
      </x:c>
      <x:c r="C4" s="22" t="str">
        <x:v>Identify how the prior approach was inadequate, harmful, obsolete, or linked to failure.</x:v>
      </x:c>
      <x:c r="D4" s="22" t="str">
        <x:v>Diagnosis must be tied to the prior approach.</x:v>
      </x:c>
      <x:c r="E4" s="22" t="str">
        <x:v>Yes</x:v>
      </x:c>
    </x:row>
    <x:row r="5">
      <x:c r="A5" s="22" t="str">
        <x:v>B04</x:v>
      </x:c>
      <x:c r="B5" s="22" t="str">
        <x:v>Binary</x:v>
      </x:c>
      <x:c r="C5" s="22" t="str">
        <x:v>Identify the proposed departure from the prior approach.</x:v>
      </x:c>
      <x:c r="D5" s="22" t="str">
        <x:v>A positive case requires removal, replacement, suspension, redistribution, or fundamental rethinking.</x:v>
      </x:c>
      <x:c r="E5" s="22" t="str">
        <x:v>Yes</x:v>
      </x:c>
    </x:row>
    <x:row r="6">
      <x:c r="A6" s="22" t="str">
        <x:v>B05</x:v>
      </x:c>
      <x:c r="B6" s="22" t="str">
        <x:v>Binary</x:v>
      </x:c>
      <x:c r="C6" s="22" t="str">
        <x:v>Literal words such as abandon or replace are not required.</x:v>
      </x:c>
      <x:c r="D6" s="22" t="str">
        <x:v>Prevents overly literal false negatives.</x:v>
      </x:c>
      <x:c r="E6" s="22" t="str">
        <x:v>Yes</x:v>
      </x:c>
    </x:row>
    <x:row r="7">
      <x:c r="A7" s="22" t="str">
        <x:v>B06</x:v>
      </x:c>
      <x:c r="B7" s="22" t="str">
        <x:v>Binary</x:v>
      </x:c>
      <x:c r="C7" s="22" t="str">
        <x:v>Treat move away from, no longer rely on, shift authority, suspend, eliminate, and replace business as usual as possible functional equivalents.</x:v>
      </x:c>
      <x:c r="D7" s="22" t="str">
        <x:v>Captures semantic departure while preserving the strict definition.</x:v>
      </x:c>
      <x:c r="E7" s="22" t="str">
        <x:v>Yes</x:v>
      </x:c>
    </x:row>
    <x:row r="8">
      <x:c r="A8" s="22" t="str">
        <x:v>B07</x:v>
      </x:c>
      <x:c r="B8" s="22" t="str">
        <x:v>Binary</x:v>
      </x:c>
      <x:c r="C8" s="22" t="str">
        <x:v>Diagnosis alone, additive capacity, routine improvement, and lessons-learned language are not sufficient.</x:v>
      </x:c>
      <x:c r="D8" s="22" t="str">
        <x:v>Preserves specificity.</x:v>
      </x:c>
      <x:c r="E8" s="22" t="str">
        <x:v>Yes</x:v>
      </x:c>
    </x:row>
    <x:row r="9">
      <x:c r="A9" s="22" t="str">
        <x:v>B08</x:v>
      </x:c>
      <x:c r="B9" s="22" t="str">
        <x:v>Binary</x:v>
      </x:c>
      <x:c r="C9" s="22" t="str">
        <x:v>Return exact short evidence excerpts or null; do not invent evidence.</x:v>
      </x:c>
      <x:c r="D9" s="22" t="str">
        <x:v>Improves auditability.</x:v>
      </x:c>
      <x:c r="E9" s="22" t="str">
        <x:v>Yes</x:v>
      </x:c>
    </x:row>
    <x:row r="10">
      <x:c r="A10" s="22" t="str">
        <x:v>C01</x:v>
      </x:c>
      <x:c r="B10" s="22" t="str">
        <x:v>Context</x:v>
      </x:c>
      <x:c r="C10" s="22" t="str">
        <x:v>Use only context marked Context Verified = Yes.</x:v>
      </x:c>
      <x:c r="D10" s="22" t="str">
        <x:v>Prevents fabricated or accidental adjacency.</x:v>
      </x:c>
      <x:c r="E10" s="22" t="str">
        <x:v>Yes</x:v>
      </x:c>
    </x:row>
    <x:row r="11">
      <x:c r="A11" s="22" t="str">
        <x:v>C02</x:v>
      </x:c>
      <x:c r="B11" s="22" t="str">
        <x:v>Context</x:v>
      </x:c>
      <x:c r="C11" s="22" t="str">
        <x:v>Use context only to resolve references or connect evidence; do not let a neighboring paragraph independently determine the target label.</x:v>
      </x:c>
      <x:c r="D11" s="22" t="str">
        <x:v>Maintains paragraph-level coding.</x:v>
      </x:c>
      <x:c r="E11" s="22" t="str">
        <x:v>Yes</x:v>
      </x:c>
    </x:row>
    <x:row r="12">
      <x:c r="A12" s="22" t="str">
        <x:v>T01</x:v>
      </x:c>
      <x:c r="B12" s="22" t="str">
        <x:v>Target</x:v>
      </x:c>
      <x:c r="C12" s="22" t="str">
        <x:v>Classify target and agency only after the binary stage.</x:v>
      </x:c>
      <x:c r="D12" s="22" t="str">
        <x:v>Avoids target ambiguity influencing the binary decision.</x:v>
      </x:c>
      <x:c r="E12" s="22" t="str">
        <x:v>Yes</x:v>
      </x:c>
    </x:row>
    <x:row r="13">
      <x:c r="A13" s="22" t="str">
        <x:v>T02</x:v>
      </x:c>
      <x:c r="B13" s="22" t="str">
        <x:v>Target</x:v>
      </x:c>
      <x:c r="C13" s="22" t="str">
        <x:v>Code the agency whose prior practice is being rejected, not the agency making the recommendation.</x:v>
      </x:c>
      <x:c r="D13" s="22" t="str">
        <x:v>Matches the codebook agency rule.</x:v>
      </x:c>
      <x:c r="E13" s="22" t="str">
        <x:v>Yes</x:v>
      </x:c>
    </x:row>
    <x:row r="14">
      <x:c r="A14" s="22" t="str">
        <x:v>E01</x:v>
      </x:c>
      <x:c r="B14" s="22" t="str">
        <x:v>Evaluation</x:v>
      </x:c>
      <x:c r="C14" s="22" t="str">
        <x:v>Report model judgment and strict evidence-derived judgment separately.</x:v>
      </x:c>
      <x:c r="D14" s="22" t="str">
        <x:v>Shows whether errors come from reasoning or evidence consistency.</x:v>
      </x:c>
      <x:c r="E14" s="22" t="str">
        <x:v>No</x:v>
      </x:c>
    </x:row>
    <x:row r="15">
      <x:c r="A15" s="22" t="str">
        <x:v>E02</x:v>
      </x:c>
      <x:c r="B15" s="22" t="str">
        <x:v>Evaluation</x:v>
      </x:c>
      <x:c r="C15" s="22" t="str">
        <x:v>Report All 49, legacy-linked unique rows, expanded-only rows, document groups, and context-available rows.</x:v>
      </x:c>
      <x:c r="D15" s="22" t="str">
        <x:v>Prevents aggregate accuracy from hiding subgroup behavior.</x:v>
      </x:c>
      <x:c r="E15" s="22" t="str">
        <x:v>No</x:v>
      </x:c>
    </x:row>
    <x:row r="16">
      <x:c r="A16" s="22" t="str">
        <x:v>E03</x:v>
      </x:c>
      <x:c r="B16" s="22" t="str">
        <x:v>Evaluation</x:v>
      </x:c>
      <x:c r="C16" s="22" t="str">
        <x:v>Do not tune a probability threshold on this 49-row test set.</x:v>
      </x:c>
      <x:c r="D16" s="22" t="str">
        <x:v>Avoids test-set leakage.</x:v>
      </x:c>
      <x:c r="E16" s="22" t="str">
        <x:v>No</x:v>
      </x:c>
    </x:row>
    <x:row r="17">
      <x:c r="A17" s="22" t="str">
        <x:v>E04</x:v>
      </x:c>
      <x:c r="B17" s="22" t="str">
        <x:v>Evaluation</x:v>
      </x:c>
      <x:c r="C17" s="22" t="str">
        <x:v>Use finalized adjudicated labels when present; otherwise preserve original labels as provisional.</x:v>
      </x:c>
      <x:c r="D17" s="22" t="str">
        <x:v>Prevents silent relabeling.</x:v>
      </x:c>
      <x:c r="E17" s="22" t="str">
        <x:v>No</x:v>
      </x:c>
    </x:row>
  </x:sheetData>
  <x:conditionalFormatting sqref="E2:E17">
    <x:cfRule type="expression" dxfId="3" priority="1">
      <x:formula>E2="Yes"</x:formula>
    </x:cfRule>
  </x:conditionalFormatting>
  <x:dataValidations count="1">
    <x:dataValidation type="list" sqref="E2:E17">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0" hidden="0" customWidth="1"/>
    <x:col min="2" max="2" width="20" hidden="0" customWidth="1"/>
    <x:col min="3" max="3" width="40" hidden="0" customWidth="1"/>
    <x:col min="4" max="4" width="16" hidden="0" customWidth="1"/>
    <x:col min="5" max="5" width="22" hidden="0" customWidth="1"/>
    <x:col min="6" max="6" width="28" hidden="0" customWidth="1"/>
    <x:col min="7" max="7" width="42" hidden="0" customWidth="1"/>
    <x:col min="8" max="8" width="36" hidden="0" customWidth="1"/>
    <x:col min="9" max="9" width="36" hidden="0" customWidth="1"/>
    <x:col min="10" max="10" width="36" hidden="0" customWidth="1"/>
    <x:col min="11" max="11" width="28" hidden="0" customWidth="1"/>
    <x:col min="12" max="12" width="24" hidden="0" customWidth="1"/>
    <x:col min="13" max="13" width="16" hidden="0" customWidth="1"/>
    <x:col min="14" max="14" width="24" hidden="0" customWidth="1"/>
    <x:col min="15" max="15" width="28" hidden="0" customWidth="1"/>
    <x:col min="16" max="16" width="18" hidden="0" customWidth="1"/>
    <x:col min="17" max="17" width="14" hidden="0" customWidth="1"/>
    <x:col min="18" max="18" width="42" hidden="0" customWidth="1"/>
  </x:cols>
  <x:sheetData>
    <x:row r="1">
      <x:c r="A1" s="14" t="str">
        <x:v>Row ID</x:v>
      </x:c>
      <x:c r="B1" s="14" t="str">
        <x:v>Source Label ID</x:v>
      </x:c>
      <x:c r="C1" s="14" t="str">
        <x:v>Document Title</x:v>
      </x:c>
      <x:c r="D1" s="14" t="str">
        <x:v>Original Unlearning</x:v>
      </x:c>
      <x:c r="E1" s="14" t="str">
        <x:v>Original Target</x:v>
      </x:c>
      <x:c r="F1" s="14" t="str">
        <x:v>Original Government Agency</x:v>
      </x:c>
      <x:c r="G1" s="14" t="str">
        <x:v>Human Rationale</x:v>
      </x:c>
      <x:c r="H1" s="14" t="str">
        <x:v>Prior Practice Evidence</x:v>
      </x:c>
      <x:c r="I1" s="14" t="str">
        <x:v>Failure/Inadequacy Evidence</x:v>
      </x:c>
      <x:c r="J1" s="14" t="str">
        <x:v>Proposed Change Evidence</x:v>
      </x:c>
      <x:c r="K1" s="14" t="str">
        <x:v>Change Type</x:v>
      </x:c>
      <x:c r="L1" s="14" t="str">
        <x:v>Review Decision</x:v>
      </x:c>
      <x:c r="M1" s="14" t="str">
        <x:v>Final Unlearning</x:v>
      </x:c>
      <x:c r="N1" s="14" t="str">
        <x:v>Final Target</x:v>
      </x:c>
      <x:c r="O1" s="14" t="str">
        <x:v>Final Government Agency</x:v>
      </x:c>
      <x:c r="P1" s="14" t="str">
        <x:v>Reviewer</x:v>
      </x:c>
      <x:c r="Q1" s="14" t="str">
        <x:v>Review Date</x:v>
      </x:c>
      <x:c r="R1" s="14" t="str">
        <x:v>Notes</x:v>
      </x:c>
    </x:row>
    <x:row r="2">
      <x:c r="A2" s="22" t="str">
        <x:v>P001</x:v>
      </x:c>
      <x:c r="B2" s="22" t="str">
        <x:v>ICA25:1:1</x:v>
      </x:c>
      <x:c r="C2" s="22" t="str">
        <x:v>Lessons Learned: EPA’s Response to Hurricane Katrina</x:v>
      </x:c>
      <x:c r="D2" s="22" t="str">
        <x:v>No</x:v>
      </x:c>
      <x:c r="E2" s="22"/>
      <x:c r="F2" s="22"/>
      <x:c r="G2" s="22" t="str">
        <x:v>Not unlearning. As no logic being abandoned.</x:v>
      </x:c>
      <x:c r="H2" s="22"/>
      <x:c r="I2" s="22"/>
      <x:c r="J2" s="22"/>
      <x:c r="K2" s="22" t="str">
        <x:v>Pending</x:v>
      </x:c>
      <x:c r="L2" s="22" t="str">
        <x:v>Pending</x:v>
      </x:c>
      <x:c r="M2" s="22"/>
      <x:c r="N2" s="22"/>
      <x:c r="O2" s="22"/>
      <x:c r="P2" s="22"/>
      <x:c r="Q2" s="22"/>
      <x:c r="R2" s="22"/>
    </x:row>
    <x:row r="3">
      <x:c r="A3" s="22" t="str">
        <x:v>P002</x:v>
      </x:c>
      <x:c r="B3" s="22" t="str">
        <x:v>ICA25:1:2</x:v>
      </x:c>
      <x:c r="C3" s="22" t="str">
        <x:v>Lessons Learned: EPA’s Response to Hurricane Katrina</x:v>
      </x:c>
      <x:c r="D3" s="22" t="str">
        <x:v>No</x:v>
      </x:c>
      <x:c r="E3" s="22"/>
      <x:c r="F3" s="22"/>
      <x:c r="G3" s="22" t="str">
        <x:v>Not unlearning. As no logic being abandoned just better cooordination.</x:v>
      </x:c>
      <x:c r="H3" s="22"/>
      <x:c r="I3" s="22"/>
      <x:c r="J3" s="22"/>
      <x:c r="K3" s="22" t="str">
        <x:v>Pending</x:v>
      </x:c>
      <x:c r="L3" s="22" t="str">
        <x:v>Pending</x:v>
      </x:c>
      <x:c r="M3" s="22"/>
      <x:c r="N3" s="22"/>
      <x:c r="O3" s="22"/>
      <x:c r="P3" s="22"/>
      <x:c r="Q3" s="22"/>
      <x:c r="R3" s="22"/>
    </x:row>
    <x:row r="4">
      <x:c r="A4" s="22" t="str">
        <x:v>P003</x:v>
      </x:c>
      <x:c r="B4" s="22" t="str">
        <x:v>ICA25:1:3</x:v>
      </x:c>
      <x:c r="C4" s="22" t="str">
        <x:v>Lessons Learned: EPA’s Response to Hurricane Katrina</x:v>
      </x:c>
      <x:c r="D4" s="22" t="str">
        <x:v>Yes</x:v>
      </x:c>
      <x:c r="E4" s="22"/>
      <x:c r="F4" s="22" t="str">
        <x:v>EPA</x:v>
      </x:c>
      <x:c r="G4" s="22" t="str">
        <x:v>Unlearning as it states EPA was not commuunicating. Implies change in EPA communication.</x:v>
      </x:c>
      <x:c r="H4" s="22"/>
      <x:c r="I4" s="22"/>
      <x:c r="J4" s="22"/>
      <x:c r="K4" s="22" t="str">
        <x:v>Pending</x:v>
      </x:c>
      <x:c r="L4" s="22" t="str">
        <x:v>Pending</x:v>
      </x:c>
      <x:c r="M4" s="22"/>
      <x:c r="N4" s="22"/>
      <x:c r="O4" s="22"/>
      <x:c r="P4" s="22"/>
      <x:c r="Q4" s="22"/>
      <x:c r="R4" s="22"/>
    </x:row>
    <x:row r="5">
      <x:c r="A5" s="22" t="str">
        <x:v>P004</x:v>
      </x:c>
      <x:c r="B5" s="22" t="str">
        <x:v>ICA25:1:4</x:v>
      </x:c>
      <x:c r="C5" s="22" t="str">
        <x:v>Lessons Learned: EPA’s Response to Hurricane Katrina</x:v>
      </x:c>
      <x:c r="D5" s="22" t="str">
        <x:v>Yes</x:v>
      </x:c>
      <x:c r="E5" s="22"/>
      <x:c r="F5" s="22" t="str">
        <x:v>EPA</x:v>
      </x:c>
      <x:c r="G5" s="22" t="str">
        <x:v>Unlearning as it focuses on establishing teams, defining responsiliblites.</x:v>
      </x:c>
      <x:c r="H5" s="22"/>
      <x:c r="I5" s="22"/>
      <x:c r="J5" s="22"/>
      <x:c r="K5" s="22" t="str">
        <x:v>Pending</x:v>
      </x:c>
      <x:c r="L5" s="22" t="str">
        <x:v>Pending</x:v>
      </x:c>
      <x:c r="M5" s="22"/>
      <x:c r="N5" s="22"/>
      <x:c r="O5" s="22"/>
      <x:c r="P5" s="22"/>
      <x:c r="Q5" s="22"/>
      <x:c r="R5" s="22"/>
    </x:row>
    <x:row r="6">
      <x:c r="A6" s="22" t="str">
        <x:v>P005</x:v>
      </x:c>
      <x:c r="B6" s="22" t="str">
        <x:v>ICA25:1:5</x:v>
      </x:c>
      <x:c r="C6" s="22" t="str">
        <x:v>Lessons Learned: EPA’s Response to Hurricane Katrina</x:v>
      </x:c>
      <x:c r="D6" s="22" t="str">
        <x:v>Yes</x:v>
      </x:c>
      <x:c r="E6" s="22"/>
      <x:c r="F6" s="22" t="str">
        <x:v>EPA</x:v>
      </x:c>
      <x:c r="G6" s="22" t="str">
        <x:v>Unlearning as they intend to "reevaluate" current communication procudures.</x:v>
      </x:c>
      <x:c r="H6" s="22"/>
      <x:c r="I6" s="22"/>
      <x:c r="J6" s="22"/>
      <x:c r="K6" s="22" t="str">
        <x:v>Pending</x:v>
      </x:c>
      <x:c r="L6" s="22" t="str">
        <x:v>Pending</x:v>
      </x:c>
      <x:c r="M6" s="22"/>
      <x:c r="N6" s="22"/>
      <x:c r="O6" s="22"/>
      <x:c r="P6" s="22"/>
      <x:c r="Q6" s="22"/>
      <x:c r="R6" s="22"/>
    </x:row>
    <x:row r="7">
      <x:c r="A7" s="22" t="str">
        <x:v>P006</x:v>
      </x:c>
      <x:c r="B7" s="22" t="str">
        <x:v>ICA25:1:6</x:v>
      </x:c>
      <x:c r="C7" s="22" t="str">
        <x:v>Lessons Learned: EPA’s Response to Hurricane Katrina</x:v>
      </x:c>
      <x:c r="D7" s="22" t="str">
        <x:v>Yes</x:v>
      </x:c>
      <x:c r="E7" s="22"/>
      <x:c r="F7" s="22"/>
      <x:c r="G7" s="22" t="str">
        <x:v>References WTC. From past.</x:v>
      </x:c>
      <x:c r="H7" s="22"/>
      <x:c r="I7" s="22"/>
      <x:c r="J7" s="22"/>
      <x:c r="K7" s="22" t="str">
        <x:v>Pending</x:v>
      </x:c>
      <x:c r="L7" s="22" t="str">
        <x:v>Pending</x:v>
      </x:c>
      <x:c r="M7" s="22"/>
      <x:c r="N7" s="22"/>
      <x:c r="O7" s="22"/>
      <x:c r="P7" s="22"/>
      <x:c r="Q7" s="22"/>
      <x:c r="R7" s="22"/>
    </x:row>
    <x:row r="8">
      <x:c r="A8" s="22" t="str">
        <x:v>P007</x:v>
      </x:c>
      <x:c r="B8" s="22" t="str">
        <x:v>ICA25:1:9</x:v>
      </x:c>
      <x:c r="C8" s="22" t="str">
        <x:v>Lessons Learned: EPA’s Response to Hurricane Katrina</x:v>
      </x:c>
      <x:c r="D8" s="22" t="str">
        <x:v>No</x:v>
      </x:c>
      <x:c r="E8" s="22"/>
      <x:c r="F8" s="22"/>
      <x:c r="G8" s="22" t="str">
        <x:v>not unlearning</x:v>
      </x:c>
      <x:c r="H8" s="22"/>
      <x:c r="I8" s="22"/>
      <x:c r="J8" s="22"/>
      <x:c r="K8" s="22" t="str">
        <x:v>Pending</x:v>
      </x:c>
      <x:c r="L8" s="22" t="str">
        <x:v>Pending</x:v>
      </x:c>
      <x:c r="M8" s="22"/>
      <x:c r="N8" s="22"/>
      <x:c r="O8" s="22"/>
      <x:c r="P8" s="22"/>
      <x:c r="Q8" s="22"/>
      <x:c r="R8" s="22"/>
    </x:row>
    <x:row r="9">
      <x:c r="A9" s="22" t="str">
        <x:v>P008</x:v>
      </x:c>
      <x:c r="B9" s="22" t="str">
        <x:v>ICA25:1:10</x:v>
      </x:c>
      <x:c r="C9" s="22" t="str">
        <x:v>Lessons Learned: EPA’s Response to Hurricane Katrina</x:v>
      </x:c>
      <x:c r="D9" s="22" t="str">
        <x:v>Yes</x:v>
      </x:c>
      <x:c r="E9" s="22"/>
      <x:c r="F9" s="22" t="str">
        <x:v>EPA; EPA region 6; USACE</x:v>
      </x:c>
      <x:c r="G9" s="22" t="str">
        <x:v>Coordination needs to be better.</x:v>
      </x:c>
      <x:c r="H9" s="22"/>
      <x:c r="I9" s="22"/>
      <x:c r="J9" s="22"/>
      <x:c r="K9" s="22" t="str">
        <x:v>Pending</x:v>
      </x:c>
      <x:c r="L9" s="22" t="str">
        <x:v>Pending</x:v>
      </x:c>
      <x:c r="M9" s="22"/>
      <x:c r="N9" s="22"/>
      <x:c r="O9" s="22"/>
      <x:c r="P9" s="22"/>
      <x:c r="Q9" s="22"/>
      <x:c r="R9" s="22"/>
    </x:row>
    <x:row r="10">
      <x:c r="A10" s="22" t="str">
        <x:v>P009</x:v>
      </x:c>
      <x:c r="B10" s="22" t="str">
        <x:v>ICA25:1:11</x:v>
      </x:c>
      <x:c r="C10" s="22" t="str">
        <x:v>Lessons Learned: EPA’s Response to Hurricane Katrina</x:v>
      </x:c>
      <x:c r="D10" s="22" t="str">
        <x:v>Yes</x:v>
      </x:c>
      <x:c r="E10" s="22"/>
      <x:c r="F10" s="22" t="str">
        <x:v>EPA</x:v>
      </x:c>
      <x:c r="G10" s="22" t="str">
        <x:v>Corrrecting flawed approach fro water trasnp[ort.</x:v>
      </x:c>
      <x:c r="H10" s="22"/>
      <x:c r="I10" s="22"/>
      <x:c r="J10" s="22"/>
      <x:c r="K10" s="22" t="str">
        <x:v>Pending</x:v>
      </x:c>
      <x:c r="L10" s="22" t="str">
        <x:v>Pending</x:v>
      </x:c>
      <x:c r="M10" s="22"/>
      <x:c r="N10" s="22"/>
      <x:c r="O10" s="22"/>
      <x:c r="P10" s="22"/>
      <x:c r="Q10" s="22"/>
      <x:c r="R10" s="22"/>
    </x:row>
    <x:row r="11">
      <x:c r="A11" s="22" t="str">
        <x:v>P010</x:v>
      </x:c>
      <x:c r="B11" s="22" t="str">
        <x:v>ICA25:1:12</x:v>
      </x:c>
      <x:c r="C11" s="22" t="str">
        <x:v>Lessons Learned: EPA’s Response to Hurricane Katrina</x:v>
      </x:c>
      <x:c r="D11" s="22" t="str">
        <x:v>Yes</x:v>
      </x:c>
      <x:c r="E11" s="22"/>
      <x:c r="F11" s="22" t="str">
        <x:v>USACE</x:v>
      </x:c>
      <x:c r="G11" s="22" t="str">
        <x:v>These agencies didnt understand each others protocols.</x:v>
      </x:c>
      <x:c r="H11" s="22"/>
      <x:c r="I11" s="22"/>
      <x:c r="J11" s="22"/>
      <x:c r="K11" s="22" t="str">
        <x:v>Pending</x:v>
      </x:c>
      <x:c r="L11" s="22" t="str">
        <x:v>Pending</x:v>
      </x:c>
      <x:c r="M11" s="22"/>
      <x:c r="N11" s="22"/>
      <x:c r="O11" s="22"/>
      <x:c r="P11" s="22"/>
      <x:c r="Q11" s="22"/>
      <x:c r="R11" s="22"/>
    </x:row>
    <x:row r="12">
      <x:c r="A12" s="22" t="str">
        <x:v>P011</x:v>
      </x:c>
      <x:c r="B12" s="22" t="str">
        <x:v>ICA25:1:13</x:v>
      </x:c>
      <x:c r="C12" s="22" t="str">
        <x:v>Lessons Learned: EPA’s Response to Hurricane Katrina</x:v>
      </x:c>
      <x:c r="D12" s="22" t="str">
        <x:v>Yes</x:v>
      </x:c>
      <x:c r="E12" s="22"/>
      <x:c r="F12" s="22"/>
      <x:c r="G12" s="22"/>
      <x:c r="H12" s="22"/>
      <x:c r="I12" s="22"/>
      <x:c r="J12" s="22"/>
      <x:c r="K12" s="22" t="str">
        <x:v>Pending</x:v>
      </x:c>
      <x:c r="L12" s="22" t="str">
        <x:v>Pending</x:v>
      </x:c>
      <x:c r="M12" s="22"/>
      <x:c r="N12" s="22"/>
      <x:c r="O12" s="22"/>
      <x:c r="P12" s="22"/>
      <x:c r="Q12" s="22"/>
      <x:c r="R12" s="22"/>
    </x:row>
    <x:row r="13">
      <x:c r="A13" s="22" t="str">
        <x:v>P012</x:v>
      </x:c>
      <x:c r="B13" s="22" t="str">
        <x:v>ICA25:1:14</x:v>
      </x:c>
      <x:c r="C13" s="22" t="str">
        <x:v>Lessons Learned: EPA’s Response to Hurricane Katrina</x:v>
      </x:c>
      <x:c r="D13" s="22" t="str">
        <x:v>Yes</x:v>
      </x:c>
      <x:c r="E13" s="22"/>
      <x:c r="F13" s="22" t="str">
        <x:v>ESF Units; Support Annexes</x:v>
      </x:c>
      <x:c r="G13" s="22"/>
      <x:c r="H13" s="22"/>
      <x:c r="I13" s="22"/>
      <x:c r="J13" s="22"/>
      <x:c r="K13" s="22" t="str">
        <x:v>Pending</x:v>
      </x:c>
      <x:c r="L13" s="22" t="str">
        <x:v>Pending</x:v>
      </x:c>
      <x:c r="M13" s="22"/>
      <x:c r="N13" s="22"/>
      <x:c r="O13" s="22"/>
      <x:c r="P13" s="22"/>
      <x:c r="Q13" s="22"/>
      <x:c r="R13" s="22"/>
    </x:row>
    <x:row r="14">
      <x:c r="A14" s="22" t="str">
        <x:v>P013</x:v>
      </x:c>
      <x:c r="B14" s="22" t="str">
        <x:v>ICA25:1:15</x:v>
      </x:c>
      <x:c r="C14" s="22" t="str">
        <x:v>Lessons Learned: EPA’s Response to Hurricane Katrina</x:v>
      </x:c>
      <x:c r="D14" s="22" t="str">
        <x:v>Yes</x:v>
      </x:c>
      <x:c r="E14" s="22"/>
      <x:c r="F14" s="22" t="str">
        <x:v>EPA; USACE</x:v>
      </x:c>
      <x:c r="G14" s="22"/>
      <x:c r="H14" s="22"/>
      <x:c r="I14" s="22"/>
      <x:c r="J14" s="22"/>
      <x:c r="K14" s="22" t="str">
        <x:v>Pending</x:v>
      </x:c>
      <x:c r="L14" s="22" t="str">
        <x:v>Pending</x:v>
      </x:c>
      <x:c r="M14" s="22"/>
      <x:c r="N14" s="22"/>
      <x:c r="O14" s="22"/>
      <x:c r="P14" s="22"/>
      <x:c r="Q14" s="22"/>
      <x:c r="R14" s="22"/>
    </x:row>
    <x:row r="15">
      <x:c r="A15" s="22" t="str">
        <x:v>P014</x:v>
      </x:c>
      <x:c r="B15" s="22" t="str">
        <x:v>ICA25:1:16</x:v>
      </x:c>
      <x:c r="C15" s="22" t="str">
        <x:v>Lessons Learned: EPA’s Response to Hurricane Katrina</x:v>
      </x:c>
      <x:c r="D15" s="22" t="str">
        <x:v>Yes</x:v>
      </x:c>
      <x:c r="E15" s="22"/>
      <x:c r="F15" s="22" t="str">
        <x:v>EPA region 6</x:v>
      </x:c>
      <x:c r="G15" s="22"/>
      <x:c r="H15" s="22"/>
      <x:c r="I15" s="22"/>
      <x:c r="J15" s="22"/>
      <x:c r="K15" s="22" t="str">
        <x:v>Pending</x:v>
      </x:c>
      <x:c r="L15" s="22" t="str">
        <x:v>Pending</x:v>
      </x:c>
      <x:c r="M15" s="22"/>
      <x:c r="N15" s="22"/>
      <x:c r="O15" s="22"/>
      <x:c r="P15" s="22"/>
      <x:c r="Q15" s="22"/>
      <x:c r="R15" s="22"/>
    </x:row>
    <x:row r="16">
      <x:c r="A16" s="22" t="str">
        <x:v>P015</x:v>
      </x:c>
      <x:c r="B16" s="22" t="str">
        <x:v>ICA25:1:17</x:v>
      </x:c>
      <x:c r="C16" s="22" t="str">
        <x:v>Lessons Learned: EPA’s Response to Hurricane Katrina</x:v>
      </x:c>
      <x:c r="D16" s="22" t="str">
        <x:v>Yes</x:v>
      </x:c>
      <x:c r="E16" s="22"/>
      <x:c r="F16" s="22" t="str">
        <x:v>EPA region 6; Louisiana</x:v>
      </x:c>
      <x:c r="G16" s="22"/>
      <x:c r="H16" s="22"/>
      <x:c r="I16" s="22"/>
      <x:c r="J16" s="22"/>
      <x:c r="K16" s="22" t="str">
        <x:v>Pending</x:v>
      </x:c>
      <x:c r="L16" s="22" t="str">
        <x:v>Pending</x:v>
      </x:c>
      <x:c r="M16" s="22"/>
      <x:c r="N16" s="22"/>
      <x:c r="O16" s="22"/>
      <x:c r="P16" s="22"/>
      <x:c r="Q16" s="22"/>
      <x:c r="R16" s="22"/>
    </x:row>
    <x:row r="17">
      <x:c r="A17" s="22" t="str">
        <x:v>P016</x:v>
      </x:c>
      <x:c r="B17" s="22" t="str">
        <x:v>ICA25:1:18</x:v>
      </x:c>
      <x:c r="C17" s="22" t="str">
        <x:v>Lessons Learned: EPA’s Response to Hurricane Katrina</x:v>
      </x:c>
      <x:c r="D17" s="22" t="str">
        <x:v>Yes</x:v>
      </x:c>
      <x:c r="E17" s="22"/>
      <x:c r="F17" s="22" t="str">
        <x:v>EPA region 6; Louisiana</x:v>
      </x:c>
      <x:c r="G17" s="22"/>
      <x:c r="H17" s="22"/>
      <x:c r="I17" s="22"/>
      <x:c r="J17" s="22"/>
      <x:c r="K17" s="22" t="str">
        <x:v>Pending</x:v>
      </x:c>
      <x:c r="L17" s="22" t="str">
        <x:v>Pending</x:v>
      </x:c>
      <x:c r="M17" s="22"/>
      <x:c r="N17" s="22"/>
      <x:c r="O17" s="22"/>
      <x:c r="P17" s="22"/>
      <x:c r="Q17" s="22"/>
      <x:c r="R17" s="22"/>
    </x:row>
    <x:row r="18">
      <x:c r="A18" s="22" t="str">
        <x:v>P017</x:v>
      </x:c>
      <x:c r="B18" s="22" t="str">
        <x:v>ICA25:1:19</x:v>
      </x:c>
      <x:c r="C18" s="22" t="str">
        <x:v>Lessons Learned: EPA’s Response to Hurricane Katrina</x:v>
      </x:c>
      <x:c r="D18" s="22" t="str">
        <x:v>Yes</x:v>
      </x:c>
      <x:c r="E18" s="22"/>
      <x:c r="F18" s="22" t="str">
        <x:v>EPA; ESF-3 agencies; USACE</x:v>
      </x:c>
      <x:c r="G18" s="22"/>
      <x:c r="H18" s="22"/>
      <x:c r="I18" s="22"/>
      <x:c r="J18" s="22"/>
      <x:c r="K18" s="22" t="str">
        <x:v>Pending</x:v>
      </x:c>
      <x:c r="L18" s="22" t="str">
        <x:v>Pending</x:v>
      </x:c>
      <x:c r="M18" s="22"/>
      <x:c r="N18" s="22"/>
      <x:c r="O18" s="22"/>
      <x:c r="P18" s="22"/>
      <x:c r="Q18" s="22"/>
      <x:c r="R18" s="22"/>
    </x:row>
    <x:row r="19">
      <x:c r="A19" s="22" t="str">
        <x:v>P018</x:v>
      </x:c>
      <x:c r="B19" s="22" t="str">
        <x:v>ICA25:1:20</x:v>
      </x:c>
      <x:c r="C19" s="22" t="str">
        <x:v>Lessons Learned: EPA’s Response to Hurricane Katrina</x:v>
      </x:c>
      <x:c r="D19" s="22" t="str">
        <x:v>Yes</x:v>
      </x:c>
      <x:c r="E19" s="22"/>
      <x:c r="F19" s="22"/>
      <x:c r="G19" s="22"/>
      <x:c r="H19" s="22"/>
      <x:c r="I19" s="22"/>
      <x:c r="J19" s="22"/>
      <x:c r="K19" s="22" t="str">
        <x:v>Pending</x:v>
      </x:c>
      <x:c r="L19" s="22" t="str">
        <x:v>Pending</x:v>
      </x:c>
      <x:c r="M19" s="22"/>
      <x:c r="N19" s="22"/>
      <x:c r="O19" s="22"/>
      <x:c r="P19" s="22"/>
      <x:c r="Q19" s="22"/>
      <x:c r="R19" s="22"/>
    </x:row>
    <x:row r="20">
      <x:c r="A20" s="22" t="str">
        <x:v>P019</x:v>
      </x:c>
      <x:c r="B20" s="22" t="str">
        <x:v>ICA25:1:21</x:v>
      </x:c>
      <x:c r="C20" s="22" t="str">
        <x:v>Lessons Learned: EPA’s Response to Hurricane Katrina</x:v>
      </x:c>
      <x:c r="D20" s="22" t="str">
        <x:v>Yes</x:v>
      </x:c>
      <x:c r="E20" s="22"/>
      <x:c r="F20" s="22"/>
      <x:c r="G20" s="22"/>
      <x:c r="H20" s="22"/>
      <x:c r="I20" s="22"/>
      <x:c r="J20" s="22"/>
      <x:c r="K20" s="22" t="str">
        <x:v>Pending</x:v>
      </x:c>
      <x:c r="L20" s="22" t="str">
        <x:v>Pending</x:v>
      </x:c>
      <x:c r="M20" s="22"/>
      <x:c r="N20" s="22"/>
      <x:c r="O20" s="22"/>
      <x:c r="P20" s="22"/>
      <x:c r="Q20" s="22"/>
      <x:c r="R20" s="22"/>
    </x:row>
    <x:row r="21">
      <x:c r="A21" s="22" t="str">
        <x:v>P020</x:v>
      </x:c>
      <x:c r="B21" s="22" t="str">
        <x:v>ICA25:1:22</x:v>
      </x:c>
      <x:c r="C21" s="22" t="str">
        <x:v>Lessons Learned: EPA’s Response to Hurricane Katrina</x:v>
      </x:c>
      <x:c r="D21" s="22" t="str">
        <x:v>Yes</x:v>
      </x:c>
      <x:c r="E21" s="22"/>
      <x:c r="F21" s="22"/>
      <x:c r="G21" s="22"/>
      <x:c r="H21" s="22"/>
      <x:c r="I21" s="22"/>
      <x:c r="J21" s="22"/>
      <x:c r="K21" s="22" t="str">
        <x:v>Pending</x:v>
      </x:c>
      <x:c r="L21" s="22" t="str">
        <x:v>Pending</x:v>
      </x:c>
      <x:c r="M21" s="22"/>
      <x:c r="N21" s="22"/>
      <x:c r="O21" s="22"/>
      <x:c r="P21" s="22"/>
      <x:c r="Q21" s="22"/>
      <x:c r="R21" s="22"/>
    </x:row>
    <x:row r="22">
      <x:c r="A22" s="22" t="str">
        <x:v>P021</x:v>
      </x:c>
      <x:c r="B22" s="22" t="str">
        <x:v>ICA25:1:23</x:v>
      </x:c>
      <x:c r="C22" s="22" t="str">
        <x:v>Lessons Learned: EPA’s Response to Hurricane Katrina</x:v>
      </x:c>
      <x:c r="D22" s="22" t="str">
        <x:v>No</x:v>
      </x:c>
      <x:c r="E22" s="22"/>
      <x:c r="F22" s="22"/>
      <x:c r="G22" s="22" t="str">
        <x:v>Not unlearning.</x:v>
      </x:c>
      <x:c r="H22" s="22"/>
      <x:c r="I22" s="22"/>
      <x:c r="J22" s="22"/>
      <x:c r="K22" s="22" t="str">
        <x:v>Pending</x:v>
      </x:c>
      <x:c r="L22" s="22" t="str">
        <x:v>Pending</x:v>
      </x:c>
      <x:c r="M22" s="22"/>
      <x:c r="N22" s="22"/>
      <x:c r="O22" s="22"/>
      <x:c r="P22" s="22"/>
      <x:c r="Q22" s="22"/>
      <x:c r="R22" s="22"/>
    </x:row>
    <x:row r="23">
      <x:c r="A23" s="22" t="str">
        <x:v>P022</x:v>
      </x:c>
      <x:c r="B23" s="22" t="str">
        <x:v>ICA25:1:24</x:v>
      </x:c>
      <x:c r="C23" s="22" t="str">
        <x:v>Lessons Learned: EPA’s Response to Hurricane Katrina</x:v>
      </x:c>
      <x:c r="D23" s="22" t="str">
        <x:v>Yes</x:v>
      </x:c>
      <x:c r="E23" s="22"/>
      <x:c r="F23" s="22"/>
      <x:c r="G23" s="22"/>
      <x:c r="H23" s="22"/>
      <x:c r="I23" s="22"/>
      <x:c r="J23" s="22"/>
      <x:c r="K23" s="22" t="str">
        <x:v>Pending</x:v>
      </x:c>
      <x:c r="L23" s="22" t="str">
        <x:v>Pending</x:v>
      </x:c>
      <x:c r="M23" s="22"/>
      <x:c r="N23" s="22"/>
      <x:c r="O23" s="22"/>
      <x:c r="P23" s="22"/>
      <x:c r="Q23" s="22"/>
      <x:c r="R23" s="22"/>
    </x:row>
    <x:row r="24">
      <x:c r="A24" s="22" t="str">
        <x:v>P023</x:v>
      </x:c>
      <x:c r="B24" s="22" t="str">
        <x:v>ICA25:1:25</x:v>
      </x:c>
      <x:c r="C24" s="22" t="str">
        <x:v>Lessons Learned: EPA’s Response to Hurricane Katrina</x:v>
      </x:c>
      <x:c r="D24" s="22" t="str">
        <x:v>Yes</x:v>
      </x:c>
      <x:c r="E24" s="22"/>
      <x:c r="F24" s="22"/>
      <x:c r="G24" s="22"/>
      <x:c r="H24" s="22"/>
      <x:c r="I24" s="22"/>
      <x:c r="J24" s="22"/>
      <x:c r="K24" s="22" t="str">
        <x:v>Pending</x:v>
      </x:c>
      <x:c r="L24" s="22" t="str">
        <x:v>Pending</x:v>
      </x:c>
      <x:c r="M24" s="22"/>
      <x:c r="N24" s="22"/>
      <x:c r="O24" s="22"/>
      <x:c r="P24" s="22"/>
      <x:c r="Q24" s="22"/>
      <x:c r="R24" s="22"/>
    </x:row>
    <x:row r="25">
      <x:c r="A25" s="22" t="str">
        <x:v>P024</x:v>
      </x:c>
      <x:c r="B25" s="22" t="str">
        <x:v>ICA25:1:26</x:v>
      </x:c>
      <x:c r="C25" s="22" t="str">
        <x:v>Lessons Learned: EPA’s Response to Hurricane Katrina</x:v>
      </x:c>
      <x:c r="D25" s="22" t="str">
        <x:v>No</x:v>
      </x:c>
      <x:c r="E25" s="22"/>
      <x:c r="F25" s="22"/>
      <x:c r="G25" s="22" t="str">
        <x:v>Not unlearning</x:v>
      </x:c>
      <x:c r="H25" s="22"/>
      <x:c r="I25" s="22"/>
      <x:c r="J25" s="22"/>
      <x:c r="K25" s="22" t="str">
        <x:v>Pending</x:v>
      </x:c>
      <x:c r="L25" s="22" t="str">
        <x:v>Pending</x:v>
      </x:c>
      <x:c r="M25" s="22"/>
      <x:c r="N25" s="22"/>
      <x:c r="O25" s="22"/>
      <x:c r="P25" s="22"/>
      <x:c r="Q25" s="22"/>
      <x:c r="R25" s="22"/>
    </x:row>
    <x:row r="26">
      <x:c r="A26" s="22" t="str">
        <x:v>P025</x:v>
      </x:c>
      <x:c r="B26" s="22" t="str">
        <x:v>ICA25:1:27</x:v>
      </x:c>
      <x:c r="C26" s="22" t="str">
        <x:v>Lessons Learned: EPA’s Response to Hurricane Katrina</x:v>
      </x:c>
      <x:c r="D26" s="22" t="str">
        <x:v>Yes</x:v>
      </x:c>
      <x:c r="E26" s="22"/>
      <x:c r="F26" s="22"/>
      <x:c r="G26" s="22"/>
      <x:c r="H26" s="22"/>
      <x:c r="I26" s="22"/>
      <x:c r="J26" s="22"/>
      <x:c r="K26" s="22" t="str">
        <x:v>Pending</x:v>
      </x:c>
      <x:c r="L26" s="22" t="str">
        <x:v>Pending</x:v>
      </x:c>
      <x:c r="M26" s="22"/>
      <x:c r="N26" s="22"/>
      <x:c r="O26" s="22"/>
      <x:c r="P26" s="22"/>
      <x:c r="Q26" s="22"/>
      <x:c r="R26" s="22"/>
    </x:row>
    <x:row r="27">
      <x:c r="A27" s="22" t="str">
        <x:v>P026</x:v>
      </x:c>
      <x:c r="B27" s="22" t="str">
        <x:v>ICA25:14:1</x:v>
      </x:c>
      <x:c r="C27" s="22" t="str">
        <x:v>Hurricane Katrina: GAO’s Preliminary Observations Regarding Preparedness, Response, and Recovery</x:v>
      </x:c>
      <x:c r="D27" s="22" t="str">
        <x:v>Yes</x:v>
      </x:c>
      <x:c r="E27" s="22"/>
      <x:c r="F27" s="22"/>
      <x:c r="G27" s="22"/>
      <x:c r="H27" s="22"/>
      <x:c r="I27" s="22"/>
      <x:c r="J27" s="22"/>
      <x:c r="K27" s="22" t="str">
        <x:v>Pending</x:v>
      </x:c>
      <x:c r="L27" s="22" t="str">
        <x:v>Pending</x:v>
      </x:c>
      <x:c r="M27" s="22"/>
      <x:c r="N27" s="22"/>
      <x:c r="O27" s="22"/>
      <x:c r="P27" s="22"/>
      <x:c r="Q27" s="22"/>
      <x:c r="R27" s="22"/>
    </x:row>
    <x:row r="28">
      <x:c r="A28" s="22" t="str">
        <x:v>P027</x:v>
      </x:c>
      <x:c r="B28" s="22" t="str">
        <x:v>ICA25:14:3 | GPT:14:3</x:v>
      </x:c>
      <x:c r="C28" s="22" t="str">
        <x:v>Hurricane Katrina: GAO’s Preliminary Observations Regarding Preparedness, Response, and Recovery</x:v>
      </x:c>
      <x:c r="D28" s="22" t="str">
        <x:v>Yes</x:v>
      </x:c>
      <x:c r="E28" s="22"/>
      <x:c r="F28" s="22" t="str">
        <x:v>Dept of Defense</x:v>
      </x:c>
      <x:c r="G28" s="22"/>
      <x:c r="H28" s="22"/>
      <x:c r="I28" s="22"/>
      <x:c r="J28" s="22"/>
      <x:c r="K28" s="22" t="str">
        <x:v>Pending</x:v>
      </x:c>
      <x:c r="L28" s="22" t="str">
        <x:v>Pending</x:v>
      </x:c>
      <x:c r="M28" s="22"/>
      <x:c r="N28" s="22"/>
      <x:c r="O28" s="22"/>
      <x:c r="P28" s="22"/>
      <x:c r="Q28" s="22"/>
      <x:c r="R28" s="22"/>
    </x:row>
    <x:row r="29">
      <x:c r="A29" s="22" t="str">
        <x:v>P028</x:v>
      </x:c>
      <x:c r="B29" s="22" t="str">
        <x:v>ICA25:14:5 | GPT:14:5</x:v>
      </x:c>
      <x:c r="C29" s="22" t="str">
        <x:v>Hurricane Katrina: GAO’s Preliminary Observations Regarding Preparedness, Response, and Recovery</x:v>
      </x:c>
      <x:c r="D29" s="22" t="str">
        <x:v>Yes</x:v>
      </x:c>
      <x:c r="E29" s="22"/>
      <x:c r="F29" s="22"/>
      <x:c r="G29" s="22"/>
      <x:c r="H29" s="22"/>
      <x:c r="I29" s="22"/>
      <x:c r="J29" s="22"/>
      <x:c r="K29" s="22" t="str">
        <x:v>Pending</x:v>
      </x:c>
      <x:c r="L29" s="22" t="str">
        <x:v>Pending</x:v>
      </x:c>
      <x:c r="M29" s="22"/>
      <x:c r="N29" s="22"/>
      <x:c r="O29" s="22"/>
      <x:c r="P29" s="22"/>
      <x:c r="Q29" s="22"/>
      <x:c r="R29" s="22"/>
    </x:row>
    <x:row r="30">
      <x:c r="A30" s="22" t="str">
        <x:v>P029</x:v>
      </x:c>
      <x:c r="B30" s="22" t="str">
        <x:v>ICA25:14:6 | GPT:14:6</x:v>
      </x:c>
      <x:c r="C30" s="22" t="str">
        <x:v>Hurricane Katrina: GAO’s Preliminary Observations Regarding Preparedness, Response, and Recovery</x:v>
      </x:c>
      <x:c r="D30" s="22" t="str">
        <x:v>Yes</x:v>
      </x:c>
      <x:c r="E30" s="22"/>
      <x:c r="F30" s="22" t="str">
        <x:v>Congress</x:v>
      </x:c>
      <x:c r="G30" s="22"/>
      <x:c r="H30" s="22"/>
      <x:c r="I30" s="22"/>
      <x:c r="J30" s="22"/>
      <x:c r="K30" s="22" t="str">
        <x:v>Pending</x:v>
      </x:c>
      <x:c r="L30" s="22" t="str">
        <x:v>Pending</x:v>
      </x:c>
      <x:c r="M30" s="22"/>
      <x:c r="N30" s="22"/>
      <x:c r="O30" s="22"/>
      <x:c r="P30" s="22"/>
      <x:c r="Q30" s="22"/>
      <x:c r="R30" s="22"/>
    </x:row>
    <x:row r="31">
      <x:c r="A31" s="22" t="str">
        <x:v>P030</x:v>
      </x:c>
      <x:c r="B31" s="22" t="str">
        <x:v>ICA25:14:7 | GPT:14:7</x:v>
      </x:c>
      <x:c r="C31" s="22" t="str">
        <x:v>Hurricane Katrina: GAO’s Preliminary Observations Regarding Preparedness, Response, and Recovery</x:v>
      </x:c>
      <x:c r="D31" s="22" t="str">
        <x:v>Yes</x:v>
      </x:c>
      <x:c r="E31" s="22"/>
      <x:c r="F31" s="22"/>
      <x:c r="G31" s="22"/>
      <x:c r="H31" s="22"/>
      <x:c r="I31" s="22"/>
      <x:c r="J31" s="22"/>
      <x:c r="K31" s="22" t="str">
        <x:v>Pending</x:v>
      </x:c>
      <x:c r="L31" s="22" t="str">
        <x:v>Pending</x:v>
      </x:c>
      <x:c r="M31" s="22"/>
      <x:c r="N31" s="22"/>
      <x:c r="O31" s="22"/>
      <x:c r="P31" s="22"/>
      <x:c r="Q31" s="22"/>
      <x:c r="R31" s="22"/>
    </x:row>
    <x:row r="32">
      <x:c r="A32" s="22" t="str">
        <x:v>P031</x:v>
      </x:c>
      <x:c r="B32" s="22" t="str">
        <x:v>ICA25:14:8 | GPT:14:8</x:v>
      </x:c>
      <x:c r="C32" s="22" t="str">
        <x:v>Hurricane Katrina: GAO’s Preliminary Observations Regarding Preparedness, Response, and Recovery</x:v>
      </x:c>
      <x:c r="D32" s="22" t="str">
        <x:v>Yes</x:v>
      </x:c>
      <x:c r="E32" s="22"/>
      <x:c r="F32" s="22"/>
      <x:c r="G32" s="22"/>
      <x:c r="H32" s="22"/>
      <x:c r="I32" s="22"/>
      <x:c r="J32" s="22"/>
      <x:c r="K32" s="22" t="str">
        <x:v>Pending</x:v>
      </x:c>
      <x:c r="L32" s="22" t="str">
        <x:v>Pending</x:v>
      </x:c>
      <x:c r="M32" s="22"/>
      <x:c r="N32" s="22"/>
      <x:c r="O32" s="22"/>
      <x:c r="P32" s="22"/>
      <x:c r="Q32" s="22"/>
      <x:c r="R32" s="22"/>
    </x:row>
    <x:row r="33">
      <x:c r="A33" s="22" t="str">
        <x:v>P032</x:v>
      </x:c>
      <x:c r="B33" s="22" t="str">
        <x:v>ICA25:14:9 | GPT:14:9</x:v>
      </x:c>
      <x:c r="C33" s="22" t="str">
        <x:v>Hurricane Katrina: GAO’s Preliminary Observations Regarding Preparedness, Response, and Recovery</x:v>
      </x:c>
      <x:c r="D33" s="22" t="str">
        <x:v>Yes</x:v>
      </x:c>
      <x:c r="E33" s="22"/>
      <x:c r="F33" s="22" t="str">
        <x:v>Dept of Defense</x:v>
      </x:c>
      <x:c r="G33" s="22"/>
      <x:c r="H33" s="22"/>
      <x:c r="I33" s="22"/>
      <x:c r="J33" s="22"/>
      <x:c r="K33" s="22" t="str">
        <x:v>Pending</x:v>
      </x:c>
      <x:c r="L33" s="22" t="str">
        <x:v>Pending</x:v>
      </x:c>
      <x:c r="M33" s="22"/>
      <x:c r="N33" s="22"/>
      <x:c r="O33" s="22"/>
      <x:c r="P33" s="22"/>
      <x:c r="Q33" s="22"/>
      <x:c r="R33" s="22"/>
    </x:row>
    <x:row r="34">
      <x:c r="A34" s="22" t="str">
        <x:v>P033</x:v>
      </x:c>
      <x:c r="B34" s="22" t="str">
        <x:v>ICA25:14:10</x:v>
      </x:c>
      <x:c r="C34" s="22" t="str">
        <x:v>Hurricane Katrina: GAO’s Preliminary Observations Regarding Preparedness, Response, and Recovery</x:v>
      </x:c>
      <x:c r="D34" s="22" t="str">
        <x:v>No</x:v>
      </x:c>
      <x:c r="E34" s="22"/>
      <x:c r="F34" s="22"/>
      <x:c r="G34" s="22"/>
      <x:c r="H34" s="22"/>
      <x:c r="I34" s="22"/>
      <x:c r="J34" s="22"/>
      <x:c r="K34" s="22" t="str">
        <x:v>Pending</x:v>
      </x:c>
      <x:c r="L34" s="22" t="str">
        <x:v>Pending</x:v>
      </x:c>
      <x:c r="M34" s="22"/>
      <x:c r="N34" s="22"/>
      <x:c r="O34" s="22"/>
      <x:c r="P34" s="22"/>
      <x:c r="Q34" s="22"/>
      <x:c r="R34" s="22"/>
    </x:row>
    <x:row r="35">
      <x:c r="A35" s="22" t="str">
        <x:v>P034</x:v>
      </x:c>
      <x:c r="B35" s="22" t="str">
        <x:v>ICA25:14:11</x:v>
      </x:c>
      <x:c r="C35" s="22" t="str">
        <x:v>Hurricane Katrina: GAO’s Preliminary Observations Regarding Preparedness, Response, and Recovery</x:v>
      </x:c>
      <x:c r="D35" s="22" t="str">
        <x:v>No</x:v>
      </x:c>
      <x:c r="E35" s="22"/>
      <x:c r="F35" s="22"/>
      <x:c r="G35" s="22"/>
      <x:c r="H35" s="22"/>
      <x:c r="I35" s="22"/>
      <x:c r="J35" s="22"/>
      <x:c r="K35" s="22" t="str">
        <x:v>Pending</x:v>
      </x:c>
      <x:c r="L35" s="22" t="str">
        <x:v>Pending</x:v>
      </x:c>
      <x:c r="M35" s="22"/>
      <x:c r="N35" s="22"/>
      <x:c r="O35" s="22"/>
      <x:c r="P35" s="22"/>
      <x:c r="Q35" s="22"/>
      <x:c r="R35" s="22"/>
    </x:row>
    <x:row r="36">
      <x:c r="A36" s="22" t="str">
        <x:v>P035</x:v>
      </x:c>
      <x:c r="B36" s="22" t="str">
        <x:v>ICA25:14:12 | GPT:14:12</x:v>
      </x:c>
      <x:c r="C36" s="22" t="str">
        <x:v>Hurricane Katrina: GAO’s Preliminary Observations Regarding Preparedness, Response, and Recovery</x:v>
      </x:c>
      <x:c r="D36" s="22" t="str">
        <x:v>Yes</x:v>
      </x:c>
      <x:c r="E36" s="22"/>
      <x:c r="F36" s="22" t="str">
        <x:v>FEMA</x:v>
      </x:c>
      <x:c r="G36" s="22"/>
      <x:c r="H36" s="22"/>
      <x:c r="I36" s="22"/>
      <x:c r="J36" s="22"/>
      <x:c r="K36" s="22" t="str">
        <x:v>Pending</x:v>
      </x:c>
      <x:c r="L36" s="22" t="str">
        <x:v>Pending</x:v>
      </x:c>
      <x:c r="M36" s="22"/>
      <x:c r="N36" s="22"/>
      <x:c r="O36" s="22"/>
      <x:c r="P36" s="22"/>
      <x:c r="Q36" s="22"/>
      <x:c r="R36" s="22"/>
    </x:row>
    <x:row r="37">
      <x:c r="A37" s="22" t="str">
        <x:v>P036</x:v>
      </x:c>
      <x:c r="B37" s="22" t="str">
        <x:v>ICA25:14:13 | GPT:14:13</x:v>
      </x:c>
      <x:c r="C37" s="22" t="str">
        <x:v>Hurricane Katrina: GAO’s Preliminary Observations Regarding Preparedness, Response, and Recovery</x:v>
      </x:c>
      <x:c r="D37" s="22" t="str">
        <x:v>Yes</x:v>
      </x:c>
      <x:c r="E37" s="22"/>
      <x:c r="F37" s="22"/>
      <x:c r="G37" s="22"/>
      <x:c r="H37" s="22"/>
      <x:c r="I37" s="22"/>
      <x:c r="J37" s="22"/>
      <x:c r="K37" s="22" t="str">
        <x:v>Pending</x:v>
      </x:c>
      <x:c r="L37" s="22" t="str">
        <x:v>Pending</x:v>
      </x:c>
      <x:c r="M37" s="22"/>
      <x:c r="N37" s="22"/>
      <x:c r="O37" s="22"/>
      <x:c r="P37" s="22"/>
      <x:c r="Q37" s="22"/>
      <x:c r="R37" s="22"/>
    </x:row>
    <x:row r="38">
      <x:c r="A38" s="22" t="str">
        <x:v>P037</x:v>
      </x:c>
      <x:c r="B38" s="22" t="str">
        <x:v>ICA25:14:14 | GPT:14:14</x:v>
      </x:c>
      <x:c r="C38" s="22" t="str">
        <x:v>Hurricane Katrina: GAO’s Preliminary Observations Regarding Preparedness, Response, and Recovery</x:v>
      </x:c>
      <x:c r="D38" s="22" t="str">
        <x:v>Yes</x:v>
      </x:c>
      <x:c r="E38" s="22"/>
      <x:c r="F38" s="22"/>
      <x:c r="G38" s="22"/>
      <x:c r="H38" s="22"/>
      <x:c r="I38" s="22"/>
      <x:c r="J38" s="22"/>
      <x:c r="K38" s="22" t="str">
        <x:v>Pending</x:v>
      </x:c>
      <x:c r="L38" s="22" t="str">
        <x:v>Pending</x:v>
      </x:c>
      <x:c r="M38" s="22"/>
      <x:c r="N38" s="22"/>
      <x:c r="O38" s="22"/>
      <x:c r="P38" s="22"/>
      <x:c r="Q38" s="22"/>
      <x:c r="R38" s="22"/>
    </x:row>
    <x:row r="39">
      <x:c r="A39" s="22" t="str">
        <x:v>P038</x:v>
      </x:c>
      <x:c r="B39" s="22"/>
      <x:c r="C39" s="22" t="str">
        <x:v>Hurricane Katrina: GAO’s Preliminary Observations Regarding Preparedness, Response, and Recovery</x:v>
      </x:c>
      <x:c r="D39" s="22" t="str">
        <x:v>No</x:v>
      </x:c>
      <x:c r="E39" s="22"/>
      <x:c r="F39" s="22"/>
      <x:c r="G39" s="22" t="str">
        <x:v>example of learning through better logistics and debris removal capabilities.</x:v>
      </x:c>
      <x:c r="H39" s="22"/>
      <x:c r="I39" s="22"/>
      <x:c r="J39" s="22"/>
      <x:c r="K39" s="22" t="str">
        <x:v>Pending</x:v>
      </x:c>
      <x:c r="L39" s="22" t="str">
        <x:v>Pending</x:v>
      </x:c>
      <x:c r="M39" s="22"/>
      <x:c r="N39" s="22"/>
      <x:c r="O39" s="22"/>
      <x:c r="P39" s="22"/>
      <x:c r="Q39" s="22"/>
      <x:c r="R39" s="22"/>
    </x:row>
    <x:row r="40">
      <x:c r="A40" s="22" t="str">
        <x:v>P039</x:v>
      </x:c>
      <x:c r="B40" s="22"/>
      <x:c r="C40" s="22" t="str">
        <x:v>Hurricane Katrina: GAO’s Preliminary Observations Regarding Preparedness, Response, and Recovery</x:v>
      </x:c>
      <x:c r="D40" s="22" t="str">
        <x:v>No</x:v>
      </x:c>
      <x:c r="E40" s="22"/>
      <x:c r="F40" s="22"/>
      <x:c r="G40" s="22" t="str">
        <x:v>It aims to add nursing homes to the medical system but the underlying logic of the NDMS </x:v>
      </x:c>
      <x:c r="H40" s="22"/>
      <x:c r="I40" s="22"/>
      <x:c r="J40" s="22"/>
      <x:c r="K40" s="22" t="str">
        <x:v>Pending</x:v>
      </x:c>
      <x:c r="L40" s="22" t="str">
        <x:v>Pending</x:v>
      </x:c>
      <x:c r="M40" s="22"/>
      <x:c r="N40" s="22"/>
      <x:c r="O40" s="22"/>
      <x:c r="P40" s="22"/>
      <x:c r="Q40" s="22"/>
      <x:c r="R40" s="22"/>
    </x:row>
    <x:row r="41">
      <x:c r="A41" s="22" t="str">
        <x:v>P040</x:v>
      </x:c>
      <x:c r="B41" s="22" t="str">
        <x:v>ICA21:1:1</x:v>
      </x:c>
      <x:c r="C41" s="22" t="str">
        <x:v>The Katrina Effect on American Preparedness — A report on the lessons Americans learned in watching the Katrina catastrophe unfold</x:v>
      </x:c>
      <x:c r="D41" s="22" t="str">
        <x:v>Yes</x:v>
      </x:c>
      <x:c r="E41" s="22" t="str">
        <x:v>Laws, plans and policies</x:v>
      </x:c>
      <x:c r="F41" s="22" t="str">
        <x:v>Congress; Dept of Homeland Security; White House</x:v>
      </x:c>
      <x:c r="G41" s="22" t="str">
        <x:v>This is creating a new directorate within DHS and is fundemntall discoutinuous</x:v>
      </x:c>
      <x:c r="H41" s="22"/>
      <x:c r="I41" s="22"/>
      <x:c r="J41" s="22"/>
      <x:c r="K41" s="22" t="str">
        <x:v>Pending</x:v>
      </x:c>
      <x:c r="L41" s="22" t="str">
        <x:v>Pending</x:v>
      </x:c>
      <x:c r="M41" s="22"/>
      <x:c r="N41" s="22"/>
      <x:c r="O41" s="22"/>
      <x:c r="P41" s="22"/>
      <x:c r="Q41" s="22"/>
      <x:c r="R41" s="22"/>
    </x:row>
    <x:row r="42">
      <x:c r="A42" s="22" t="str">
        <x:v>P041</x:v>
      </x:c>
      <x:c r="B42" s="22" t="str">
        <x:v>ICA21:1:2</x:v>
      </x:c>
      <x:c r="C42" s="22" t="str">
        <x:v>The Katrina Effect on American Preparedness — A report on the lessons Americans learned in watching the Katrina catastrophe unfold</x:v>
      </x:c>
      <x:c r="D42" s="22" t="str">
        <x:v>Yes</x:v>
      </x:c>
      <x:c r="E42" s="22" t="str">
        <x:v>Laws, plans and policies</x:v>
      </x:c>
      <x:c r="F42" s="22" t="str">
        <x:v>Congress; White House</x:v>
      </x:c>
      <x:c r="G42" s="22" t="str">
        <x:v>This points to multiple areas where subtraction or reducing needs to happen</x:v>
      </x:c>
      <x:c r="H42" s="22"/>
      <x:c r="I42" s="22"/>
      <x:c r="J42" s="22"/>
      <x:c r="K42" s="22" t="str">
        <x:v>Pending</x:v>
      </x:c>
      <x:c r="L42" s="22" t="str">
        <x:v>Pending</x:v>
      </x:c>
      <x:c r="M42" s="22"/>
      <x:c r="N42" s="22"/>
      <x:c r="O42" s="22"/>
      <x:c r="P42" s="22"/>
      <x:c r="Q42" s="22"/>
      <x:c r="R42" s="22"/>
    </x:row>
    <x:row r="43">
      <x:c r="A43" s="22" t="str">
        <x:v>P042</x:v>
      </x:c>
      <x:c r="B43" s="22" t="str">
        <x:v>ICA21:1:4</x:v>
      </x:c>
      <x:c r="C43" s="22" t="str">
        <x:v>The Katrina Effect on American Preparedness — A report on the lessons Americans learned in watching the Katrina catastrophe unfold</x:v>
      </x:c>
      <x:c r="D43" s="22" t="str">
        <x:v>Yes</x:v>
      </x:c>
      <x:c r="E43" s="22" t="str">
        <x:v>Miscellaneous</x:v>
      </x:c>
      <x:c r="F43" s="22"/>
      <x:c r="G43" s="22" t="str">
        <x:v>I had not labelled unlearning. It doesn't state a specific policy response; however,  post-discussion, I agreed that this should be labelled unlearning. It identifies a significant change in public consumption of information before, during and after a disaster and need to change strategy.</x:v>
      </x:c>
      <x:c r="H43" s="22"/>
      <x:c r="I43" s="22"/>
      <x:c r="J43" s="22"/>
      <x:c r="K43" s="22" t="str">
        <x:v>Pending</x:v>
      </x:c>
      <x:c r="L43" s="22" t="str">
        <x:v>Pending</x:v>
      </x:c>
      <x:c r="M43" s="22"/>
      <x:c r="N43" s="22"/>
      <x:c r="O43" s="22"/>
      <x:c r="P43" s="22"/>
      <x:c r="Q43" s="22"/>
      <x:c r="R43" s="22"/>
    </x:row>
    <x:row r="44">
      <x:c r="A44" s="22" t="str">
        <x:v>P043</x:v>
      </x:c>
      <x:c r="B44" s="22" t="str">
        <x:v>ICA21:1:5</x:v>
      </x:c>
      <x:c r="C44" s="22" t="str">
        <x:v>The Katrina Effect on American Preparedness — A report on the lessons Americans learned in watching the Katrina catastrophe unfold</x:v>
      </x:c>
      <x:c r="D44" s="22" t="str">
        <x:v>No</x:v>
      </x:c>
      <x:c r="E44" s="22"/>
      <x:c r="F44" s="22"/>
      <x:c r="G44" s="22" t="str">
        <x:v>Not labelled as unlearning. It doesn highlight a past policy or practice that doesnt work. It ends with a generic remark.</x:v>
      </x:c>
      <x:c r="H44" s="22"/>
      <x:c r="I44" s="22"/>
      <x:c r="J44" s="22"/>
      <x:c r="K44" s="22" t="str">
        <x:v>Pending</x:v>
      </x:c>
      <x:c r="L44" s="22" t="str">
        <x:v>Pending</x:v>
      </x:c>
      <x:c r="M44" s="22"/>
      <x:c r="N44" s="22"/>
      <x:c r="O44" s="22"/>
      <x:c r="P44" s="22"/>
      <x:c r="Q44" s="22"/>
      <x:c r="R44" s="22"/>
    </x:row>
    <x:row r="45">
      <x:c r="A45" s="22" t="str">
        <x:v>P044</x:v>
      </x:c>
      <x:c r="B45" s="22" t="str">
        <x:v>ICA21:1:6</x:v>
      </x:c>
      <x:c r="C45" s="22" t="str">
        <x:v>The Katrina Effect on American Preparedness — A report on the lessons Americans learned in watching the Katrina catastrophe unfold</x:v>
      </x:c>
      <x:c r="D45" s="22" t="str">
        <x:v>Yes</x:v>
      </x:c>
      <x:c r="E45" s="22" t="str">
        <x:v>Leadership</x:v>
      </x:c>
      <x:c r="F45" s="22" t="str">
        <x:v>State and Local governments</x:v>
      </x:c>
      <x:c r="G45" s="22" t="str">
        <x:v>This can be labelled as unlearning as it highlights a problem with not having a local command centre and advocates for one.</x:v>
      </x:c>
      <x:c r="H45" s="22"/>
      <x:c r="I45" s="22"/>
      <x:c r="J45" s="22"/>
      <x:c r="K45" s="22" t="str">
        <x:v>Pending</x:v>
      </x:c>
      <x:c r="L45" s="22" t="str">
        <x:v>Pending</x:v>
      </x:c>
      <x:c r="M45" s="22"/>
      <x:c r="N45" s="22"/>
      <x:c r="O45" s="22"/>
      <x:c r="P45" s="22"/>
      <x:c r="Q45" s="22"/>
      <x:c r="R45" s="22"/>
    </x:row>
    <x:row r="46">
      <x:c r="A46" s="22" t="str">
        <x:v>P045</x:v>
      </x:c>
      <x:c r="B46" s="22" t="str">
        <x:v>ICA21:1:7</x:v>
      </x:c>
      <x:c r="C46" s="22" t="str">
        <x:v>The Katrina Effect on American Preparedness — A report on the lessons Americans learned in watching the Katrina catastrophe unfold</x:v>
      </x:c>
      <x:c r="D46" s="22" t="str">
        <x:v>Yes</x:v>
      </x:c>
      <x:c r="E46" s="22" t="str">
        <x:v>Leadership</x:v>
      </x:c>
      <x:c r="F46" s="22"/>
      <x:c r="G46" s="22" t="str">
        <x:v>Didn't label this as unlearning, as it doesnt give a specific policy suggestions, but on reflection it speaks to discarding past practice of having too many plans and confusion and subsequently having clarity on roles and responsibilities.</x:v>
      </x:c>
      <x:c r="H46" s="22"/>
      <x:c r="I46" s="22"/>
      <x:c r="J46" s="22"/>
      <x:c r="K46" s="22" t="str">
        <x:v>Pending</x:v>
      </x:c>
      <x:c r="L46" s="22" t="str">
        <x:v>Pending</x:v>
      </x:c>
      <x:c r="M46" s="22"/>
      <x:c r="N46" s="22"/>
      <x:c r="O46" s="22"/>
      <x:c r="P46" s="22"/>
      <x:c r="Q46" s="22"/>
      <x:c r="R46" s="22"/>
    </x:row>
    <x:row r="47">
      <x:c r="A47" s="22" t="str">
        <x:v>P046</x:v>
      </x:c>
      <x:c r="B47" s="22" t="str">
        <x:v>ICA21:1:8</x:v>
      </x:c>
      <x:c r="C47" s="22" t="str">
        <x:v>The Katrina Effect on American Preparedness — A report on the lessons Americans learned in watching the Katrina catastrophe unfold</x:v>
      </x:c>
      <x:c r="D47" s="22" t="str">
        <x:v>Yes</x:v>
      </x:c>
      <x:c r="E47" s="22" t="str">
        <x:v>Laws, plans and policies</x:v>
      </x:c>
      <x:c r="F47" s="22"/>
      <x:c r="G47" s="22" t="str">
        <x:v>Labelled as unlearning as it speaks to "reduction" in questions</x:v>
      </x:c>
      <x:c r="H47" s="22"/>
      <x:c r="I47" s="22"/>
      <x:c r="J47" s="22"/>
      <x:c r="K47" s="22" t="str">
        <x:v>Pending</x:v>
      </x:c>
      <x:c r="L47" s="22" t="str">
        <x:v>Pending</x:v>
      </x:c>
      <x:c r="M47" s="22"/>
      <x:c r="N47" s="22"/>
      <x:c r="O47" s="22"/>
      <x:c r="P47" s="22"/>
      <x:c r="Q47" s="22"/>
      <x:c r="R47" s="22"/>
    </x:row>
    <x:row r="48">
      <x:c r="A48" s="22" t="str">
        <x:v>P047</x:v>
      </x:c>
      <x:c r="B48" s="22" t="str">
        <x:v>ICA21:1:9</x:v>
      </x:c>
      <x:c r="C48" s="22" t="str">
        <x:v>The Katrina Effect on American Preparedness — A report on the lessons Americans learned in watching the Katrina catastrophe unfold</x:v>
      </x:c>
      <x:c r="D48" s="22" t="str">
        <x:v>Yes</x:v>
      </x:c>
      <x:c r="E48" s="22"/>
      <x:c r="F48" s="22"/>
      <x:c r="G48" s="22" t="str">
        <x:v>I had not labelled unlearning. It doesn't state a specific policy response; however,  post-discussion, I agreed that this should be labelled unlearning. It identifies a significant change in public consumption of information before, during and after a disaster and need to change strategy.</x:v>
      </x:c>
      <x:c r="H48" s="22"/>
      <x:c r="I48" s="22"/>
      <x:c r="J48" s="22"/>
      <x:c r="K48" s="22" t="str">
        <x:v>Pending</x:v>
      </x:c>
      <x:c r="L48" s="22" t="str">
        <x:v>Pending</x:v>
      </x:c>
      <x:c r="M48" s="22"/>
      <x:c r="N48" s="22"/>
      <x:c r="O48" s="22"/>
      <x:c r="P48" s="22"/>
      <x:c r="Q48" s="22"/>
      <x:c r="R48" s="22"/>
    </x:row>
    <x:row r="49">
      <x:c r="A49" s="22" t="str">
        <x:v>P048</x:v>
      </x:c>
      <x:c r="B49" s="22" t="str">
        <x:v>ICA21:0.04861111111111111</x:v>
      </x:c>
      <x:c r="C49" s="22" t="str">
        <x:v>The Katrina Effect on American Preparedness — A report on the lessons Americans learned in watching the Katrina catastrophe unfold</x:v>
      </x:c>
      <x:c r="D49" s="22" t="str">
        <x:v>Yes</x:v>
      </x:c>
      <x:c r="E49" s="22" t="str">
        <x:v>Laws, plans and policies; Leadership</x:v>
      </x:c>
      <x:c r="F49" s="22" t="str">
        <x:v>Congress; White House,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x:v>
      </x:c>
      <x:c r="G49" s="22" t="str">
        <x:v>Agreed that this should be coded as unlearning. Had left this as it was bullet points in the executive summary but coded as unlearning in the longer description section.</x:v>
      </x:c>
      <x:c r="H49" s="22"/>
      <x:c r="I49" s="22"/>
      <x:c r="J49" s="22"/>
      <x:c r="K49" s="22" t="str">
        <x:v>Pending</x:v>
      </x:c>
      <x:c r="L49" s="22" t="str">
        <x:v>Pending</x:v>
      </x:c>
      <x:c r="M49" s="22"/>
      <x:c r="N49" s="22"/>
      <x:c r="O49" s="22"/>
      <x:c r="P49" s="22"/>
      <x:c r="Q49" s="22"/>
      <x:c r="R49" s="22"/>
    </x:row>
    <x:row r="50">
      <x:c r="A50" s="22" t="str">
        <x:v>P049</x:v>
      </x:c>
      <x:c r="B50" s="22" t="str">
        <x:v>ICA21:0.049305555555555554</x:v>
      </x:c>
      <x:c r="C50" s="22" t="str">
        <x:v>The Katrina Effect on American Preparedness — A report on the lessons Americans learned in watching the Katrina catastrophe unfold</x:v>
      </x:c>
      <x:c r="D50" s="22" t="str">
        <x:v>Yes</x:v>
      </x:c>
      <x:c r="E50" s="22" t="str">
        <x:v>Leadership</x:v>
      </x:c>
      <x:c r="F50" s="22" t="str">
        <x:v>Congress; White House</x:v>
      </x:c>
      <x:c r="G50" s="22" t="str">
        <x:v>Agreed that this should be coded as unlearning. Had left this as it was bullet points in the executive summary but coded as unlearning in the longer description section.</x:v>
      </x:c>
      <x:c r="H50" s="22"/>
      <x:c r="I50" s="22"/>
      <x:c r="J50" s="22"/>
      <x:c r="K50" s="22" t="str">
        <x:v>Pending</x:v>
      </x:c>
      <x:c r="L50" s="22" t="str">
        <x:v>Pending</x:v>
      </x:c>
      <x:c r="M50" s="22"/>
      <x:c r="N50" s="22"/>
      <x:c r="O50" s="22"/>
      <x:c r="P50" s="22"/>
      <x:c r="Q50" s="22"/>
      <x:c r="R50" s="22"/>
    </x:row>
  </x:sheetData>
  <x:conditionalFormatting sqref="L2:L50">
    <x:cfRule type="expression" dxfId="4" priority="1">
      <x:formula>L2="Final"</x:formula>
    </x:cfRule>
    <x:cfRule type="expression" dxfId="5" priority="2">
      <x:formula>L2="Codebook discussion"</x:formula>
    </x:cfRule>
  </x:conditionalFormatting>
  <x:dataValidations count="4">
    <x:dataValidation type="list" sqref="K2:K50">
      <x:formula1>'Validation Lists'!$A$2:$A$7</x:formula1>
    </x:dataValidation>
    <x:dataValidation type="list" sqref="L2:L50">
      <x:formula1>'Validation Lists'!$B$2:$B$6</x:formula1>
    </x:dataValidation>
    <x:dataValidation type="list" sqref="M2:M50">
      <x:formula1>'Validation Lists'!$A$10:$A$11</x:formula1>
    </x:dataValidation>
    <x:dataValidation type="list" sqref="N2:N50">
      <x:formula1>'Validation Lists'!$B$10:$B$15</x:formula1>
    </x:dataValidation>
  </x:dataValidations>
  <x:pageMargins left="0.7" right="0.7" top="0.75" bottom="0.75" header="0.3" footer="0.3"/>
  <x:tableParts count="1">
    <x:tablePart xmlns:r="http://schemas.openxmlformats.org/officeDocument/2006/relationships" r:id="R5d96a49cf50a4d7e"/>
  </x:tableParts>
</x:worksheet>
</file>

<file path=xl/worksheets/sheet6.xml><?xml version="1.0" encoding="utf-8"?>
<x:worksheet xmlns:x="http://schemas.openxmlformats.org/spreadsheetml/2006/main">
  <x:sheetFormatPr defaultRowHeight="15"/>
  <x:cols>
    <x:col min="1" max="1" width="32" hidden="0" customWidth="1"/>
    <x:col min="2" max="2" width="48" hidden="0" customWidth="1"/>
    <x:col min="3" max="3" width="45" hidden="0" customWidth="1"/>
    <x:col min="4" max="4" width="45" hidden="0" customWidth="1"/>
    <x:col min="5" max="5" width="48" hidden="0" customWidth="1"/>
    <x:col min="6" max="6" width="48" hidden="0" customWidth="1"/>
  </x:cols>
  <x:sheetData>
    <x:row r="1">
      <x:c r="A1" s="5" t="str">
        <x:v>Objective: The key objective of this paper is "how to study unlearning?" This codebook supports this objective through the development of an empirical, and evidence-based understanding of how unlearning shows up in large U.S. government bureaucracies, particularly in the context of catastrophic disasters and climate-amplified risks. Additionally, to explore the utility of LLMs for the annotation of policy documents. The codebook enables this by: 
1. Differentiating unlearning from learning, reform, and innovation
2. Classifying unlearning into analytically distinct pillars
3. Assessing the depth and nature of unlearning
4. Identifying specific agencies, sub-units, procedures, and legal mechanisms requiring unlearning</x:v>
      </x:c>
      <x:c r="B1" s="5"/>
      <x:c r="C1" s="5"/>
      <x:c r="D1" s="5"/>
      <x:c r="E1" s="5"/>
      <x:c r="F1" s="5"/>
    </x:row>
    <x:row r="2">
      <x:c r="A2" s="14" t="str">
        <x:v>Code</x:v>
      </x:c>
      <x:c r="B2" s="14" t="str">
        <x:v>Definition</x:v>
      </x:c>
      <x:c r="C2" s="14" t="str">
        <x:v>Detection Logic</x:v>
      </x:c>
      <x:c r="D2" s="14" t="str">
        <x:v>Examples</x:v>
      </x:c>
      <x:c r="E2" s="14" t="str">
        <x:v>Positive Clarification</x:v>
      </x:c>
      <x:c r="F2" s="14" t="str">
        <x:v>Negative Clarification</x:v>
      </x:c>
    </x:row>
    <x:row r="3">
      <x:c r="A3" s="22" t="str">
        <x:v>Step 1 -- Binary classification based on unlearning definition</x:v>
      </x:c>
      <x:c r="B3" s="22"/>
      <x:c r="C3" s="22"/>
      <x:c r="D3" s="22"/>
      <x:c r="E3" s="22"/>
      <x:c r="F3" s="22"/>
    </x:row>
    <x:row r="4">
      <x:c r="A4" s="22" t="str">
        <x:v>Unlearning (Yes/No)</x:v>
      </x:c>
      <x:c r="B4" s="22" t="str">
        <x:v>Unlearning is the deliberate process by which a government agency discards misaligned assumptions, obsolete knowledge, or outdated routines in response to demonstrated failure — here, Hurricane Katrina. It becomes visible in discourse when institutions explicitly problematise a prior practice, justify its abandonment, and signal a departure from established norms.</x:v>
      </x:c>
      <x:c r="C4" s="22" t="str">
        <x:v>Does the text explicitly identify a prior policy, assumption, practice, or technical system as inadequate or harmful — AND call for its removal, replacement, or fundamental rethinking?
If YES → code as Unlearning; proceed to Step 2.
If NO  → do not code; stop here.</x:v>
      </x:c>
      <x:c r="D4" s="22" t="str">
        <x:v>"[T]he Federal government should not rely on the traditional layered approach and instead should proactively provide its capabilities and assistance directly to those in need."
— White House Report
(Prior assumption explicitly rejected; new approach mandated.)</x:v>
      </x:c>
      <x:c r="E4" s="22" t="str">
        <x:v>Code when the text:
• Names a specific prior assumption, policy, practice, or system as the source of failure.
• Explicitly calls for abandoning, replacing, dismantling, or fundamentally rethinking it.
• Frames the departure from past practice as necessary — not merely aspirational.</x:v>
      </x:c>
      <x:c r="F4" s="22" t="str">
        <x:v>DO NOT code if:
• The text only documents what went wrong without calling for change ('the levees failed').
• The change is purely additive — new resources or capacity added without rejecting prior logic.
• The text uses 'lessons learned' language that implies improvement, not replacement.
• A new tool/software is adopted but the underlying governance assumption is unchanged.
BOUNDARY CASE: Problem diagnosis alone ≠ unlearning. 'The command structure was inadequate' is NOT unlearning unless the text also calls for dismantling or replacing that structure.</x:v>
      </x:c>
    </x:row>
    <x:row r="5">
      <x:c r="A5" s="22" t="str">
        <x:v>STEP 2 — TARGET OF UNLEARNING (assign one per passage)</x:v>
      </x:c>
      <x:c r="B5" s="22"/>
      <x:c r="C5" s="22"/>
      <x:c r="D5" s="22"/>
      <x:c r="E5" s="22"/>
      <x:c r="F5" s="22"/>
    </x:row>
    <x:row r="6">
      <x:c r="A6" s="22" t="str">
        <x:v>Target (Leadership)</x:v>
      </x:c>
      <x:c r="B6" s="22" t="str">
        <x:v>The text questions or redefines the role, authority, or responsibilities of a specific leadership position (e.g., DHS Secretary, FEMA Director, POTUS) in disaster management — not merely who occupies the role, but whether the role itself is fit for purpose.</x:v>
      </x:c>
      <x:c r="C6" s="22" t="str">
        <x:v>Does the text call for redefining or redistributing leadership authority — not just replacing the person in the role?</x:v>
      </x:c>
      <x:c r="D6" s="22" t="str">
        <x:v>"[A] single individual directly responsible and accountable to the President must be designated to act as the central focal point to lead and coordinate the overall federal response…"
 — GAO
 (Prior distributed-authority model is rejected in favour of unified accountability.)</x:v>
      </x:c>
      <x:c r="E6" s="22" t="str">
        <x:v>Code when the text:
 • Calls into question whether an existing leadership structure is capable of managing catastrophic events.
 • Proposes redistributing, consolidating, or redefining authority at the leadership level.
 • Frames past leadership arrangements as a root cause of failure.</x:v>
      </x:c>
      <x:c r="F6" s="22" t="str">
        <x:v>DO NOT code if:
 • The text recommends appointing a new person to an existing, unchanged role.
 • Minor reporting-line adjustments are proposed without questioning the underlying authority structure.
 • Leadership is mentioned only as context, not as the object of change.</x:v>
      </x:c>
    </x:row>
    <x:row r="7">
      <x:c r="A7" s="22" t="str">
        <x:v>Target (laws, plans and policies)</x:v>
      </x:c>
      <x:c r="B7" s="22" t="str">
        <x:v>The text calls for terminating, replacing, or fundamentally revising a law, regulation, plan, or formal policy that is now seen as harmful, unjust, or structurally inadequate.</x:v>
      </x:c>
      <x:c r="C7" s="22" t="str">
        <x:v>Does the text identify a specific law, plan, or policy as harmful or obsolete — and call for its elimination or replacement?</x:v>
      </x:c>
      <x:c r="D7" s="22" t="str">
        <x:v>"Removing statutory restrictions on DOD authority to activate Reserve units for catastrophic disaster relief."
 — GAO 
 (Existing statutory constraint identified as harmful; removal explicitly recommended.)</x:v>
      </x:c>
      <x:c r="E7" s="22" t="str">
        <x:v>Code when the text:
 • Calls for eliminating or replacing a specific statute, executive order, plan, or doctrine.
 • Frames an existing legal or policy arrangement as a root cause of failure.
 • Proposes dismantling a governance structure, not merely amending it at the margins.</x:v>
      </x:c>
      <x:c r="F7" s="22" t="str">
        <x:v>DO NOT code if:
 • The text proposes reform or better implementation of an existing policy without questioning its underlying logic.
 • A new plan is added alongside an old one, with no indication the old one is discarded.
 • The change is a routine policy update with no connection to Katrina-identified failure.</x:v>
      </x:c>
    </x:row>
    <x:row r="8">
      <x:c r="A8" s="22" t="str">
        <x:v>Target (capabilities)</x:v>
      </x:c>
      <x:c r="B8" s="22" t="str">
        <x:v>The text identifies a technical system — model, map, software, infrastructure, training protocol, or engineering standard, assesing dmaage, citizen service, communications, exercise  — as built on obsolete assumptions and calls for its recalibration or replacement.</x:v>
      </x:c>
      <x:c r="C8" s="22" t="str">
        <x:v>Does the text identify a specific technical system as misaligned with catastrophic or climate-amplified risk — and call for its revision or replacement?</x:v>
      </x:c>
      <x:c r="D8" s="22" t="str">
        <x:v>"We identified the need for the federal government to upgrade training and exercises for state and local governments specifically geared towards catastrophic disaster response."
 — GAO 
 (Existing training regime is identified as inadequate for catastrophic-scale events; replacement mandated.)</x:v>
      </x:c>
      <x:c r="E8" s="22" t="str">
        <x:v>Code when the text:
 • Identifies a technical system (model, protocol, map, standard) as based on outdated or inadequate assumptions.
 • Calls for replacing engineering standards, revising risk models, or overhauling training regimes.
 • Frames the technical failure as rooted in prior assumptions, not just under-resourcing.</x:v>
      </x:c>
      <x:c r="F8" s="22" t="str">
        <x:v>DO NOT code if:
 • The text describes routine maintenance or a standard equipment upgrade with no prior assumption rejected.
 • New technology is added as a supplement without any existing system being questioned.
 • The text identifies a gap without calling for the replacement of the system that created the gap.</x:v>
      </x:c>
    </x:row>
    <x:row r="9">
      <x:c r="A9" s="22" t="str">
        <x:v>Target (funds and resource allocation)</x:v>
      </x:c>
      <x:c r="B9" s="22" t="str">
        <x:v>The text calls for changing how disaster funds are allocated, distributed, or governed — not merely requesting more funding, but questioning the rules or structures that govern resource flow.</x:v>
      </x:c>
      <x:c r="C9" s="22" t="str">
        <x:v>Does the text identify the existing funds management structure as inadequate — and call for changing how resources are allocated or governed?</x:v>
      </x:c>
      <x:c r="D9" s="22" t="str">
        <x:v>"Federal agencies involved in managing international assistance were not prepared to coordinate, receive, distribute, or account for the assistance… agencies had not planned for the acceptance of international assistance for use in the United States."
 — GAO 
 (Absence of a resource-management framework identified; new procedures explicitly required.)</x:v>
      </x:c>
      <x:c r="E9" s="22" t="str">
        <x:v>Code when the text:
 • Calls for changing the rules, structures, or authorities governing funds distribution.
 • Identifies an existing allocation logic as a source of inequity or failure.
 • Proposes dismantling or replacing a resource governance mechanism.</x:v>
      </x:c>
      <x:c r="F9" s="22" t="str">
        <x:v>DO NOT code if:
 • The text only requests additional funding without questioning how existing funds are managed.
 • A new grant programme is added without any existing allocation logic being rejected.
 • Funds management approach remains substantively unchanged.</x:v>
      </x:c>
    </x:row>
    <x:row r="10">
      <x:c r="A10" s="22" t="str">
        <x:v>Target (misclleanous) organizational culture, communication norms, or inter-agency coordination logics not captured above</x:v>
      </x:c>
      <x:c r="B10" s="22" t="str">
        <x:v>The text calls for unlearning in a domain not captured above — such as inter-agency coordination norms, communication protocols, or organisational culture — where a specific prior assumption or practice is explicitly rejected.</x:v>
      </x:c>
      <x:c r="C10" s="22" t="str">
        <x:v>Does the text call for discarding a prior assumption or practice in a domain not covered by the four targets above?</x:v>
      </x:c>
      <x:c r="D10" s="22" t="str">
        <x:v>Use sparingly. Flag for team discussion if used more than 10% of coded passages.</x:v>
      </x:c>
      <x:c r="E10" s="22" t="str">
        <x:v>Code when the text:
 • Explicitly rejects a prior norm or practice in coordination, culture, or communication.
 • Cannot reasonably be assigned to any of the four primary targets.</x:v>
      </x:c>
      <x:c r="F10" s="22" t="str">
        <x:v>DO NOT use as a default catch-all. If the passage is ambiguous across targets, assign the closest primary target and note the ambiguity. Reserve this code for genuinely novel domains.
 Flag all uses of this code for inter-coder discussion.</x:v>
      </x:c>
    </x:row>
    <x:row r="11">
      <x:c r="A11" s="22" t="str">
        <x:v>STEP 3 — STAKEHOLDER / AGENCY (assign one per passage)</x:v>
      </x:c>
      <x:c r="B11" s="22"/>
      <x:c r="C11" s="22"/>
      <x:c r="D11" s="22"/>
      <x:c r="E11" s="22"/>
      <x:c r="F11" s="22"/>
    </x:row>
    <x:row r="12">
      <x:c r="A12" s="22" t="str">
        <x:v>Government Agency</x:v>
      </x:c>
      <x:c r="B12" s="22" t="str">
        <x:v>The specific federal agency, sub-unit, or institutional actor identified in the passage as the subject of unlearning — i.e., the entity whose prior assumption or practice is being rejected.</x:v>
      </x:c>
      <x:c r="C12" s="22" t="str">
        <x:v>Does the text name a specific agency, office, or sub-unit as the actor whose prior practice must change?</x:v>
      </x:c>
      <x:c r="D12" s="22" t="str">
        <x:v>"[O]ther factors such as leadership and resources may be more important to FEMA future success than organizational placement."
 — GAO
 (FEMA named as the agency whose organisational logic is under scrutiny.)</x:v>
      </x:c>
      <x:c r="E12" s="22" t="str">
        <x:v>Code when the text:
 • Names a specific government agency, office, or legal mechanism as the subject of change.
 • Code at the most specific level mentioned (e.g., 'FEMA Operations Division', not just 'FEMA').</x:v>
      </x:c>
      <x:c r="F12" s="22" t="str">
        <x:v>DO NOT code the agency calling for change (e.g., GAO recommending FEMA reform) — code only the agency whose practices are the object of unlearning.</x:v>
      </x:c>
    </x:row>
    <x:row r="13">
      <x:c r="A13" s="22" t="str">
        <x:v>CODING PROCEDURE &amp; UNIT OF ANALYSIS</x:v>
      </x:c>
      <x:c r="B13" s="22"/>
      <x:c r="C13" s="22"/>
      <x:c r="D13" s="22"/>
      <x:c r="E13" s="22"/>
      <x:c r="F13" s="22"/>
    </x:row>
    <x:row r="14">
      <x:c r="A14" s="22" t="str">
        <x:v>Unit of Analysis</x:v>
      </x:c>
      <x:c r="B14" s="22" t="str">
        <x:v>Code at the paragraph level. Do not split a paragraph across multiple codes.</x:v>
      </x:c>
      <x:c r="C14" s="22" t="str">
        <x:v>Does the paragraph as a whole constitute an instance of unlearning?</x:v>
      </x:c>
      <x:c r="D14" s="22" t="str">
        <x:v>If a paragraph contains both diagnostic language and a call for change, code the paragraph as Unlearning (Yes).</x:v>
      </x:c>
      <x:c r="E14" s="22" t="str">
        <x:v>Code the entire paragraph — do not extract individual sentences.</x:v>
      </x:c>
      <x:c r="F14" s="22" t="str">
        <x:v>If the paragraph only diagnoses a problem without calling for change, do NOT code as unlearning.</x:v>
      </x:c>
    </x:row>
    <x:row r="15">
      <x:c r="A15" s="22" t="str">
        <x:v>ICA Protocol</x:v>
      </x:c>
      <x:c r="B15" s="22" t="str">
        <x:v>Each coder assigns: (1) Unlearning Yes/No, (2) Target, (3) Agency. Disagreements on any dimension are flagged and resolved by majority or adjudication.</x:v>
      </x:c>
      <x:c r="C15" s="22" t="str">
        <x:v>—</x:v>
      </x:c>
      <x:c r="D15" s="22" t="str">
        <x:v>Target: Miscellaneous and boundary-case passages should be flagged for team discussion before finalising.</x:v>
      </x:c>
      <x:c r="E15" s="22" t="str">
        <x:v>Record all disagreements and resolutions in the ICA log.</x:v>
      </x:c>
      <x:c r="F15" s="22" t="str">
        <x:v>Do not adjudicate privately — all boundary cases go to the full team.</x:v>
      </x:c>
    </x:row>
    <x:row r="16">
      <x:c r="A16" s="22" t="str">
        <x:v>Revised codebook — Pillars replaced by Targets | Depth &amp; Nature dimensions removed | Paragraph-level coding | Boundary cases flagged for team adjudication</x:v>
      </x:c>
      <x:c r="B16" s="22"/>
      <x:c r="C16" s="22"/>
      <x:c r="D16" s="22"/>
      <x:c r="E16" s="22"/>
      <x:c r="F16" s="22"/>
    </x:row>
  </x:sheetData>
  <x:mergeCells>
    <x:mergeCell ref="A1:F1"/>
  </x:mergeCells>
  <x:pageMargins left="0.7" right="0.7" top="0.75" bottom="0.75" header="0.3" footer="0.3"/>
</x:worksheet>
</file>

<file path=xl/worksheets/sheet7.xml><?xml version="1.0" encoding="utf-8"?>
<x:worksheet xmlns:x="http://schemas.openxmlformats.org/spreadsheetml/2006/main">
  <x:sheetFormatPr defaultRowHeight="15"/>
  <x:cols>
    <x:col min="1" max="1" width="36" hidden="0" customWidth="1"/>
    <x:col min="2" max="2" width="28" hidden="0" customWidth="1"/>
  </x:cols>
  <x:sheetData>
    <x:row r="1">
      <x:c r="A1" s="14" t="str">
        <x:v>Change Type</x:v>
      </x:c>
      <x:c r="B1" s="14" t="str">
        <x:v>Review Decision</x:v>
      </x:c>
    </x:row>
    <x:row r="2">
      <x:c r="A2" s="36" t="str">
        <x:v>Pending</x:v>
      </x:c>
      <x:c r="B2" s="36" t="str">
        <x:v>Pending</x:v>
      </x:c>
    </x:row>
    <x:row r="3">
      <x:c r="A3" s="36" t="str">
        <x:v>replace_or_fundamentally_rethink</x:v>
      </x:c>
      <x:c r="B3" s="36" t="str">
        <x:v>Final</x:v>
      </x:c>
    </x:row>
    <x:row r="4">
      <x:c r="A4" s="36" t="str">
        <x:v>improve_or_add</x:v>
      </x:c>
      <x:c r="B4" s="36" t="str">
        <x:v>Needs more context</x:v>
      </x:c>
    </x:row>
    <x:row r="5">
      <x:c r="A5" s="36" t="str">
        <x:v>diagnosis_only</x:v>
      </x:c>
      <x:c r="B5" s="36" t="str">
        <x:v>Codebook discussion</x:v>
      </x:c>
    </x:row>
    <x:row r="6">
      <x:c r="A6" s="36" t="str">
        <x:v>no_change</x:v>
      </x:c>
      <x:c r="B6" s="36" t="str">
        <x:v>Exclude from benchmark</x:v>
      </x:c>
    </x:row>
    <x:row r="7">
      <x:c r="A7" s="36" t="str">
        <x:v>unclear</x:v>
      </x:c>
      <x:c r="B7" s="36"/>
    </x:row>
    <x:row r="8">
      <x:c r="A8" s="36"/>
      <x:c r="B8" s="36"/>
    </x:row>
    <x:row r="9">
      <x:c r="A9" s="14" t="str">
        <x:v>Binary Label</x:v>
      </x:c>
      <x:c r="B9" s="14" t="str">
        <x:v>Target</x:v>
      </x:c>
    </x:row>
    <x:row r="10">
      <x:c r="A10" s="36" t="str">
        <x:v>Yes</x:v>
      </x:c>
      <x:c r="B10" s="36" t="str">
        <x:v>Leadership</x:v>
      </x:c>
    </x:row>
    <x:row r="11">
      <x:c r="A11" s="36" t="str">
        <x:v>No</x:v>
      </x:c>
      <x:c r="B11" s="36" t="str">
        <x:v>laws_plans_policies</x:v>
      </x:c>
    </x:row>
    <x:row r="12">
      <x:c r="A12" s="36"/>
      <x:c r="B12" s="36" t="str">
        <x:v>capabilities</x:v>
      </x:c>
    </x:row>
    <x:row r="13">
      <x:c r="A13" s="36"/>
      <x:c r="B13" s="36" t="str">
        <x:v>funds_resources</x:v>
      </x:c>
    </x:row>
    <x:row r="14">
      <x:c r="A14" s="36"/>
      <x:c r="B14" s="36" t="str">
        <x:v>misc_organizational</x:v>
      </x:c>
    </x:row>
    <x:row r="15">
      <x:c r="A15" s="36"/>
      <x:c r="B15" s="36" t="str">
        <x:v>none</x:v>
      </x:c>
    </x:row>
  </x:sheetData>
  <x:pageMargins left="0.7" right="0.7" top="0.75" bottom="0.75" header="0.3" footer="0.3"/>
</x:worksheet>
</file>
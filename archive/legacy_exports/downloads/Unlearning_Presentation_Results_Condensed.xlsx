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CB351B-D10A-4A60-B398-191AE6BA8E5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ummary" sheetId="1" r:id="rId1"/>
    <sheet name="Combined by Document" sheetId="2" r:id="rId2"/>
    <sheet name="Combined by Labeler" sheetId="3" r:id="rId3"/>
    <sheet name="A-B and Threshol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F18" i="1"/>
  <c r="H16" i="1"/>
  <c r="G16" i="1"/>
  <c r="F16" i="1"/>
  <c r="J10" i="1"/>
  <c r="I10" i="1"/>
  <c r="H10" i="1"/>
  <c r="J8" i="1"/>
  <c r="I8" i="1"/>
  <c r="H8" i="1"/>
</calcChain>
</file>

<file path=xl/sharedStrings.xml><?xml version="1.0" encoding="utf-8"?>
<sst xmlns="http://schemas.openxmlformats.org/spreadsheetml/2006/main" count="152" uniqueCount="80">
  <si>
    <t>Focus: best GPT configuration vs baseline, sensitivity to Kyle-only rows, and best average performance across GPT + Claude + Gemini.</t>
  </si>
  <si>
    <t>1. Best individual model vs baseline</t>
  </si>
  <si>
    <t>Dataset</t>
  </si>
  <si>
    <t>Model</t>
  </si>
  <si>
    <t>Prompt</t>
  </si>
  <si>
    <t>Threshold</t>
  </si>
  <si>
    <t>Accuracy</t>
  </si>
  <si>
    <t>F1</t>
  </si>
  <si>
    <t>AUROC</t>
  </si>
  <si>
    <t>Δ Accuracy vs baseline</t>
  </si>
  <si>
    <t>Δ F1 vs baseline</t>
  </si>
  <si>
    <t>Δ AUROC vs baseline</t>
  </si>
  <si>
    <t>Result</t>
  </si>
  <si>
    <t>Configuration</t>
  </si>
  <si>
    <t>All 76 rows</t>
  </si>
  <si>
    <t>GPT-5.6 Terra</t>
  </si>
  <si>
    <t>Direct target only</t>
  </si>
  <si>
    <t>Baseline</t>
  </si>
  <si>
    <t>Codebook + examples + checklist</t>
  </si>
  <si>
    <t>Best GPT</t>
  </si>
  <si>
    <t>Exclude Kyle-only</t>
  </si>
  <si>
    <t>Baseline – no Kyle-only</t>
  </si>
  <si>
    <t>Best GPT – no Kyle-only</t>
  </si>
  <si>
    <t>2. Best average configuration across all three models</t>
  </si>
  <si>
    <t>Mean Accuracy</t>
  </si>
  <si>
    <t>Mean F1</t>
  </si>
  <si>
    <t>Mean AUROC</t>
  </si>
  <si>
    <t>Δ Accuracy</t>
  </si>
  <si>
    <t>Δ F1</t>
  </si>
  <si>
    <t>Δ AUROC</t>
  </si>
  <si>
    <t>Models</t>
  </si>
  <si>
    <t>Ranking basis</t>
  </si>
  <si>
    <t>Takeaway</t>
  </si>
  <si>
    <t>Direct baseline</t>
  </si>
  <si>
    <t>Highest mean F1</t>
  </si>
  <si>
    <t>Best average prompt</t>
  </si>
  <si>
    <t>Presentation headline</t>
  </si>
  <si>
    <t>Best individual: GPT-5.6 Terra + codebook + examples + checklist at threshold 0.06 reached F1 77.6% and Accuracy 71.1%. After excluding Kyle-only rows: F1 80.0%, Accuracy 73.5%. The same prompt was also the best configuration on average across all three models.</t>
  </si>
  <si>
    <t>Best Average Prompt — Document Level</t>
  </si>
  <si>
    <t>Mean of GPT-5.6 Terra, Claude 4.5 Haiku, and Gemini 3.1 Flash-Lite using each model's optimized threshold. Best prompt: codebook + examples + checklist.</t>
  </si>
  <si>
    <t>Document</t>
  </si>
  <si>
    <t>Accuracy — all</t>
  </si>
  <si>
    <t>F1 — all</t>
  </si>
  <si>
    <t>AUROC — all</t>
  </si>
  <si>
    <t>Accuracy — no Kyle-only</t>
  </si>
  <si>
    <t>F1 — no Kyle-only</t>
  </si>
  <si>
    <t>AUROC — no Kyle-only</t>
  </si>
  <si>
    <t>EPA</t>
  </si>
  <si>
    <t>ERP Report</t>
  </si>
  <si>
    <t>GAO</t>
  </si>
  <si>
    <t>Hurricane Katrina</t>
  </si>
  <si>
    <t>PAR</t>
  </si>
  <si>
    <t>Best Average Prompt — Original Labeler Level</t>
  </si>
  <si>
    <t>Mean across all three models, grouped by the original gold-label source. Kyle-only sensitivity is shown side-by-side.</t>
  </si>
  <si>
    <t>Original labeler</t>
  </si>
  <si>
    <t>Anmol</t>
  </si>
  <si>
    <t>Kyle</t>
  </si>
  <si>
    <t>Prerana</t>
  </si>
  <si>
    <t>Unassigned human labeler</t>
  </si>
  <si>
    <t>A/B Test Conclusions and Thresholds</t>
  </si>
  <si>
    <t>A/B deltas are averaged across all three models using optimized thresholds on NEW GOLD. Positive deltas favor the treatment.</t>
  </si>
  <si>
    <t>A/B tests — all 76 rows</t>
  </si>
  <si>
    <t>Test</t>
  </si>
  <si>
    <t>Mean Δ Accuracy</t>
  </si>
  <si>
    <t>Mean Δ F1</t>
  </si>
  <si>
    <t>Conclusion</t>
  </si>
  <si>
    <t>Full configuration vs direct baseline</t>
  </si>
  <si>
    <t>Worked</t>
  </si>
  <si>
    <t>Checklist effect (with examples)</t>
  </si>
  <si>
    <t>Examples effect (with checklist)</t>
  </si>
  <si>
    <t>Checklist effect (without examples)</t>
  </si>
  <si>
    <t>Small / mixed gain</t>
  </si>
  <si>
    <t>Examples effect (without checklist)</t>
  </si>
  <si>
    <t>Did not improve F1</t>
  </si>
  <si>
    <t>A/B tests — after excluding Kyle-only rows</t>
  </si>
  <si>
    <t>Optimized thresholds for the best prompt</t>
  </si>
  <si>
    <t>Claude 4.5 Haiku</t>
  </si>
  <si>
    <t>Gemini 3.1 Flash-Lite</t>
  </si>
  <si>
    <t>Main A/B conclusion: the full configuration (codebook + examples + checklist) was the strongest overall. The checklist consistently helped, especially when examples were present. Examples alone without the checklist increased mean accuracy slightly but did not improve mean F1, so that A/B change was not consistently beneficial. Threshold tuning was crucial: the best GPT result used 0.06 rather than 0.50.</t>
  </si>
  <si>
    <t xml:space="preserve">Final Unlearning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</si>
</sst>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8"/>
      <color rgb="FFFFFFFF"/>
      <name val="Carlito"/>
    </font>
    <font>
      <sz val="9"/>
      <color rgb="FF404040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1"/>
      <color rgb="FF17365D"/>
      <name val="Carlito"/>
    </font>
    <font>
      <b/>
      <sz val="11"/>
      <color rgb="FF9C000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wrapText="1"/>
    </xf>
    <xf numFmtId="164" fontId="0" fillId="0" borderId="0" xfId="0" applyNumberFormat="1"/>
    <xf numFmtId="164" fontId="5" fillId="5" borderId="0" xfId="0" applyNumberFormat="1" applyFont="1" applyFill="1" applyAlignment="1">
      <alignment wrapText="1"/>
    </xf>
    <xf numFmtId="2" fontId="5" fillId="5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6" fillId="7" borderId="0" xfId="0" applyFont="1" applyFill="1" applyAlignment="1">
      <alignment wrapText="1"/>
    </xf>
    <xf numFmtId="164" fontId="6" fillId="7" borderId="0" xfId="0" applyNumberFormat="1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Best GPT vs baseline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Summary!$M$7:$M$10</c:f>
              <c:strCache>
                <c:ptCount val="4"/>
                <c:pt idx="0">
                  <c:v>Baseline</c:v>
                </c:pt>
                <c:pt idx="1">
                  <c:v>Best GPT</c:v>
                </c:pt>
                <c:pt idx="2">
                  <c:v>Baseline – no Kyle-only</c:v>
                </c:pt>
                <c:pt idx="3">
                  <c:v>Best GPT – no Kyle-only</c:v>
                </c:pt>
              </c:strCache>
            </c:strRef>
          </c:cat>
          <c:val>
            <c:numRef>
              <c:f>Summary!$N$7:$N$10</c:f>
              <c:numCache>
                <c:formatCode>0.0%</c:formatCode>
                <c:ptCount val="4"/>
                <c:pt idx="0">
                  <c:v>0.59210526315789469</c:v>
                </c:pt>
                <c:pt idx="1">
                  <c:v>0.71052631578947367</c:v>
                </c:pt>
                <c:pt idx="2">
                  <c:v>0.58823529411764708</c:v>
                </c:pt>
                <c:pt idx="3">
                  <c:v>0.73529411764705888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D-4752-B723-61918EFC46AC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Summary!$M$7:$M$10</c:f>
              <c:strCache>
                <c:ptCount val="4"/>
                <c:pt idx="0">
                  <c:v>Baseline</c:v>
                </c:pt>
                <c:pt idx="1">
                  <c:v>Best GPT</c:v>
                </c:pt>
                <c:pt idx="2">
                  <c:v>Baseline – no Kyle-only</c:v>
                </c:pt>
                <c:pt idx="3">
                  <c:v>Best GPT – no Kyle-only</c:v>
                </c:pt>
              </c:strCache>
            </c:strRef>
          </c:cat>
          <c:val>
            <c:numRef>
              <c:f>Summary!$O$7:$O$10</c:f>
              <c:numCache>
                <c:formatCode>0.0%</c:formatCode>
                <c:ptCount val="4"/>
                <c:pt idx="0">
                  <c:v>0.67368421052631577</c:v>
                </c:pt>
                <c:pt idx="1">
                  <c:v>0.77551020408163263</c:v>
                </c:pt>
                <c:pt idx="2">
                  <c:v>0.68181818181818177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D-4752-B723-61918EFC4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Three-model mean by document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'Combined by Document'!$K$6:$K$10</c:f>
              <c:strCache>
                <c:ptCount val="5"/>
                <c:pt idx="0">
                  <c:v>EPA</c:v>
                </c:pt>
                <c:pt idx="1">
                  <c:v>ERP Report</c:v>
                </c:pt>
                <c:pt idx="2">
                  <c:v>GAO</c:v>
                </c:pt>
                <c:pt idx="3">
                  <c:v>Hurricane Katrina</c:v>
                </c:pt>
                <c:pt idx="4">
                  <c:v>PAR</c:v>
                </c:pt>
              </c:strCache>
            </c:strRef>
          </c:cat>
          <c:val>
            <c:numRef>
              <c:f>'Combined by Document'!$L$6:$L$10</c:f>
              <c:numCache>
                <c:formatCode>0.0%</c:formatCode>
                <c:ptCount val="5"/>
                <c:pt idx="0">
                  <c:v>0.43939393939393934</c:v>
                </c:pt>
                <c:pt idx="1">
                  <c:v>0.75457875457875456</c:v>
                </c:pt>
                <c:pt idx="2">
                  <c:v>0.76190476190476186</c:v>
                </c:pt>
                <c:pt idx="3">
                  <c:v>0.63636363636363635</c:v>
                </c:pt>
                <c:pt idx="4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9-49FC-9A5F-1A34A970EA01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'Combined by Document'!$K$6:$K$10</c:f>
              <c:strCache>
                <c:ptCount val="5"/>
                <c:pt idx="0">
                  <c:v>EPA</c:v>
                </c:pt>
                <c:pt idx="1">
                  <c:v>ERP Report</c:v>
                </c:pt>
                <c:pt idx="2">
                  <c:v>GAO</c:v>
                </c:pt>
                <c:pt idx="3">
                  <c:v>Hurricane Katrina</c:v>
                </c:pt>
                <c:pt idx="4">
                  <c:v>PAR</c:v>
                </c:pt>
              </c:strCache>
            </c:strRef>
          </c:cat>
          <c:val>
            <c:numRef>
              <c:f>'Combined by Document'!$M$6:$M$10</c:f>
              <c:numCache>
                <c:formatCode>0.0%</c:formatCode>
                <c:ptCount val="5"/>
                <c:pt idx="0">
                  <c:v>0.34369488536155202</c:v>
                </c:pt>
                <c:pt idx="1">
                  <c:v>0.84985507246376812</c:v>
                </c:pt>
                <c:pt idx="2">
                  <c:v>0.86324786324786329</c:v>
                </c:pt>
                <c:pt idx="3">
                  <c:v>0.72420634920634919</c:v>
                </c:pt>
                <c:pt idx="4">
                  <c:v>0.95238095238095233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9-49FC-9A5F-1A34A970E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A3" sqref="A3:K3"/>
    </sheetView>
  </sheetViews>
  <sheetFormatPr defaultRowHeight="14"/>
  <cols>
    <col min="1" max="1" width="18" customWidth="1"/>
    <col min="2" max="2" width="22" customWidth="1"/>
    <col min="3" max="3" width="34" customWidth="1"/>
    <col min="4" max="4" width="11" customWidth="1"/>
    <col min="5" max="7" width="12" customWidth="1"/>
    <col min="8" max="10" width="14" customWidth="1"/>
    <col min="11" max="11" width="18" customWidth="1"/>
  </cols>
  <sheetData>
    <row r="1" spans="1:15">
      <c r="A1" s="11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5">
      <c r="A5" s="13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5" ht="2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M6" t="s">
        <v>13</v>
      </c>
      <c r="N6" t="s">
        <v>6</v>
      </c>
      <c r="O6" t="s">
        <v>7</v>
      </c>
    </row>
    <row r="7" spans="1:15">
      <c r="A7" s="6" t="s">
        <v>14</v>
      </c>
      <c r="B7" s="6" t="s">
        <v>15</v>
      </c>
      <c r="C7" s="6" t="s">
        <v>16</v>
      </c>
      <c r="D7" s="7">
        <v>0.08</v>
      </c>
      <c r="E7" s="8">
        <v>0.59210526315789469</v>
      </c>
      <c r="F7" s="8">
        <v>0.67368421052631577</v>
      </c>
      <c r="G7" s="8">
        <v>0.58949275362318831</v>
      </c>
      <c r="H7" s="8"/>
      <c r="I7" s="8"/>
      <c r="J7" s="8"/>
      <c r="K7" s="6"/>
      <c r="M7" t="s">
        <v>17</v>
      </c>
      <c r="N7" s="3">
        <v>0.59210526315789469</v>
      </c>
      <c r="O7" s="3">
        <v>0.67368421052631577</v>
      </c>
    </row>
    <row r="8" spans="1:15">
      <c r="A8" s="2" t="s">
        <v>14</v>
      </c>
      <c r="B8" s="2" t="s">
        <v>15</v>
      </c>
      <c r="C8" s="2" t="s">
        <v>18</v>
      </c>
      <c r="D8" s="5">
        <v>0.06</v>
      </c>
      <c r="E8" s="4">
        <v>0.71052631578947367</v>
      </c>
      <c r="F8" s="4">
        <v>0.77551020408163263</v>
      </c>
      <c r="G8" s="4">
        <v>0.71666666666666667</v>
      </c>
      <c r="H8" s="4">
        <f>E8-E7</f>
        <v>0.11842105263157898</v>
      </c>
      <c r="I8" s="4">
        <f>F8-F7</f>
        <v>0.10182599355531685</v>
      </c>
      <c r="J8" s="4">
        <f>G8-G7</f>
        <v>0.12717391304347836</v>
      </c>
      <c r="K8" s="2" t="s">
        <v>19</v>
      </c>
      <c r="M8" t="s">
        <v>19</v>
      </c>
      <c r="N8" s="3">
        <v>0.71052631578947367</v>
      </c>
      <c r="O8" s="3">
        <v>0.77551020408163263</v>
      </c>
    </row>
    <row r="9" spans="1:15">
      <c r="A9" s="6" t="s">
        <v>20</v>
      </c>
      <c r="B9" s="6" t="s">
        <v>15</v>
      </c>
      <c r="C9" s="6" t="s">
        <v>16</v>
      </c>
      <c r="D9" s="7">
        <v>0.08</v>
      </c>
      <c r="E9" s="8">
        <v>0.58823529411764708</v>
      </c>
      <c r="F9" s="8">
        <v>0.68181818181818177</v>
      </c>
      <c r="G9" s="8">
        <v>0.59846431797651312</v>
      </c>
      <c r="H9" s="8"/>
      <c r="I9" s="8"/>
      <c r="J9" s="8"/>
      <c r="K9" s="6"/>
      <c r="M9" t="s">
        <v>21</v>
      </c>
      <c r="N9" s="3">
        <v>0.58823529411764708</v>
      </c>
      <c r="O9" s="3">
        <v>0.68181818181818177</v>
      </c>
    </row>
    <row r="10" spans="1:15">
      <c r="A10" s="2" t="s">
        <v>20</v>
      </c>
      <c r="B10" s="2" t="s">
        <v>15</v>
      </c>
      <c r="C10" s="2" t="s">
        <v>18</v>
      </c>
      <c r="D10" s="5">
        <v>0.06</v>
      </c>
      <c r="E10" s="4">
        <v>0.73529411764705888</v>
      </c>
      <c r="F10" s="4">
        <v>0.8</v>
      </c>
      <c r="G10" s="4">
        <v>0.75338753387533874</v>
      </c>
      <c r="H10" s="4">
        <f>E10-E9</f>
        <v>0.1470588235294118</v>
      </c>
      <c r="I10" s="4">
        <f>F10-F9</f>
        <v>0.11818181818181828</v>
      </c>
      <c r="J10" s="4">
        <f>G10-G9</f>
        <v>0.15492321589882563</v>
      </c>
      <c r="K10" s="2" t="s">
        <v>19</v>
      </c>
      <c r="M10" t="s">
        <v>22</v>
      </c>
      <c r="N10" s="3">
        <v>0.73529411764705888</v>
      </c>
      <c r="O10" s="3">
        <v>0.8</v>
      </c>
    </row>
    <row r="11" spans="1: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5">
      <c r="A13" s="14" t="s">
        <v>23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5">
      <c r="A14" s="1" t="s">
        <v>2</v>
      </c>
      <c r="B14" s="1" t="s">
        <v>4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</row>
    <row r="15" spans="1:15">
      <c r="A15" s="6" t="s">
        <v>14</v>
      </c>
      <c r="B15" s="6" t="s">
        <v>33</v>
      </c>
      <c r="C15" s="8">
        <v>0.59649122807017541</v>
      </c>
      <c r="D15" s="8">
        <v>0.72386140802487176</v>
      </c>
      <c r="E15" s="8">
        <v>0.6132850241545893</v>
      </c>
      <c r="F15" s="8"/>
      <c r="G15" s="8"/>
      <c r="H15" s="8"/>
      <c r="I15" s="6">
        <v>3</v>
      </c>
      <c r="J15" s="6"/>
      <c r="K15" s="6"/>
    </row>
    <row r="16" spans="1:15" ht="28">
      <c r="A16" s="2" t="s">
        <v>14</v>
      </c>
      <c r="B16" s="2" t="s">
        <v>18</v>
      </c>
      <c r="C16" s="4">
        <v>0.66382171645329535</v>
      </c>
      <c r="D16" s="4">
        <v>0.76157020185123225</v>
      </c>
      <c r="E16" s="4">
        <v>0.68599033816425115</v>
      </c>
      <c r="F16" s="4">
        <f>C16-C15</f>
        <v>6.7330488383119946E-2</v>
      </c>
      <c r="G16" s="4">
        <f>D16-D15</f>
        <v>3.7708793826360498E-2</v>
      </c>
      <c r="H16" s="4">
        <f>E16-E15</f>
        <v>7.2705314009661848E-2</v>
      </c>
      <c r="I16" s="2">
        <v>3</v>
      </c>
      <c r="J16" s="2" t="s">
        <v>34</v>
      </c>
      <c r="K16" s="2" t="s">
        <v>35</v>
      </c>
    </row>
    <row r="17" spans="1:11">
      <c r="A17" s="6" t="s">
        <v>20</v>
      </c>
      <c r="B17" s="6" t="s">
        <v>33</v>
      </c>
      <c r="C17" s="8">
        <v>0.60784313725490191</v>
      </c>
      <c r="D17" s="8">
        <v>0.73200550723486502</v>
      </c>
      <c r="E17" s="8">
        <v>0.63053297199638658</v>
      </c>
      <c r="F17" s="8"/>
      <c r="G17" s="8"/>
      <c r="H17" s="8"/>
      <c r="I17" s="6">
        <v>3</v>
      </c>
      <c r="J17" s="6"/>
      <c r="K17" s="6"/>
    </row>
    <row r="18" spans="1:11" ht="28">
      <c r="A18" s="2" t="s">
        <v>20</v>
      </c>
      <c r="B18" s="2" t="s">
        <v>18</v>
      </c>
      <c r="C18" s="4">
        <v>0.69325609031491386</v>
      </c>
      <c r="D18" s="4">
        <v>0.78429066470650011</v>
      </c>
      <c r="E18" s="4">
        <v>0.70891529428114797</v>
      </c>
      <c r="F18" s="4">
        <f>C18-C17</f>
        <v>8.5412953060011954E-2</v>
      </c>
      <c r="G18" s="4">
        <f>D18-D17</f>
        <v>5.2285157471635091E-2</v>
      </c>
      <c r="H18" s="4">
        <f>E18-E17</f>
        <v>7.8382322284761385E-2</v>
      </c>
      <c r="I18" s="2">
        <v>3</v>
      </c>
      <c r="J18" s="2" t="s">
        <v>34</v>
      </c>
      <c r="K18" s="2" t="s">
        <v>35</v>
      </c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14" t="s">
        <v>36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5" t="s">
        <v>37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</sheetData>
  <mergeCells count="6">
    <mergeCell ref="A22:K24"/>
    <mergeCell ref="A1:K2"/>
    <mergeCell ref="A3:K3"/>
    <mergeCell ref="A5:K5"/>
    <mergeCell ref="A13:K13"/>
    <mergeCell ref="A21:K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/>
  </sheetViews>
  <sheetFormatPr defaultRowHeight="14"/>
  <cols>
    <col min="1" max="1" width="24" customWidth="1"/>
    <col min="2" max="2" width="9" customWidth="1"/>
    <col min="3" max="8" width="18" customWidth="1"/>
    <col min="9" max="9" width="9" customWidth="1"/>
  </cols>
  <sheetData>
    <row r="1" spans="1:13">
      <c r="A1" s="11" t="s">
        <v>38</v>
      </c>
      <c r="B1" s="11"/>
      <c r="C1" s="11"/>
      <c r="D1" s="11"/>
      <c r="E1" s="11"/>
      <c r="F1" s="11"/>
      <c r="G1" s="11"/>
      <c r="H1" s="11"/>
      <c r="I1" s="11"/>
    </row>
    <row r="2" spans="1:13">
      <c r="A2" s="11"/>
      <c r="B2" s="11"/>
      <c r="C2" s="11"/>
      <c r="D2" s="11"/>
      <c r="E2" s="11"/>
      <c r="F2" s="11"/>
      <c r="G2" s="11"/>
      <c r="H2" s="11"/>
      <c r="I2" s="11"/>
    </row>
    <row r="3" spans="1:13">
      <c r="A3" s="12" t="s">
        <v>39</v>
      </c>
      <c r="B3" s="12"/>
      <c r="C3" s="12"/>
      <c r="D3" s="12"/>
      <c r="E3" s="12"/>
      <c r="F3" s="12"/>
      <c r="G3" s="12"/>
      <c r="H3" s="12"/>
      <c r="I3" s="12"/>
    </row>
    <row r="5" spans="1:13" ht="26">
      <c r="A5" s="1" t="s">
        <v>40</v>
      </c>
      <c r="B5" s="1" t="s">
        <v>30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30</v>
      </c>
      <c r="K5" t="s">
        <v>40</v>
      </c>
      <c r="L5" t="s">
        <v>6</v>
      </c>
      <c r="M5" t="s">
        <v>7</v>
      </c>
    </row>
    <row r="6" spans="1:13">
      <c r="A6" t="s">
        <v>47</v>
      </c>
      <c r="B6">
        <v>3</v>
      </c>
      <c r="C6" s="3">
        <v>0.43939393939393934</v>
      </c>
      <c r="D6" s="3">
        <v>0.34369488536155202</v>
      </c>
      <c r="E6" s="3">
        <v>0.46078431372549022</v>
      </c>
      <c r="F6" s="3">
        <v>0.48148148148148151</v>
      </c>
      <c r="G6" s="3">
        <v>0.3702204228520018</v>
      </c>
      <c r="H6" s="3">
        <v>0.64814814814814814</v>
      </c>
      <c r="I6">
        <v>3</v>
      </c>
      <c r="K6" t="s">
        <v>47</v>
      </c>
      <c r="L6" s="3">
        <v>0.43939393939393934</v>
      </c>
      <c r="M6" s="3">
        <v>0.34369488536155202</v>
      </c>
    </row>
    <row r="7" spans="1:13">
      <c r="A7" t="s">
        <v>48</v>
      </c>
      <c r="B7">
        <v>3</v>
      </c>
      <c r="C7" s="3">
        <v>0.75457875457875456</v>
      </c>
      <c r="D7" s="3">
        <v>0.84985507246376812</v>
      </c>
      <c r="E7" s="3">
        <v>0.49267676767676766</v>
      </c>
      <c r="F7" s="3">
        <v>0.75457875457875456</v>
      </c>
      <c r="G7" s="3">
        <v>0.84985507246376812</v>
      </c>
      <c r="H7" s="3">
        <v>0.49267676767676766</v>
      </c>
      <c r="I7">
        <v>3</v>
      </c>
      <c r="K7" t="s">
        <v>48</v>
      </c>
      <c r="L7" s="3">
        <v>0.75457875457875456</v>
      </c>
      <c r="M7" s="3">
        <v>0.84985507246376812</v>
      </c>
    </row>
    <row r="8" spans="1:13">
      <c r="A8" t="s">
        <v>49</v>
      </c>
      <c r="B8">
        <v>3</v>
      </c>
      <c r="C8" s="3">
        <v>0.76190476190476186</v>
      </c>
      <c r="D8" s="3">
        <v>0.86324786324786329</v>
      </c>
      <c r="E8" s="3">
        <v>0.75</v>
      </c>
      <c r="F8" s="3">
        <v>1</v>
      </c>
      <c r="G8" s="3">
        <v>1</v>
      </c>
      <c r="H8" s="3"/>
      <c r="I8">
        <v>3</v>
      </c>
      <c r="K8" t="s">
        <v>49</v>
      </c>
      <c r="L8" s="3">
        <v>0.76190476190476186</v>
      </c>
      <c r="M8" s="3">
        <v>0.86324786324786329</v>
      </c>
    </row>
    <row r="9" spans="1:13">
      <c r="A9" t="s">
        <v>50</v>
      </c>
      <c r="B9">
        <v>3</v>
      </c>
      <c r="C9" s="3">
        <v>0.63636363636363635</v>
      </c>
      <c r="D9" s="3">
        <v>0.72420634920634919</v>
      </c>
      <c r="E9" s="3">
        <v>0.83888888888888891</v>
      </c>
      <c r="F9" s="3">
        <v>0.63636363636363635</v>
      </c>
      <c r="G9" s="3">
        <v>0.72420634920634919</v>
      </c>
      <c r="H9" s="3">
        <v>0.83888888888888891</v>
      </c>
      <c r="I9">
        <v>3</v>
      </c>
      <c r="K9" t="s">
        <v>50</v>
      </c>
      <c r="L9" s="3">
        <v>0.63636363636363635</v>
      </c>
      <c r="M9" s="3">
        <v>0.72420634920634919</v>
      </c>
    </row>
    <row r="10" spans="1:13">
      <c r="A10" t="s">
        <v>51</v>
      </c>
      <c r="B10">
        <v>3</v>
      </c>
      <c r="C10" s="3">
        <v>0.91666666666666663</v>
      </c>
      <c r="D10" s="3">
        <v>0.95238095238095233</v>
      </c>
      <c r="E10" s="3"/>
      <c r="F10" s="3">
        <v>0.91666666666666663</v>
      </c>
      <c r="G10" s="3">
        <v>0.95238095238095233</v>
      </c>
      <c r="H10" s="3"/>
      <c r="I10">
        <v>3</v>
      </c>
      <c r="K10" t="s">
        <v>51</v>
      </c>
      <c r="L10" s="3">
        <v>0.91666666666666663</v>
      </c>
      <c r="M10" s="3">
        <v>0.95238095238095233</v>
      </c>
    </row>
  </sheetData>
  <mergeCells count="2">
    <mergeCell ref="A1:I2"/>
    <mergeCell ref="A3:I3"/>
  </mergeCells>
  <conditionalFormatting sqref="C6:H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4"/>
  <cols>
    <col min="1" max="1" width="28" customWidth="1"/>
    <col min="2" max="2" width="9" customWidth="1"/>
    <col min="3" max="8" width="18" customWidth="1"/>
    <col min="9" max="9" width="9" customWidth="1"/>
  </cols>
  <sheetData>
    <row r="1" spans="1:9">
      <c r="A1" s="11" t="s">
        <v>52</v>
      </c>
      <c r="B1" s="11"/>
      <c r="C1" s="11"/>
      <c r="D1" s="11"/>
      <c r="E1" s="11"/>
      <c r="F1" s="11"/>
      <c r="G1" s="11"/>
      <c r="H1" s="11"/>
      <c r="I1" s="11"/>
    </row>
    <row r="2" spans="1:9">
      <c r="A2" s="11"/>
      <c r="B2" s="11"/>
      <c r="C2" s="11"/>
      <c r="D2" s="11"/>
      <c r="E2" s="11"/>
      <c r="F2" s="11"/>
      <c r="G2" s="11"/>
      <c r="H2" s="11"/>
      <c r="I2" s="11"/>
    </row>
    <row r="3" spans="1:9">
      <c r="A3" s="12" t="s">
        <v>53</v>
      </c>
      <c r="B3" s="12"/>
      <c r="C3" s="12"/>
      <c r="D3" s="12"/>
      <c r="E3" s="12"/>
      <c r="F3" s="12"/>
      <c r="G3" s="12"/>
      <c r="H3" s="12"/>
      <c r="I3" s="12"/>
    </row>
    <row r="5" spans="1:9" ht="26">
      <c r="A5" s="1" t="s">
        <v>54</v>
      </c>
      <c r="B5" s="1" t="s">
        <v>30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30</v>
      </c>
    </row>
    <row r="6" spans="1:9">
      <c r="A6" t="s">
        <v>55</v>
      </c>
      <c r="B6">
        <v>3</v>
      </c>
      <c r="C6" s="3">
        <v>0.74497471944752747</v>
      </c>
      <c r="D6" s="3">
        <v>0.84216154118062914</v>
      </c>
      <c r="E6" s="3">
        <v>0.62501237501237505</v>
      </c>
      <c r="F6" s="3">
        <v>0.74497471944752747</v>
      </c>
      <c r="G6" s="3">
        <v>0.84216154118062914</v>
      </c>
      <c r="H6" s="3">
        <v>0.62501237501237505</v>
      </c>
      <c r="I6">
        <v>3</v>
      </c>
    </row>
    <row r="7" spans="1:9">
      <c r="A7" t="s">
        <v>56</v>
      </c>
      <c r="B7">
        <v>3</v>
      </c>
      <c r="C7" s="3">
        <v>0.5</v>
      </c>
      <c r="D7" s="3">
        <v>0.57122507122507127</v>
      </c>
      <c r="E7" s="3">
        <v>0.42222222222222222</v>
      </c>
      <c r="F7" s="3"/>
      <c r="G7" s="3"/>
      <c r="H7" s="3"/>
    </row>
    <row r="8" spans="1:9">
      <c r="A8" t="s">
        <v>57</v>
      </c>
      <c r="B8">
        <v>3</v>
      </c>
      <c r="C8" s="3">
        <v>0.46153846153846151</v>
      </c>
      <c r="D8" s="3">
        <v>0.33888888888888891</v>
      </c>
      <c r="E8" s="3">
        <v>0.72727272727272729</v>
      </c>
      <c r="F8" s="3">
        <v>0.51282051282051277</v>
      </c>
      <c r="G8" s="3">
        <v>0.35256410256410259</v>
      </c>
      <c r="H8" s="3">
        <v>0.72727272727272729</v>
      </c>
      <c r="I8">
        <v>3</v>
      </c>
    </row>
    <row r="9" spans="1:9">
      <c r="A9" t="s">
        <v>58</v>
      </c>
      <c r="B9">
        <v>3</v>
      </c>
      <c r="C9" s="3">
        <v>0.5</v>
      </c>
      <c r="D9" s="3">
        <v>0</v>
      </c>
      <c r="E9" s="3"/>
      <c r="F9" s="3">
        <v>0.5</v>
      </c>
      <c r="G9" s="3">
        <v>0</v>
      </c>
      <c r="H9" s="3"/>
      <c r="I9">
        <v>3</v>
      </c>
    </row>
  </sheetData>
  <mergeCells count="2">
    <mergeCell ref="A1:I2"/>
    <mergeCell ref="A3:I3"/>
  </mergeCells>
  <conditionalFormatting sqref="C6:H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/>
  </sheetViews>
  <sheetFormatPr defaultRowHeight="14"/>
  <cols>
    <col min="1" max="1" width="44" customWidth="1"/>
    <col min="2" max="3" width="16" customWidth="1"/>
    <col min="4" max="4" width="24" customWidth="1"/>
    <col min="5" max="7" width="14" customWidth="1"/>
  </cols>
  <sheetData>
    <row r="1" spans="1:7">
      <c r="A1" s="11" t="s">
        <v>59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>
      <c r="A3" s="12" t="s">
        <v>60</v>
      </c>
      <c r="B3" s="12"/>
      <c r="C3" s="12"/>
      <c r="D3" s="12"/>
      <c r="E3" s="12"/>
      <c r="F3" s="12"/>
      <c r="G3" s="12"/>
    </row>
    <row r="5" spans="1:7">
      <c r="A5" s="14" t="s">
        <v>61</v>
      </c>
      <c r="B5" s="14"/>
      <c r="C5" s="14"/>
      <c r="D5" s="14"/>
      <c r="E5" s="14"/>
      <c r="F5" s="14"/>
      <c r="G5" s="14"/>
    </row>
    <row r="6" spans="1:7">
      <c r="A6" s="1" t="s">
        <v>62</v>
      </c>
      <c r="B6" s="1" t="s">
        <v>63</v>
      </c>
      <c r="C6" s="1" t="s">
        <v>64</v>
      </c>
      <c r="D6" s="1" t="s">
        <v>65</v>
      </c>
      <c r="E6" s="6"/>
      <c r="F6" s="6"/>
      <c r="G6" s="6"/>
    </row>
    <row r="7" spans="1:7">
      <c r="A7" s="2" t="s">
        <v>66</v>
      </c>
      <c r="B7" s="4">
        <v>6.7330488383119988E-2</v>
      </c>
      <c r="C7" s="4">
        <v>3.7708793826360464E-2</v>
      </c>
      <c r="D7" s="2" t="s">
        <v>67</v>
      </c>
      <c r="E7" s="6"/>
      <c r="F7" s="6"/>
      <c r="G7" s="6"/>
    </row>
    <row r="8" spans="1:7">
      <c r="A8" s="2" t="s">
        <v>68</v>
      </c>
      <c r="B8" s="4">
        <v>1.9084874348032261E-2</v>
      </c>
      <c r="C8" s="4">
        <v>3.2766301134897015E-2</v>
      </c>
      <c r="D8" s="2" t="s">
        <v>67</v>
      </c>
      <c r="E8" s="6"/>
      <c r="F8" s="6"/>
      <c r="G8" s="6"/>
    </row>
    <row r="9" spans="1:7">
      <c r="A9" s="2" t="s">
        <v>69</v>
      </c>
      <c r="B9" s="4">
        <v>2.9377272008850947E-2</v>
      </c>
      <c r="C9" s="4">
        <v>2.2072614803681612E-2</v>
      </c>
      <c r="D9" s="2" t="s">
        <v>67</v>
      </c>
      <c r="E9" s="6"/>
      <c r="F9" s="6"/>
      <c r="G9" s="6"/>
    </row>
    <row r="10" spans="1:7">
      <c r="A10" s="6" t="s">
        <v>70</v>
      </c>
      <c r="B10" s="8">
        <v>1.3099415204678388E-2</v>
      </c>
      <c r="C10" s="8">
        <v>6.2832820104895921E-3</v>
      </c>
      <c r="D10" s="6" t="s">
        <v>71</v>
      </c>
      <c r="E10" s="6"/>
      <c r="F10" s="6"/>
      <c r="G10" s="6"/>
    </row>
    <row r="11" spans="1:7">
      <c r="A11" s="9" t="s">
        <v>72</v>
      </c>
      <c r="B11" s="10">
        <v>2.3391812865497075E-2</v>
      </c>
      <c r="C11" s="10">
        <v>-4.4104043207258137E-3</v>
      </c>
      <c r="D11" s="9" t="s">
        <v>73</v>
      </c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14" t="s">
        <v>74</v>
      </c>
      <c r="B14" s="14"/>
      <c r="C14" s="14"/>
      <c r="D14" s="14"/>
      <c r="E14" s="14"/>
      <c r="F14" s="14"/>
      <c r="G14" s="14"/>
    </row>
    <row r="15" spans="1:7">
      <c r="A15" s="1" t="s">
        <v>62</v>
      </c>
      <c r="B15" s="1" t="s">
        <v>63</v>
      </c>
      <c r="C15" s="1" t="s">
        <v>64</v>
      </c>
      <c r="D15" s="1" t="s">
        <v>65</v>
      </c>
      <c r="E15" s="6"/>
      <c r="F15" s="6"/>
      <c r="G15" s="6"/>
    </row>
    <row r="16" spans="1:7">
      <c r="A16" s="2" t="s">
        <v>66</v>
      </c>
      <c r="B16" s="4">
        <v>8.5412953060011912E-2</v>
      </c>
      <c r="C16" s="4">
        <v>5.2285157471635056E-2</v>
      </c>
      <c r="D16" s="2" t="s">
        <v>67</v>
      </c>
      <c r="E16" s="6"/>
      <c r="F16" s="6"/>
      <c r="G16" s="6"/>
    </row>
    <row r="17" spans="1:7">
      <c r="A17" s="2" t="s">
        <v>68</v>
      </c>
      <c r="B17" s="4">
        <v>3.6393345216874616E-2</v>
      </c>
      <c r="C17" s="4">
        <v>4.2859256608425302E-2</v>
      </c>
      <c r="D17" s="2" t="s">
        <v>67</v>
      </c>
      <c r="E17" s="6"/>
      <c r="F17" s="6"/>
      <c r="G17" s="6"/>
    </row>
    <row r="18" spans="1:7">
      <c r="A18" s="2" t="s">
        <v>69</v>
      </c>
      <c r="B18" s="4">
        <v>3.2954656308475459E-2</v>
      </c>
      <c r="C18" s="4">
        <v>2.4274960311534532E-2</v>
      </c>
      <c r="D18" s="2" t="s">
        <v>67</v>
      </c>
      <c r="E18" s="6"/>
      <c r="F18" s="6"/>
      <c r="G18" s="6"/>
    </row>
    <row r="19" spans="1:7">
      <c r="A19" s="2" t="s">
        <v>70</v>
      </c>
      <c r="B19" s="4">
        <v>2.9558091893473804E-2</v>
      </c>
      <c r="C19" s="4">
        <v>1.5050995920762644E-2</v>
      </c>
      <c r="D19" s="2" t="s">
        <v>67</v>
      </c>
      <c r="E19" s="6"/>
      <c r="F19" s="6"/>
      <c r="G19" s="6"/>
    </row>
    <row r="20" spans="1:7">
      <c r="A20" s="9" t="s">
        <v>72</v>
      </c>
      <c r="B20" s="10">
        <v>2.6119402985074647E-2</v>
      </c>
      <c r="C20" s="10">
        <v>-3.533300376128127E-3</v>
      </c>
      <c r="D20" s="9" t="s">
        <v>73</v>
      </c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14" t="s">
        <v>75</v>
      </c>
      <c r="B23" s="14"/>
      <c r="C23" s="14"/>
      <c r="D23" s="14"/>
      <c r="E23" s="14"/>
      <c r="F23" s="14"/>
      <c r="G23" s="14"/>
    </row>
    <row r="24" spans="1:7">
      <c r="A24" s="1" t="s">
        <v>2</v>
      </c>
      <c r="B24" s="1" t="s">
        <v>3</v>
      </c>
      <c r="C24" s="1" t="s">
        <v>5</v>
      </c>
      <c r="D24" s="1" t="s">
        <v>6</v>
      </c>
      <c r="E24" s="1" t="s">
        <v>7</v>
      </c>
      <c r="F24" s="1" t="s">
        <v>8</v>
      </c>
      <c r="G24" s="6"/>
    </row>
    <row r="25" spans="1:7">
      <c r="A25" s="6" t="s">
        <v>14</v>
      </c>
      <c r="B25" s="6" t="s">
        <v>15</v>
      </c>
      <c r="C25" s="7">
        <v>0.06</v>
      </c>
      <c r="D25" s="8">
        <v>0.71052631578947367</v>
      </c>
      <c r="E25" s="8">
        <v>0.77551020408163263</v>
      </c>
      <c r="F25" s="8">
        <v>0.71666666666666667</v>
      </c>
      <c r="G25" s="6"/>
    </row>
    <row r="26" spans="1:7">
      <c r="A26" s="6" t="s">
        <v>14</v>
      </c>
      <c r="B26" s="6" t="s">
        <v>76</v>
      </c>
      <c r="C26" s="7">
        <v>0.05</v>
      </c>
      <c r="D26" s="8">
        <v>0.60526315789473684</v>
      </c>
      <c r="E26" s="8">
        <v>0.75409836065573765</v>
      </c>
      <c r="F26" s="8">
        <v>0.66630434782608694</v>
      </c>
      <c r="G26" s="6"/>
    </row>
    <row r="27" spans="1:7" ht="28">
      <c r="A27" s="6" t="s">
        <v>14</v>
      </c>
      <c r="B27" s="6" t="s">
        <v>77</v>
      </c>
      <c r="C27" s="7">
        <v>0.15</v>
      </c>
      <c r="D27" s="8">
        <v>0.67567567567567566</v>
      </c>
      <c r="E27" s="8">
        <v>0.75510204081632648</v>
      </c>
      <c r="F27" s="8">
        <v>0.67499999999999982</v>
      </c>
      <c r="G27" s="6"/>
    </row>
    <row r="28" spans="1:7">
      <c r="A28" s="6" t="s">
        <v>20</v>
      </c>
      <c r="B28" s="6" t="s">
        <v>15</v>
      </c>
      <c r="C28" s="7">
        <v>0.06</v>
      </c>
      <c r="D28" s="8">
        <v>0.73529411764705888</v>
      </c>
      <c r="E28" s="8">
        <v>0.8</v>
      </c>
      <c r="F28" s="8">
        <v>0.75338753387533874</v>
      </c>
      <c r="G28" s="6"/>
    </row>
    <row r="29" spans="1:7">
      <c r="A29" s="6" t="s">
        <v>20</v>
      </c>
      <c r="B29" s="6" t="s">
        <v>76</v>
      </c>
      <c r="C29" s="7">
        <v>0.15</v>
      </c>
      <c r="D29" s="8">
        <v>0.63235294117647056</v>
      </c>
      <c r="E29" s="8">
        <v>0.76635514018691586</v>
      </c>
      <c r="F29" s="8">
        <v>0.68247515808491421</v>
      </c>
      <c r="G29" s="6"/>
    </row>
    <row r="30" spans="1:7" ht="28">
      <c r="A30" s="6" t="s">
        <v>20</v>
      </c>
      <c r="B30" s="6" t="s">
        <v>77</v>
      </c>
      <c r="C30" s="7">
        <v>0.15</v>
      </c>
      <c r="D30" s="8">
        <v>0.71212121212121215</v>
      </c>
      <c r="E30" s="8">
        <v>0.7865168539325843</v>
      </c>
      <c r="F30" s="8">
        <v>0.69088319088319095</v>
      </c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15" t="s">
        <v>78</v>
      </c>
      <c r="B33" s="15"/>
      <c r="C33" s="15"/>
      <c r="D33" s="15"/>
      <c r="E33" s="15"/>
      <c r="F33" s="15"/>
      <c r="G33" s="15"/>
    </row>
    <row r="34" spans="1:7">
      <c r="A34" s="15"/>
      <c r="B34" s="15"/>
      <c r="C34" s="15"/>
      <c r="D34" s="15"/>
      <c r="E34" s="15"/>
      <c r="F34" s="15"/>
      <c r="G34" s="15"/>
    </row>
    <row r="35" spans="1:7">
      <c r="A35" s="15"/>
      <c r="B35" s="15"/>
      <c r="C35" s="15"/>
      <c r="D35" s="15"/>
      <c r="E35" s="15"/>
      <c r="F35" s="15"/>
      <c r="G35" s="15"/>
    </row>
    <row r="36" spans="1:7">
      <c r="A36" s="15"/>
      <c r="B36" s="15"/>
      <c r="C36" s="15"/>
      <c r="D36" s="15"/>
      <c r="E36" s="15"/>
      <c r="F36" s="15"/>
      <c r="G36" s="15"/>
    </row>
  </sheetData>
  <mergeCells count="6">
    <mergeCell ref="A33:G36"/>
    <mergeCell ref="A1:G2"/>
    <mergeCell ref="A3:G3"/>
    <mergeCell ref="A5:G5"/>
    <mergeCell ref="A14:G14"/>
    <mergeCell ref="A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Combined by Document</vt:lpstr>
      <vt:lpstr>Combined by Labeler</vt:lpstr>
      <vt:lpstr>A-B and 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2026-08-14T13:50:59Z</dcterms:modified>
</cp:coreProperties>
</file>
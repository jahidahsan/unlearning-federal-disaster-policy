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18365EE-9FA7-4B39-957C-FDEFA4A8B54A}" xr6:coauthVersionLast="47" xr6:coauthVersionMax="47" xr10:uidLastSave="{00000000-0000-0000-0000-000000000000}"/>
  <bookViews>
    <workbookView xWindow="-110" yWindow="-110" windowWidth="22780" windowHeight="14540" firstSheet="1" activeTab="4" xr2:uid="{00000000-000D-0000-FFFF-FFFF00000000}"/>
  </bookViews>
  <sheets>
    <sheet name="Meeting Summary" sheetId="1" r:id="rId1"/>
    <sheet name="Phase1 Comparison" sheetId="2" r:id="rId2"/>
    <sheet name="Document Analysis" sheetId="3" r:id="rId3"/>
    <sheet name="Old Labels Finding" sheetId="4" r:id="rId4"/>
    <sheet name="Threshold Analysis" sheetId="5" r:id="rId5"/>
    <sheet name="Confusion Matric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6" l="1"/>
  <c r="I28" i="6"/>
  <c r="D28" i="6"/>
  <c r="N21" i="6"/>
  <c r="I21" i="6"/>
  <c r="D21" i="6"/>
  <c r="N14" i="6"/>
  <c r="I14" i="6"/>
  <c r="D14" i="6"/>
  <c r="N7" i="6"/>
  <c r="I7" i="6"/>
  <c r="D7" i="6"/>
  <c r="I72" i="5"/>
  <c r="H72" i="5"/>
  <c r="G72" i="5"/>
  <c r="F72" i="5"/>
  <c r="I71" i="5"/>
  <c r="H71" i="5"/>
  <c r="G71" i="5"/>
  <c r="F71" i="5"/>
  <c r="C14" i="4"/>
  <c r="D14" i="4" s="1"/>
  <c r="B14" i="4"/>
  <c r="C11" i="4"/>
  <c r="I8" i="4"/>
  <c r="H8" i="4"/>
  <c r="C13" i="4" s="1"/>
  <c r="G8" i="4"/>
  <c r="C12" i="4" s="1"/>
  <c r="F8" i="4"/>
  <c r="J7" i="4"/>
  <c r="B15" i="4" s="1"/>
  <c r="I7" i="4"/>
  <c r="H7" i="4"/>
  <c r="B13" i="4" s="1"/>
  <c r="G7" i="4"/>
  <c r="B12" i="4" s="1"/>
  <c r="F7" i="4"/>
  <c r="B11" i="4" s="1"/>
  <c r="M30" i="3"/>
  <c r="L30" i="3"/>
  <c r="G30" i="3"/>
  <c r="F30" i="3"/>
  <c r="M29" i="3"/>
  <c r="L29" i="3"/>
  <c r="G29" i="3"/>
  <c r="F29" i="3"/>
  <c r="M28" i="3"/>
  <c r="L28" i="3"/>
  <c r="G28" i="3"/>
  <c r="F28" i="3"/>
  <c r="M27" i="3"/>
  <c r="L27" i="3"/>
  <c r="G27" i="3"/>
  <c r="F27" i="3"/>
  <c r="J21" i="3"/>
  <c r="I21" i="3"/>
  <c r="H21" i="3"/>
  <c r="G21" i="3"/>
  <c r="J20" i="3"/>
  <c r="I20" i="3"/>
  <c r="H20" i="3"/>
  <c r="G20" i="3"/>
  <c r="J19" i="3"/>
  <c r="I19" i="3"/>
  <c r="H19" i="3"/>
  <c r="G19" i="3"/>
  <c r="L13" i="3"/>
  <c r="K13" i="3"/>
  <c r="J13" i="3"/>
  <c r="I13" i="3"/>
  <c r="H13" i="3"/>
  <c r="K12" i="3"/>
  <c r="J12" i="3"/>
  <c r="I12" i="3"/>
  <c r="L12" i="3" s="1"/>
  <c r="H12" i="3"/>
  <c r="K11" i="3"/>
  <c r="J11" i="3"/>
  <c r="L11" i="3" s="1"/>
  <c r="I11" i="3"/>
  <c r="H11" i="3"/>
  <c r="L10" i="3"/>
  <c r="K10" i="3"/>
  <c r="J10" i="3"/>
  <c r="I10" i="3"/>
  <c r="H10" i="3"/>
  <c r="L9" i="3"/>
  <c r="K9" i="3"/>
  <c r="J9" i="3"/>
  <c r="I9" i="3"/>
  <c r="H9" i="3"/>
  <c r="K8" i="3"/>
  <c r="J8" i="3"/>
  <c r="I8" i="3"/>
  <c r="L8" i="3" s="1"/>
  <c r="H8" i="3"/>
  <c r="K7" i="3"/>
  <c r="J7" i="3"/>
  <c r="I7" i="3"/>
  <c r="L7" i="3" s="1"/>
  <c r="H7" i="3"/>
  <c r="L6" i="3"/>
  <c r="K6" i="3"/>
  <c r="J6" i="3"/>
  <c r="I6" i="3"/>
  <c r="H6" i="3"/>
  <c r="L5" i="3"/>
  <c r="K5" i="3"/>
  <c r="J5" i="3"/>
  <c r="I5" i="3"/>
  <c r="H5" i="3"/>
  <c r="S8" i="2"/>
  <c r="Q8" i="2"/>
  <c r="V8" i="2" s="1"/>
  <c r="P8" i="2"/>
  <c r="U8" i="2" s="1"/>
  <c r="O8" i="2"/>
  <c r="N8" i="2"/>
  <c r="I8" i="2"/>
  <c r="H8" i="2"/>
  <c r="G8" i="2"/>
  <c r="T8" i="2" s="1"/>
  <c r="F8" i="2"/>
  <c r="Q7" i="2"/>
  <c r="P7" i="2"/>
  <c r="O7" i="2"/>
  <c r="T7" i="2" s="1"/>
  <c r="N7" i="2"/>
  <c r="S7" i="2" s="1"/>
  <c r="I7" i="2"/>
  <c r="V7" i="2" s="1"/>
  <c r="H7" i="2"/>
  <c r="U7" i="2" s="1"/>
  <c r="G7" i="2"/>
  <c r="F7" i="2"/>
  <c r="Q6" i="2"/>
  <c r="V6" i="2" s="1"/>
  <c r="P6" i="2"/>
  <c r="U6" i="2" s="1"/>
  <c r="O6" i="2"/>
  <c r="N6" i="2"/>
  <c r="I6" i="2"/>
  <c r="H6" i="2"/>
  <c r="G6" i="2"/>
  <c r="T6" i="2" s="1"/>
  <c r="F6" i="2"/>
  <c r="S6" i="2" s="1"/>
  <c r="Q5" i="2"/>
  <c r="P5" i="2"/>
  <c r="O5" i="2"/>
  <c r="T5" i="2" s="1"/>
  <c r="N5" i="2"/>
  <c r="S5" i="2" s="1"/>
  <c r="I5" i="2"/>
  <c r="V5" i="2" s="1"/>
  <c r="H5" i="2"/>
  <c r="U5" i="2" s="1"/>
  <c r="G5" i="2"/>
  <c r="F5" i="2"/>
  <c r="H22" i="1"/>
  <c r="G22" i="1"/>
  <c r="F22" i="1"/>
  <c r="H21" i="1"/>
  <c r="G21" i="1"/>
  <c r="F21" i="1"/>
  <c r="H20" i="1"/>
  <c r="G20" i="1"/>
  <c r="F20" i="1"/>
  <c r="D11" i="4" l="1"/>
  <c r="D12" i="4"/>
  <c r="D13" i="4"/>
  <c r="J8" i="4"/>
  <c r="C15" i="4" s="1"/>
  <c r="D15" i="4" s="1"/>
</calcChain>
</file>

<file path=xl/sharedStrings.xml><?xml version="1.0" encoding="utf-8"?>
<sst xmlns="http://schemas.openxmlformats.org/spreadsheetml/2006/main" count="430" uniqueCount="203">
  <si>
    <t>Focus this week: current/new codebook Phase 1 comparison after switching from hard Yes/No outputs to model-reported probabilities, plus post-processing findings.</t>
  </si>
  <si>
    <t>Four meeting takeaways</t>
  </si>
  <si>
    <t>Probability run: pooled recall
36.5%
vs 26.0% historical labels-only</t>
  </si>
  <si>
    <t>Best ranking model
GPT AUROC 0.680
GAO AUROC 0.913</t>
  </si>
  <si>
    <t>GPT tuned threshold
0.13
Balanced accuracy 59.4% → 76.6%</t>
  </si>
  <si>
    <t>EPA remains bottleneck
12.5% pooled recall
same pooled hard-label recall as old strict run</t>
  </si>
  <si>
    <t>Accidental reasoning-scaffold finding
Asking models to consider epistemic reconsidering, normative discarding, technical realignment, and integrative merging recovered far more positives (pooled recall 54.2% vs 26.0%; F1 65.8% vs 41.0%), but specificity fell from 96.7% to 66.7%.
This is a promising prompt/schema ablation to test — not proof that the old codebook itself is better.</t>
  </si>
  <si>
    <t>Pooled Phase 1 comparison</t>
  </si>
  <si>
    <t>Run / operating point</t>
  </si>
  <si>
    <t>TP</t>
  </si>
  <si>
    <t>TN</t>
  </si>
  <si>
    <t>FP</t>
  </si>
  <si>
    <t>FN</t>
  </si>
  <si>
    <t>Recall</t>
  </si>
  <si>
    <t>Specificity</t>
  </si>
  <si>
    <t>F1</t>
  </si>
  <si>
    <t>Model</t>
  </si>
  <si>
    <t>Default</t>
  </si>
  <si>
    <t>Best in-sample</t>
  </si>
  <si>
    <t>Plateau / note</t>
  </si>
  <si>
    <t>Effect</t>
  </si>
  <si>
    <t>Historical strict labels-only</t>
  </si>
  <si>
    <t>GPT-5.6 Terra</t>
  </si>
  <si>
    <t>(0.100, 0.130]</t>
  </si>
  <si>
    <t>+11 TP, 0 new FP</t>
  </si>
  <si>
    <t>Probability run @ 0.50</t>
  </si>
  <si>
    <t>Gemini 3.1 Flash-Lite</t>
  </si>
  <si>
    <t>(0.150, 0.700]</t>
  </si>
  <si>
    <t>No label change</t>
  </si>
  <si>
    <t>Probability run — tuned by model</t>
  </si>
  <si>
    <t>Claude Haiku 4.5</t>
  </si>
  <si>
    <t>(0.280, 0.650]</t>
  </si>
  <si>
    <t>Model-level and document-level interpretation</t>
  </si>
  <si>
    <t>GPT</t>
  </si>
  <si>
    <t>Best probability ranking overall (AUROC 0.680). Very conservative at 0.50. Threshold 0.13 is the clearest post-processing gain.</t>
  </si>
  <si>
    <t>Gemini</t>
  </si>
  <si>
    <t>AUROC 0.672, effectively tied with GPT. At 0.50 it recovers more positives than GPT but adds one false positive.</t>
  </si>
  <si>
    <t>Claude</t>
  </si>
  <si>
    <t>Weakest AUROC (0.586) but best default hard-label recall/F1. Its higher probabilities make 0.50 less restrictive.</t>
  </si>
  <si>
    <t>EPA</t>
  </si>
  <si>
    <t>Main unresolved problem. Within-document AUROC is ~0.43–0.57 and pooled hard-label recall is only 12.5%.</t>
  </si>
  <si>
    <t>GAO</t>
  </si>
  <si>
    <t>Strongest document for GPT: AUROC 0.913, showing that ranking can be good even when the 0.50 cutoff misses positives.</t>
  </si>
  <si>
    <t>Important interpretation for the meeting</t>
  </si>
  <si>
    <t>Changing thresholds does NOT improve AUROC; AUROC already evaluates the continuous score ranking over all cutoffs. The improvement is in the hard Yes/No operating point (especially GPT recall, F1, and balanced accuracy). Because the 0.13 threshold was discovered using these 42 labeled passages, these passages should now be treated as development data and the frozen rule should be tested on unseen documents.</t>
  </si>
  <si>
    <t>Phase 1 — New Codebook: Labels-Only vs Probability Elicitation</t>
  </si>
  <si>
    <t>Same 42-passage benchmark (32 Yes / 10 No). Historical run used hard Yes/No labels; new run requested probabilities and applied the default 0.50 cutoff.</t>
  </si>
  <si>
    <t>Old TP</t>
  </si>
  <si>
    <t>Old TN</t>
  </si>
  <si>
    <t>Old FP</t>
  </si>
  <si>
    <t>Old FN</t>
  </si>
  <si>
    <t>Old Accuracy</t>
  </si>
  <si>
    <t>Old Recall</t>
  </si>
  <si>
    <t>Old Specificity</t>
  </si>
  <si>
    <t>Old F1</t>
  </si>
  <si>
    <t>New TP</t>
  </si>
  <si>
    <t>New TN</t>
  </si>
  <si>
    <t>New FP</t>
  </si>
  <si>
    <t>New FN</t>
  </si>
  <si>
    <t>New Accuracy</t>
  </si>
  <si>
    <t>New Recall</t>
  </si>
  <si>
    <t>New Specificity</t>
  </si>
  <si>
    <t>New F1</t>
  </si>
  <si>
    <t>New AUROC</t>
  </si>
  <si>
    <t>Δ Accuracy</t>
  </si>
  <si>
    <t>Δ Recall</t>
  </si>
  <si>
    <t>Δ Specificity</t>
  </si>
  <si>
    <t>Δ F1</t>
  </si>
  <si>
    <t>Pooled model decisions</t>
  </si>
  <si>
    <t>What changed at the default 0.50 threshold?</t>
  </si>
  <si>
    <t>Pooled probability run recovered more positives</t>
  </si>
  <si>
    <t>Recall increased from 26.0% to 36.5% and F1 from 41.0% to 51.9%, while specificity fell from 96.7% to 86.7%.</t>
  </si>
  <si>
    <t>The pooled gain came mainly from Claude and Gemini</t>
  </si>
  <si>
    <t>Claude showed the largest increase in recall/F1; GPT remained extremely conservative at 0.50.</t>
  </si>
  <si>
    <t>Balanced accuracy barely changed at 0.50</t>
  </si>
  <si>
    <t>The probability format mainly shifted the recall–specificity tradeoff rather than creating a large default-threshold improvement in class balance.</t>
  </si>
  <si>
    <t>Interpretation caution</t>
  </si>
  <si>
    <t>The prompt/output schema changed when probabilities were requested, so this is a matched pipeline comparison, not a clean causal test of probability elicitation alone.</t>
  </si>
  <si>
    <t>Document-Level Analysis — New Probability Run</t>
  </si>
  <si>
    <t>Current probability results at the default 0.50 threshold. AUROC uses the continuous model-reported probability, so it is independent of the hard-label threshold.</t>
  </si>
  <si>
    <t>Document</t>
  </si>
  <si>
    <t>N</t>
  </si>
  <si>
    <t>Accuracy</t>
  </si>
  <si>
    <t>Balanced Accuracy</t>
  </si>
  <si>
    <t>AUROC</t>
  </si>
  <si>
    <t>EPA Lessons Learned</t>
  </si>
  <si>
    <t>GAO Preliminary Observations</t>
  </si>
  <si>
    <t>The Katrina Effect</t>
  </si>
  <si>
    <t>Pooled model decisions by document</t>
  </si>
  <si>
    <t>Decisions</t>
  </si>
  <si>
    <t>EPA bottleneck — historical strict Phase 1 vs new probability run</t>
  </si>
  <si>
    <t>Meeting takeaway</t>
  </si>
  <si>
    <t>EPA remains the main failure mode.</t>
  </si>
  <si>
    <t>At 0.50, GPT and Gemini call none of the 16 EPA positives Yes. Pooled EPA hard-label confusion is unchanged from the historical strict run.</t>
  </si>
  <si>
    <t>GPT ranks GAO passages very well.</t>
  </si>
  <si>
    <t>GAO AUROC is 0.913 even though recall is only 0.40 at 0.50 — strong evidence of a threshold mismatch rather than uniformly poor ranking.</t>
  </si>
  <si>
    <t>The Katrina Effect looks strong but is tiny.</t>
  </si>
  <si>
    <t>Only one negative passage is present, so its document-level AUROC is highly unstable and should not drive conclusions.</t>
  </si>
  <si>
    <t>The old-family prompt/output schema asked models to reason through epistemic reconsidering, normative discarding, technical realignment, integrative merging, plus depth/nature. This produced markedly different behavior.</t>
  </si>
  <si>
    <t>Pooled historical Phase 1 comparison</t>
  </si>
  <si>
    <t>Condition</t>
  </si>
  <si>
    <t>Metric</t>
  </si>
  <si>
    <t>Strict</t>
  </si>
  <si>
    <t>Scaffold</t>
  </si>
  <si>
    <t>Difference</t>
  </si>
  <si>
    <t>Interpretation</t>
  </si>
  <si>
    <t>Direction</t>
  </si>
  <si>
    <t>More overall correct decisions</t>
  </si>
  <si>
    <t>Improved</t>
  </si>
  <si>
    <t>Far more historical positives recovered</t>
  </si>
  <si>
    <t>More false positives were introduced</t>
  </si>
  <si>
    <t>Worse</t>
  </si>
  <si>
    <t>Large improvement in positive-class F1</t>
  </si>
  <si>
    <t>Almost unchanged / slightly lower</t>
  </si>
  <si>
    <t>Flat</t>
  </si>
  <si>
    <t>Provider-level historical results</t>
  </si>
  <si>
    <t>Strict Accuracy</t>
  </si>
  <si>
    <t>Strict Recall</t>
  </si>
  <si>
    <t>Strict Specificity</t>
  </si>
  <si>
    <t>Strict F1</t>
  </si>
  <si>
    <t>Scaffold Accuracy</t>
  </si>
  <si>
    <t>Scaffold Recall</t>
  </si>
  <si>
    <t>Scaffold Specificity</t>
  </si>
  <si>
    <t>Scaffold F1</t>
  </si>
  <si>
    <t>Why this is especially interesting</t>
  </si>
  <si>
    <t>Implementation clue</t>
  </si>
  <si>
    <t>The executed probability notebook auto-resolved both “old” and “new” codebook sources to the same sheet/text, while the old-family condition still required the reconsider / discard / realign / merge taxonomy.</t>
  </si>
  <si>
    <t>Working interpretation</t>
  </si>
  <si>
    <t>The better positive recovery may come from the reasoning scaffold or output schema nudging the model to search for mechanisms of unlearning — not necessarily from different codebook wording.</t>
  </si>
  <si>
    <t>Important tradeoff</t>
  </si>
  <si>
    <t>The scaffold raised recall and F1 sharply but lowered specificity. Balanced accuracy was essentially unchanged, so this is not across-the-board superiority.</t>
  </si>
  <si>
    <t>Next controlled test</t>
  </si>
  <si>
    <t>Hold the new codebook, paragraph, model, and binary probability output fixed; randomly compare scaffold OFF vs ON. Evaluate with paired/document-held-out metrics and freeze the rule before a new test set.</t>
  </si>
  <si>
    <t>Threshold Analysis</t>
  </si>
  <si>
    <t>Balanced accuracy was used for threshold tuning because accuracy and F1 favor the trivial All-Yes classifier on this 76.2%-positive dataset. Repeated stratified 5-fold estimates use 300 repeats.</t>
  </si>
  <si>
    <t>Threshold</t>
  </si>
  <si>
    <t>Default Threshold</t>
  </si>
  <si>
    <t>Default Predicted Yes</t>
  </si>
  <si>
    <t>Default TP</t>
  </si>
  <si>
    <t>Default FP</t>
  </si>
  <si>
    <t>Default TN</t>
  </si>
  <si>
    <t>Default FN</t>
  </si>
  <si>
    <t>Default Balanced Accuracy</t>
  </si>
  <si>
    <t>Default Recall</t>
  </si>
  <si>
    <t>Default Specificity</t>
  </si>
  <si>
    <t>Default F1</t>
  </si>
  <si>
    <t>Balanced-Accuracy Threshold</t>
  </si>
  <si>
    <t>Equivalent Threshold Plateau</t>
  </si>
  <si>
    <t>Tuned Predicted Yes</t>
  </si>
  <si>
    <t>Tuned TP</t>
  </si>
  <si>
    <t>Tuned FP</t>
  </si>
  <si>
    <t>Tuned TN</t>
  </si>
  <si>
    <t>Tuned FN</t>
  </si>
  <si>
    <t>Tuned Balanced Accuracy</t>
  </si>
  <si>
    <t>Tuned Recall</t>
  </si>
  <si>
    <t>Tuned Specificity</t>
  </si>
  <si>
    <t>Tuned F1</t>
  </si>
  <si>
    <t>CV Threshold Median</t>
  </si>
  <si>
    <t>CV Threshold Q1</t>
  </si>
  <si>
    <t>CV Threshold Q3</t>
  </si>
  <si>
    <t>CV OOF Balanced Accuracy</t>
  </si>
  <si>
    <t>CV 95% Low</t>
  </si>
  <si>
    <t>CV 95% High</t>
  </si>
  <si>
    <t>CV OOF Recall</t>
  </si>
  <si>
    <t>CV OOF Specificity</t>
  </si>
  <si>
    <t>CV OOF F1</t>
  </si>
  <si>
    <t>Calibration-Equivalent Threshold</t>
  </si>
  <si>
    <t>Provisional 0.10–0.13 operating band materially improves recall while retaining near-perfect specificity.</t>
  </si>
  <si>
    <t>The 0.50 cutoff already falls inside the best in-sample prediction plateau; cross-validated tuning is unstable or unhelpful.</t>
  </si>
  <si>
    <t>Threshold Operating Curves</t>
  </si>
  <si>
    <t>Predicted Yes</t>
  </si>
  <si>
    <t>Precision</t>
  </si>
  <si>
    <t>MCC</t>
  </si>
  <si>
    <t>Thresholds improve hard-label operating metrics, not continuous-score AUROC</t>
  </si>
  <si>
    <t>AUROC is threshold-independent: lowering a cutoff does not change the ordering of probability scores. Here, “best threshold” means the in-sample cutoff maximizing balanced accuracy. Only GPT changed classifications relative to 0.50; Gemini and Claude already had 0.50 inside their best in-sample plateaus.</t>
  </si>
  <si>
    <t>Setting</t>
  </si>
  <si>
    <t>All models at 0.50</t>
  </si>
  <si>
    <t>Model-specific tuned thresholds</t>
  </si>
  <si>
    <t>Confusion Matrices — Historical, Default Probability, and Tuned Thresholds</t>
  </si>
  <si>
    <t>Rows are actual labels; columns are predicted labels. Tuned thresholds: GPT 0.13, Gemini 0.425, Claude 0.465. Gemini and Claude tuned matrices are unchanged from 0.50.</t>
  </si>
  <si>
    <t>Pooled — historical strict</t>
  </si>
  <si>
    <t>Pooled — probability @ 0.50</t>
  </si>
  <si>
    <t>Pooled — tuned thresholds</t>
  </si>
  <si>
    <t>Pred Yes</t>
  </si>
  <si>
    <t>Pred No</t>
  </si>
  <si>
    <t>Balanced Acc.</t>
  </si>
  <si>
    <t>Actual Yes</t>
  </si>
  <si>
    <t>Actual No</t>
  </si>
  <si>
    <t>GPT — historical strict</t>
  </si>
  <si>
    <t>GPT — probability @ 0.50</t>
  </si>
  <si>
    <t>GPT — tuned @ 0.13</t>
  </si>
  <si>
    <t>Gemini — historical strict</t>
  </si>
  <si>
    <t>Gemini — probability @ 0.50</t>
  </si>
  <si>
    <t>Gemini — tuned @ 0.425</t>
  </si>
  <si>
    <t>Claude — historical strict</t>
  </si>
  <si>
    <t>Claude — probability @ 0.50</t>
  </si>
  <si>
    <t>Claude — tuned @ 0.465</t>
  </si>
  <si>
    <t>Main visual result</t>
  </si>
  <si>
    <t>The only threshold-tuning matrix that changes is GPT: lowering the cutoff to 0.13 converts 11 false negatives into true positives with no new false positives on this 42-passage development set. Gemini and Claude already have 0.50 inside their best in-sample plateaus.</t>
  </si>
  <si>
    <t>Unlearning Project — Weekly Meeting Aug 7</t>
  </si>
  <si>
    <t>Old Codebook Labels — Reasoning Categories Improved Positive Recovery</t>
  </si>
  <si>
    <t xml:space="preserve">Current strict new codebook </t>
  </si>
  <si>
    <t xml:space="preserve">Old reasoning scaffold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</si>
</sst>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
  </numFmts>
  <fonts count="6">
    <font>
      <sz val="11"/>
      <name val="Carlito"/>
    </font>
    <font>
      <b/>
      <sz val="16"/>
      <color rgb="FFFFFFFF"/>
      <name val="Carlito"/>
    </font>
    <font>
      <i/>
      <sz val="11"/>
      <color rgb="FF666666"/>
      <name val="Carlito"/>
    </font>
    <font>
      <b/>
      <sz val="11"/>
      <color rgb="FF1F1F1F"/>
      <name val="Carlito"/>
    </font>
    <font>
      <b/>
      <sz val="11"/>
      <name val="Carlito"/>
    </font>
    <font>
      <b/>
      <sz val="11"/>
      <color rgb="FFFFFFFF"/>
      <name val="Carlito"/>
    </font>
  </fonts>
  <fills count="10">
    <fill>
      <patternFill patternType="none"/>
    </fill>
    <fill>
      <patternFill patternType="gray125"/>
    </fill>
    <fill>
      <patternFill patternType="solid">
        <fgColor rgb="FF17365D"/>
      </patternFill>
    </fill>
    <fill>
      <patternFill patternType="solid">
        <fgColor rgb="FFFFFFFF"/>
      </patternFill>
    </fill>
    <fill>
      <patternFill patternType="solid">
        <fgColor rgb="FFD9EAF7"/>
      </patternFill>
    </fill>
    <fill>
      <patternFill patternType="solid">
        <fgColor rgb="FFFFF2CC"/>
      </patternFill>
    </fill>
    <fill>
      <patternFill patternType="solid">
        <fgColor rgb="FFEAF3F8"/>
      </patternFill>
    </fill>
    <fill>
      <patternFill patternType="solid">
        <fgColor rgb="FFFCE4D6"/>
      </patternFill>
    </fill>
    <fill>
      <patternFill patternType="solid">
        <fgColor rgb="FFE2F0D9"/>
      </patternFill>
    </fill>
    <fill>
      <patternFill patternType="solid">
        <fgColor rgb="FFF2F2F2"/>
      </patternFill>
    </fill>
  </fills>
  <borders count="9">
    <border>
      <left/>
      <right/>
      <top/>
      <bottom/>
      <diagonal/>
    </border>
    <border>
      <left/>
      <right/>
      <top/>
      <bottom style="thin">
        <color rgb="FFD9E1F2"/>
      </bottom>
      <diagonal/>
    </border>
    <border>
      <left style="thin">
        <color rgb="FFD9E1F2"/>
      </left>
      <right/>
      <top style="thin">
        <color rgb="FFD9E1F2"/>
      </top>
      <bottom/>
      <diagonal/>
    </border>
    <border>
      <left/>
      <right/>
      <top style="thin">
        <color rgb="FFD9E1F2"/>
      </top>
      <bottom/>
      <diagonal/>
    </border>
    <border>
      <left/>
      <right style="thin">
        <color rgb="FFD9E1F2"/>
      </right>
      <top style="thin">
        <color rgb="FFD9E1F2"/>
      </top>
      <bottom/>
      <diagonal/>
    </border>
    <border>
      <left style="thin">
        <color rgb="FFD9E1F2"/>
      </left>
      <right/>
      <top/>
      <bottom/>
      <diagonal/>
    </border>
    <border>
      <left/>
      <right style="thin">
        <color rgb="FFD9E1F2"/>
      </right>
      <top/>
      <bottom/>
      <diagonal/>
    </border>
    <border>
      <left style="thin">
        <color rgb="FFD9E1F2"/>
      </left>
      <right/>
      <top/>
      <bottom style="thin">
        <color rgb="FFD9E1F2"/>
      </bottom>
      <diagonal/>
    </border>
    <border>
      <left/>
      <right style="thin">
        <color rgb="FFD9E1F2"/>
      </right>
      <top/>
      <bottom style="thin">
        <color rgb="FFD9E1F2"/>
      </bottom>
      <diagonal/>
    </border>
  </borders>
  <cellStyleXfs count="1">
    <xf numFmtId="0" fontId="0" fillId="0" borderId="0"/>
  </cellStyleXfs>
  <cellXfs count="70">
    <xf numFmtId="0" fontId="0" fillId="0" borderId="0" xfId="0"/>
    <xf numFmtId="0" fontId="3" fillId="4" borderId="1" xfId="0" applyFont="1" applyFill="1" applyBorder="1" applyAlignment="1">
      <alignment horizontal="center" vertical="center" wrapText="1"/>
    </xf>
    <xf numFmtId="0" fontId="5" fillId="2" borderId="0" xfId="0" applyFont="1" applyFill="1" applyAlignment="1">
      <alignment horizontal="left" vertical="center"/>
    </xf>
    <xf numFmtId="0" fontId="4" fillId="5" borderId="0" xfId="0" applyFont="1" applyFill="1" applyAlignment="1">
      <alignment vertical="center" wrapText="1"/>
    </xf>
    <xf numFmtId="0" fontId="0" fillId="0" borderId="0" xfId="0" applyAlignment="1">
      <alignment vertical="center"/>
    </xf>
    <xf numFmtId="164" fontId="0" fillId="0" borderId="0" xfId="0" applyNumberFormat="1" applyAlignment="1">
      <alignment vertical="center"/>
    </xf>
    <xf numFmtId="0" fontId="0" fillId="0" borderId="0" xfId="0" applyAlignment="1">
      <alignment vertical="center" wrapText="1"/>
    </xf>
    <xf numFmtId="165" fontId="0" fillId="0" borderId="0" xfId="0" applyNumberFormat="1" applyAlignment="1">
      <alignment vertical="center" wrapText="1"/>
    </xf>
    <xf numFmtId="0" fontId="4" fillId="8" borderId="0" xfId="0" applyFont="1" applyFill="1" applyAlignment="1">
      <alignment vertical="center"/>
    </xf>
    <xf numFmtId="164" fontId="4" fillId="8" borderId="0" xfId="0" applyNumberFormat="1" applyFont="1" applyFill="1" applyAlignment="1">
      <alignment vertical="center"/>
    </xf>
    <xf numFmtId="0" fontId="4" fillId="6" borderId="0" xfId="0" applyFont="1" applyFill="1" applyAlignment="1">
      <alignment vertical="center" wrapText="1"/>
    </xf>
    <xf numFmtId="164" fontId="0" fillId="0" borderId="0" xfId="0" applyNumberFormat="1" applyAlignment="1">
      <alignment vertical="center" wrapText="1"/>
    </xf>
    <xf numFmtId="166" fontId="0" fillId="0" borderId="0" xfId="0" applyNumberFormat="1" applyAlignment="1">
      <alignment vertical="center" wrapText="1"/>
    </xf>
    <xf numFmtId="164" fontId="4" fillId="5" borderId="0" xfId="0" applyNumberFormat="1" applyFont="1" applyFill="1" applyAlignment="1">
      <alignment vertical="center" wrapText="1"/>
    </xf>
    <xf numFmtId="166" fontId="4" fillId="5" borderId="0" xfId="0" applyNumberFormat="1" applyFont="1" applyFill="1" applyAlignment="1">
      <alignment vertical="center" wrapText="1"/>
    </xf>
    <xf numFmtId="165" fontId="0" fillId="0" borderId="0" xfId="0" applyNumberFormat="1" applyAlignment="1">
      <alignment vertical="center"/>
    </xf>
    <xf numFmtId="0" fontId="0" fillId="7" borderId="0" xfId="0" applyFill="1" applyAlignment="1">
      <alignment vertical="center"/>
    </xf>
    <xf numFmtId="164" fontId="0" fillId="7" borderId="0" xfId="0" applyNumberFormat="1" applyFill="1" applyAlignment="1">
      <alignment vertical="center"/>
    </xf>
    <xf numFmtId="0" fontId="0" fillId="8" borderId="0" xfId="0" applyFill="1" applyAlignment="1">
      <alignment vertical="center"/>
    </xf>
    <xf numFmtId="164" fontId="0" fillId="8" borderId="0" xfId="0" applyNumberFormat="1" applyFill="1" applyAlignment="1">
      <alignment vertical="center"/>
    </xf>
    <xf numFmtId="0" fontId="0" fillId="6" borderId="0" xfId="0" applyFill="1" applyAlignment="1">
      <alignment vertical="center"/>
    </xf>
    <xf numFmtId="164" fontId="0" fillId="6" borderId="0" xfId="0" applyNumberFormat="1" applyFill="1" applyAlignment="1">
      <alignment vertical="center"/>
    </xf>
    <xf numFmtId="0" fontId="4" fillId="5" borderId="0" xfId="0" applyFont="1" applyFill="1" applyAlignment="1">
      <alignment vertical="center"/>
    </xf>
    <xf numFmtId="164" fontId="4" fillId="5" borderId="0" xfId="0" applyNumberFormat="1" applyFont="1" applyFill="1" applyAlignment="1">
      <alignment vertical="center"/>
    </xf>
    <xf numFmtId="0" fontId="4" fillId="8" borderId="0" xfId="0" applyFont="1" applyFill="1" applyAlignment="1">
      <alignment vertical="center" wrapText="1"/>
    </xf>
    <xf numFmtId="164" fontId="4" fillId="8" borderId="0" xfId="0" applyNumberFormat="1" applyFont="1" applyFill="1" applyAlignment="1">
      <alignment vertical="center" wrapText="1"/>
    </xf>
    <xf numFmtId="0" fontId="4" fillId="6" borderId="0" xfId="0" applyFont="1" applyFill="1" applyAlignment="1">
      <alignment vertical="center"/>
    </xf>
    <xf numFmtId="0" fontId="1" fillId="2" borderId="0" xfId="0" applyFont="1" applyFill="1" applyAlignment="1">
      <alignment horizontal="left" vertical="center"/>
    </xf>
    <xf numFmtId="0" fontId="2" fillId="3" borderId="0" xfId="0" applyFont="1" applyFill="1" applyAlignment="1">
      <alignment vertical="center" wrapText="1"/>
    </xf>
    <xf numFmtId="0" fontId="5" fillId="2" borderId="0" xfId="0" applyFont="1" applyFill="1" applyAlignment="1">
      <alignment horizontal="left" vertical="center"/>
    </xf>
    <xf numFmtId="0" fontId="3" fillId="8" borderId="2"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0" xfId="0" applyFont="1" applyFill="1" applyAlignment="1">
      <alignment horizontal="center" vertical="center" wrapText="1"/>
    </xf>
    <xf numFmtId="0" fontId="3" fillId="8" borderId="6"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7" borderId="0" xfId="0" applyFont="1" applyFill="1" applyAlignment="1">
      <alignment horizontal="center" vertical="center" wrapText="1"/>
    </xf>
    <xf numFmtId="0" fontId="3" fillId="7"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4" fillId="5" borderId="5" xfId="0" applyFont="1" applyFill="1" applyBorder="1" applyAlignment="1">
      <alignment vertical="top" wrapText="1"/>
    </xf>
    <xf numFmtId="0" fontId="4" fillId="5" borderId="0" xfId="0" applyFont="1" applyFill="1" applyAlignment="1">
      <alignment vertical="top" wrapText="1"/>
    </xf>
    <xf numFmtId="0" fontId="4" fillId="5" borderId="6" xfId="0" applyFont="1" applyFill="1" applyBorder="1" applyAlignment="1">
      <alignment vertical="top" wrapText="1"/>
    </xf>
    <xf numFmtId="0" fontId="4" fillId="5" borderId="7" xfId="0" applyFont="1" applyFill="1" applyBorder="1" applyAlignment="1">
      <alignment vertical="top" wrapText="1"/>
    </xf>
    <xf numFmtId="0" fontId="4" fillId="5" borderId="1" xfId="0" applyFont="1" applyFill="1" applyBorder="1" applyAlignment="1">
      <alignment vertical="top" wrapText="1"/>
    </xf>
    <xf numFmtId="0" fontId="4" fillId="5" borderId="8" xfId="0" applyFont="1" applyFill="1" applyBorder="1" applyAlignment="1">
      <alignment vertical="top" wrapText="1"/>
    </xf>
    <xf numFmtId="0" fontId="0" fillId="0" borderId="0" xfId="0" applyAlignment="1">
      <alignment vertical="center" wrapText="1"/>
    </xf>
    <xf numFmtId="0" fontId="4" fillId="5" borderId="0" xfId="0" applyFont="1" applyFill="1" applyAlignment="1">
      <alignment vertical="center" wrapText="1"/>
    </xf>
    <xf numFmtId="0" fontId="0" fillId="0" borderId="0" xfId="0" applyAlignment="1">
      <alignment vertical="center"/>
    </xf>
    <xf numFmtId="0" fontId="2" fillId="9" borderId="0" xfId="0" applyFont="1" applyFill="1" applyAlignment="1">
      <alignment vertical="center" wrapText="1"/>
    </xf>
  </cellXfs>
  <cellStyles count="1">
    <cellStyle name="Normal" xfId="0" builtinId="0"/>
  </cellStyles>
  <dxfs count="2">
    <dxf>
      <fill>
        <patternFill patternType="solid">
          <bgColor rgb="FFFCE4D6"/>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Claude Haiku 4.5 — Operating Metrics vs Threshold</a:t>
            </a:r>
          </a:p>
        </c:rich>
      </c:tx>
      <c:overlay val="0"/>
    </c:title>
    <c:autoTitleDeleted val="0"/>
    <c:plotArea>
      <c:layout/>
      <c:lineChart>
        <c:grouping val="standard"/>
        <c:varyColors val="1"/>
        <c:ser>
          <c:idx val="0"/>
          <c:order val="0"/>
          <c:tx>
            <c:v>Balanced Accuracy</c:v>
          </c:tx>
          <c:cat>
            <c:numRef>
              <c:f>'Threshold Analysis'!$AS$4:$AS$15</c:f>
              <c:numCache>
                <c:formatCode>0.000</c:formatCode>
                <c:ptCount val="12"/>
                <c:pt idx="0">
                  <c:v>0</c:v>
                </c:pt>
                <c:pt idx="1">
                  <c:v>0.05</c:v>
                </c:pt>
                <c:pt idx="2">
                  <c:v>0.08</c:v>
                </c:pt>
                <c:pt idx="3">
                  <c:v>0.15</c:v>
                </c:pt>
                <c:pt idx="4">
                  <c:v>0.25</c:v>
                </c:pt>
                <c:pt idx="5">
                  <c:v>0.28000000000000003</c:v>
                </c:pt>
                <c:pt idx="6">
                  <c:v>0.5</c:v>
                </c:pt>
                <c:pt idx="7">
                  <c:v>0.65</c:v>
                </c:pt>
                <c:pt idx="8">
                  <c:v>0.75</c:v>
                </c:pt>
                <c:pt idx="9">
                  <c:v>0.85</c:v>
                </c:pt>
                <c:pt idx="10">
                  <c:v>0.95</c:v>
                </c:pt>
                <c:pt idx="11">
                  <c:v>1.0000009999999999</c:v>
                </c:pt>
              </c:numCache>
            </c:numRef>
          </c:cat>
          <c:val>
            <c:numRef>
              <c:f>'Threshold Analysis'!$AT$4:$AT$15</c:f>
              <c:numCache>
                <c:formatCode>0.0%</c:formatCode>
                <c:ptCount val="12"/>
                <c:pt idx="0">
                  <c:v>0.5</c:v>
                </c:pt>
                <c:pt idx="1">
                  <c:v>0.5</c:v>
                </c:pt>
                <c:pt idx="2">
                  <c:v>0.51875000000000004</c:v>
                </c:pt>
                <c:pt idx="3">
                  <c:v>0.48749999999999999</c:v>
                </c:pt>
                <c:pt idx="4">
                  <c:v>0.44062499999999999</c:v>
                </c:pt>
                <c:pt idx="5">
                  <c:v>0.546875</c:v>
                </c:pt>
                <c:pt idx="6">
                  <c:v>0.63124999999999998</c:v>
                </c:pt>
                <c:pt idx="7">
                  <c:v>0.63124999999999998</c:v>
                </c:pt>
                <c:pt idx="8">
                  <c:v>0.58437499999999998</c:v>
                </c:pt>
                <c:pt idx="9">
                  <c:v>0.59375</c:v>
                </c:pt>
                <c:pt idx="10">
                  <c:v>0.546875</c:v>
                </c:pt>
                <c:pt idx="11">
                  <c:v>0.5</c:v>
                </c:pt>
              </c:numCache>
            </c:numRef>
          </c:val>
          <c:smooth val="0"/>
          <c:extLst>
            <c:ext xmlns:c16="http://schemas.microsoft.com/office/drawing/2014/chart" uri="{C3380CC4-5D6E-409C-BE32-E72D297353CC}">
              <c16:uniqueId val="{00000000-CBE7-45B2-8B0F-29A2B197A856}"/>
            </c:ext>
          </c:extLst>
        </c:ser>
        <c:ser>
          <c:idx val="1"/>
          <c:order val="1"/>
          <c:tx>
            <c:v>Recall</c:v>
          </c:tx>
          <c:cat>
            <c:numRef>
              <c:f>'Threshold Analysis'!$AS$4:$AS$15</c:f>
              <c:numCache>
                <c:formatCode>0.000</c:formatCode>
                <c:ptCount val="12"/>
                <c:pt idx="0">
                  <c:v>0</c:v>
                </c:pt>
                <c:pt idx="1">
                  <c:v>0.05</c:v>
                </c:pt>
                <c:pt idx="2">
                  <c:v>0.08</c:v>
                </c:pt>
                <c:pt idx="3">
                  <c:v>0.15</c:v>
                </c:pt>
                <c:pt idx="4">
                  <c:v>0.25</c:v>
                </c:pt>
                <c:pt idx="5">
                  <c:v>0.28000000000000003</c:v>
                </c:pt>
                <c:pt idx="6">
                  <c:v>0.5</c:v>
                </c:pt>
                <c:pt idx="7">
                  <c:v>0.65</c:v>
                </c:pt>
                <c:pt idx="8">
                  <c:v>0.75</c:v>
                </c:pt>
                <c:pt idx="9">
                  <c:v>0.85</c:v>
                </c:pt>
                <c:pt idx="10">
                  <c:v>0.95</c:v>
                </c:pt>
                <c:pt idx="11">
                  <c:v>1.0000009999999999</c:v>
                </c:pt>
              </c:numCache>
            </c:numRef>
          </c:cat>
          <c:val>
            <c:numRef>
              <c:f>'Threshold Analysis'!$AU$4:$AU$15</c:f>
              <c:numCache>
                <c:formatCode>0.0%</c:formatCode>
                <c:ptCount val="12"/>
                <c:pt idx="0">
                  <c:v>1</c:v>
                </c:pt>
                <c:pt idx="1">
                  <c:v>1</c:v>
                </c:pt>
                <c:pt idx="2">
                  <c:v>0.9375</c:v>
                </c:pt>
                <c:pt idx="3">
                  <c:v>0.875</c:v>
                </c:pt>
                <c:pt idx="4">
                  <c:v>0.78125</c:v>
                </c:pt>
                <c:pt idx="5">
                  <c:v>0.59375</c:v>
                </c:pt>
                <c:pt idx="6">
                  <c:v>0.5625</c:v>
                </c:pt>
                <c:pt idx="7">
                  <c:v>0.5625</c:v>
                </c:pt>
                <c:pt idx="8">
                  <c:v>0.46875</c:v>
                </c:pt>
                <c:pt idx="9">
                  <c:v>0.1875</c:v>
                </c:pt>
                <c:pt idx="10">
                  <c:v>9.375E-2</c:v>
                </c:pt>
                <c:pt idx="11">
                  <c:v>0</c:v>
                </c:pt>
              </c:numCache>
            </c:numRef>
          </c:val>
          <c:smooth val="0"/>
          <c:extLst>
            <c:ext xmlns:c16="http://schemas.microsoft.com/office/drawing/2014/chart" uri="{C3380CC4-5D6E-409C-BE32-E72D297353CC}">
              <c16:uniqueId val="{00000001-CBE7-45B2-8B0F-29A2B197A856}"/>
            </c:ext>
          </c:extLst>
        </c:ser>
        <c:ser>
          <c:idx val="2"/>
          <c:order val="2"/>
          <c:tx>
            <c:v>Specificity</c:v>
          </c:tx>
          <c:cat>
            <c:numRef>
              <c:f>'Threshold Analysis'!$AS$4:$AS$15</c:f>
              <c:numCache>
                <c:formatCode>0.000</c:formatCode>
                <c:ptCount val="12"/>
                <c:pt idx="0">
                  <c:v>0</c:v>
                </c:pt>
                <c:pt idx="1">
                  <c:v>0.05</c:v>
                </c:pt>
                <c:pt idx="2">
                  <c:v>0.08</c:v>
                </c:pt>
                <c:pt idx="3">
                  <c:v>0.15</c:v>
                </c:pt>
                <c:pt idx="4">
                  <c:v>0.25</c:v>
                </c:pt>
                <c:pt idx="5">
                  <c:v>0.28000000000000003</c:v>
                </c:pt>
                <c:pt idx="6">
                  <c:v>0.5</c:v>
                </c:pt>
                <c:pt idx="7">
                  <c:v>0.65</c:v>
                </c:pt>
                <c:pt idx="8">
                  <c:v>0.75</c:v>
                </c:pt>
                <c:pt idx="9">
                  <c:v>0.85</c:v>
                </c:pt>
                <c:pt idx="10">
                  <c:v>0.95</c:v>
                </c:pt>
                <c:pt idx="11">
                  <c:v>1.0000009999999999</c:v>
                </c:pt>
              </c:numCache>
            </c:numRef>
          </c:cat>
          <c:val>
            <c:numRef>
              <c:f>'Threshold Analysis'!$AV$4:$AV$15</c:f>
              <c:numCache>
                <c:formatCode>0.0%</c:formatCode>
                <c:ptCount val="12"/>
                <c:pt idx="0">
                  <c:v>0</c:v>
                </c:pt>
                <c:pt idx="1">
                  <c:v>0</c:v>
                </c:pt>
                <c:pt idx="2">
                  <c:v>0.1</c:v>
                </c:pt>
                <c:pt idx="3">
                  <c:v>0.1</c:v>
                </c:pt>
                <c:pt idx="4">
                  <c:v>0.1</c:v>
                </c:pt>
                <c:pt idx="5">
                  <c:v>0.5</c:v>
                </c:pt>
                <c:pt idx="6">
                  <c:v>0.7</c:v>
                </c:pt>
                <c:pt idx="7">
                  <c:v>0.7</c:v>
                </c:pt>
                <c:pt idx="8">
                  <c:v>0.7</c:v>
                </c:pt>
                <c:pt idx="9">
                  <c:v>1</c:v>
                </c:pt>
                <c:pt idx="10">
                  <c:v>1</c:v>
                </c:pt>
                <c:pt idx="11">
                  <c:v>1</c:v>
                </c:pt>
              </c:numCache>
            </c:numRef>
          </c:val>
          <c:smooth val="0"/>
          <c:extLst>
            <c:ext xmlns:c16="http://schemas.microsoft.com/office/drawing/2014/chart" uri="{C3380CC4-5D6E-409C-BE32-E72D297353CC}">
              <c16:uniqueId val="{00000002-CBE7-45B2-8B0F-29A2B197A856}"/>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Gemini 3.1 Flash-Lite — Operating Metrics vs Threshold</a:t>
            </a:r>
          </a:p>
        </c:rich>
      </c:tx>
      <c:overlay val="0"/>
    </c:title>
    <c:autoTitleDeleted val="0"/>
    <c:plotArea>
      <c:layout/>
      <c:lineChart>
        <c:grouping val="standard"/>
        <c:varyColors val="1"/>
        <c:ser>
          <c:idx val="0"/>
          <c:order val="0"/>
          <c:tx>
            <c:v>Balanced Accuracy</c:v>
          </c:tx>
          <c:cat>
            <c:numRef>
              <c:f>'Threshold Analysis'!$AS$19:$AS$29</c:f>
              <c:numCache>
                <c:formatCode>0.000</c:formatCode>
                <c:ptCount val="11"/>
                <c:pt idx="0">
                  <c:v>0</c:v>
                </c:pt>
                <c:pt idx="1">
                  <c:v>0.02</c:v>
                </c:pt>
                <c:pt idx="2">
                  <c:v>0.05</c:v>
                </c:pt>
                <c:pt idx="3">
                  <c:v>0.1</c:v>
                </c:pt>
                <c:pt idx="4">
                  <c:v>0.15</c:v>
                </c:pt>
                <c:pt idx="5">
                  <c:v>0.5</c:v>
                </c:pt>
                <c:pt idx="6">
                  <c:v>0.7</c:v>
                </c:pt>
                <c:pt idx="7">
                  <c:v>0.85</c:v>
                </c:pt>
                <c:pt idx="8">
                  <c:v>0.9</c:v>
                </c:pt>
                <c:pt idx="9">
                  <c:v>0.95</c:v>
                </c:pt>
                <c:pt idx="10">
                  <c:v>1.0000009999999999</c:v>
                </c:pt>
              </c:numCache>
            </c:numRef>
          </c:cat>
          <c:val>
            <c:numRef>
              <c:f>'Threshold Analysis'!$AT$19:$AT$29</c:f>
              <c:numCache>
                <c:formatCode>0.0%</c:formatCode>
                <c:ptCount val="11"/>
                <c:pt idx="0">
                  <c:v>0.5</c:v>
                </c:pt>
                <c:pt idx="1">
                  <c:v>0.5</c:v>
                </c:pt>
                <c:pt idx="2">
                  <c:v>0.55000000000000004</c:v>
                </c:pt>
                <c:pt idx="3">
                  <c:v>0.609375</c:v>
                </c:pt>
                <c:pt idx="4">
                  <c:v>0.58437499999999998</c:v>
                </c:pt>
                <c:pt idx="5">
                  <c:v>0.62187499999999996</c:v>
                </c:pt>
                <c:pt idx="6">
                  <c:v>0.62187499999999996</c:v>
                </c:pt>
                <c:pt idx="7">
                  <c:v>0.609375</c:v>
                </c:pt>
                <c:pt idx="8">
                  <c:v>0.5625</c:v>
                </c:pt>
                <c:pt idx="9">
                  <c:v>0.546875</c:v>
                </c:pt>
                <c:pt idx="10">
                  <c:v>0.5</c:v>
                </c:pt>
              </c:numCache>
            </c:numRef>
          </c:val>
          <c:smooth val="0"/>
          <c:extLst>
            <c:ext xmlns:c16="http://schemas.microsoft.com/office/drawing/2014/chart" uri="{C3380CC4-5D6E-409C-BE32-E72D297353CC}">
              <c16:uniqueId val="{00000000-AC81-4969-84A3-A1AC18318B6E}"/>
            </c:ext>
          </c:extLst>
        </c:ser>
        <c:ser>
          <c:idx val="1"/>
          <c:order val="1"/>
          <c:tx>
            <c:v>Recall</c:v>
          </c:tx>
          <c:cat>
            <c:numRef>
              <c:f>'Threshold Analysis'!$AS$19:$AS$29</c:f>
              <c:numCache>
                <c:formatCode>0.000</c:formatCode>
                <c:ptCount val="11"/>
                <c:pt idx="0">
                  <c:v>0</c:v>
                </c:pt>
                <c:pt idx="1">
                  <c:v>0.02</c:v>
                </c:pt>
                <c:pt idx="2">
                  <c:v>0.05</c:v>
                </c:pt>
                <c:pt idx="3">
                  <c:v>0.1</c:v>
                </c:pt>
                <c:pt idx="4">
                  <c:v>0.15</c:v>
                </c:pt>
                <c:pt idx="5">
                  <c:v>0.5</c:v>
                </c:pt>
                <c:pt idx="6">
                  <c:v>0.7</c:v>
                </c:pt>
                <c:pt idx="7">
                  <c:v>0.85</c:v>
                </c:pt>
                <c:pt idx="8">
                  <c:v>0.9</c:v>
                </c:pt>
                <c:pt idx="9">
                  <c:v>0.95</c:v>
                </c:pt>
                <c:pt idx="10">
                  <c:v>1.0000009999999999</c:v>
                </c:pt>
              </c:numCache>
            </c:numRef>
          </c:cat>
          <c:val>
            <c:numRef>
              <c:f>'Threshold Analysis'!$AU$19:$AU$29</c:f>
              <c:numCache>
                <c:formatCode>0.0%</c:formatCode>
                <c:ptCount val="11"/>
                <c:pt idx="0">
                  <c:v>1</c:v>
                </c:pt>
                <c:pt idx="1">
                  <c:v>1</c:v>
                </c:pt>
                <c:pt idx="2">
                  <c:v>1</c:v>
                </c:pt>
                <c:pt idx="3">
                  <c:v>0.71875</c:v>
                </c:pt>
                <c:pt idx="4">
                  <c:v>0.46875</c:v>
                </c:pt>
                <c:pt idx="5">
                  <c:v>0.34375</c:v>
                </c:pt>
                <c:pt idx="6">
                  <c:v>0.34375</c:v>
                </c:pt>
                <c:pt idx="7">
                  <c:v>0.21875</c:v>
                </c:pt>
                <c:pt idx="8">
                  <c:v>0.125</c:v>
                </c:pt>
                <c:pt idx="9">
                  <c:v>9.375E-2</c:v>
                </c:pt>
                <c:pt idx="10">
                  <c:v>0</c:v>
                </c:pt>
              </c:numCache>
            </c:numRef>
          </c:val>
          <c:smooth val="0"/>
          <c:extLst>
            <c:ext xmlns:c16="http://schemas.microsoft.com/office/drawing/2014/chart" uri="{C3380CC4-5D6E-409C-BE32-E72D297353CC}">
              <c16:uniqueId val="{00000001-AC81-4969-84A3-A1AC18318B6E}"/>
            </c:ext>
          </c:extLst>
        </c:ser>
        <c:ser>
          <c:idx val="2"/>
          <c:order val="2"/>
          <c:tx>
            <c:v>Specificity</c:v>
          </c:tx>
          <c:cat>
            <c:numRef>
              <c:f>'Threshold Analysis'!$AS$19:$AS$29</c:f>
              <c:numCache>
                <c:formatCode>0.000</c:formatCode>
                <c:ptCount val="11"/>
                <c:pt idx="0">
                  <c:v>0</c:v>
                </c:pt>
                <c:pt idx="1">
                  <c:v>0.02</c:v>
                </c:pt>
                <c:pt idx="2">
                  <c:v>0.05</c:v>
                </c:pt>
                <c:pt idx="3">
                  <c:v>0.1</c:v>
                </c:pt>
                <c:pt idx="4">
                  <c:v>0.15</c:v>
                </c:pt>
                <c:pt idx="5">
                  <c:v>0.5</c:v>
                </c:pt>
                <c:pt idx="6">
                  <c:v>0.7</c:v>
                </c:pt>
                <c:pt idx="7">
                  <c:v>0.85</c:v>
                </c:pt>
                <c:pt idx="8">
                  <c:v>0.9</c:v>
                </c:pt>
                <c:pt idx="9">
                  <c:v>0.95</c:v>
                </c:pt>
                <c:pt idx="10">
                  <c:v>1.0000009999999999</c:v>
                </c:pt>
              </c:numCache>
            </c:numRef>
          </c:cat>
          <c:val>
            <c:numRef>
              <c:f>'Threshold Analysis'!$AV$19:$AV$29</c:f>
              <c:numCache>
                <c:formatCode>0.0%</c:formatCode>
                <c:ptCount val="11"/>
                <c:pt idx="0">
                  <c:v>0</c:v>
                </c:pt>
                <c:pt idx="1">
                  <c:v>0</c:v>
                </c:pt>
                <c:pt idx="2">
                  <c:v>0.1</c:v>
                </c:pt>
                <c:pt idx="3">
                  <c:v>0.5</c:v>
                </c:pt>
                <c:pt idx="4">
                  <c:v>0.7</c:v>
                </c:pt>
                <c:pt idx="5">
                  <c:v>0.9</c:v>
                </c:pt>
                <c:pt idx="6">
                  <c:v>0.9</c:v>
                </c:pt>
                <c:pt idx="7">
                  <c:v>1</c:v>
                </c:pt>
                <c:pt idx="8">
                  <c:v>1</c:v>
                </c:pt>
                <c:pt idx="9">
                  <c:v>1</c:v>
                </c:pt>
                <c:pt idx="10">
                  <c:v>1</c:v>
                </c:pt>
              </c:numCache>
            </c:numRef>
          </c:val>
          <c:smooth val="0"/>
          <c:extLst>
            <c:ext xmlns:c16="http://schemas.microsoft.com/office/drawing/2014/chart" uri="{C3380CC4-5D6E-409C-BE32-E72D297353CC}">
              <c16:uniqueId val="{00000002-AC81-4969-84A3-A1AC18318B6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GPT-5.6 Terra — Operating Metrics vs Threshold</a:t>
            </a:r>
          </a:p>
        </c:rich>
      </c:tx>
      <c:overlay val="0"/>
    </c:title>
    <c:autoTitleDeleted val="0"/>
    <c:plotArea>
      <c:layout/>
      <c:lineChart>
        <c:grouping val="standard"/>
        <c:varyColors val="1"/>
        <c:ser>
          <c:idx val="0"/>
          <c:order val="0"/>
          <c:tx>
            <c:v>Balanced Accuracy</c:v>
          </c:tx>
          <c:cat>
            <c:numRef>
              <c:f>'Threshold Analysis'!$AS$34:$AS$63</c:f>
              <c:numCache>
                <c:formatCode>0.000</c:formatCode>
                <c:ptCount val="30"/>
                <c:pt idx="0">
                  <c:v>0</c:v>
                </c:pt>
                <c:pt idx="1">
                  <c:v>5.0000000000000001E-3</c:v>
                </c:pt>
                <c:pt idx="2">
                  <c:v>0.01</c:v>
                </c:pt>
                <c:pt idx="3">
                  <c:v>0.02</c:v>
                </c:pt>
                <c:pt idx="4">
                  <c:v>0.03</c:v>
                </c:pt>
                <c:pt idx="5">
                  <c:v>0.04</c:v>
                </c:pt>
                <c:pt idx="6">
                  <c:v>0.05</c:v>
                </c:pt>
                <c:pt idx="7">
                  <c:v>0.06</c:v>
                </c:pt>
                <c:pt idx="8">
                  <c:v>7.0000000000000007E-2</c:v>
                </c:pt>
                <c:pt idx="9">
                  <c:v>0.08</c:v>
                </c:pt>
                <c:pt idx="10">
                  <c:v>0.09</c:v>
                </c:pt>
                <c:pt idx="11">
                  <c:v>0.1</c:v>
                </c:pt>
                <c:pt idx="12">
                  <c:v>0.13</c:v>
                </c:pt>
                <c:pt idx="13">
                  <c:v>0.14000000000000001</c:v>
                </c:pt>
                <c:pt idx="14">
                  <c:v>0.18</c:v>
                </c:pt>
                <c:pt idx="15">
                  <c:v>0.22</c:v>
                </c:pt>
                <c:pt idx="16">
                  <c:v>0.24</c:v>
                </c:pt>
                <c:pt idx="17">
                  <c:v>0.27</c:v>
                </c:pt>
                <c:pt idx="18">
                  <c:v>0.28000000000000003</c:v>
                </c:pt>
                <c:pt idx="19">
                  <c:v>0.3</c:v>
                </c:pt>
                <c:pt idx="20">
                  <c:v>0.32</c:v>
                </c:pt>
                <c:pt idx="21">
                  <c:v>0.44</c:v>
                </c:pt>
                <c:pt idx="22">
                  <c:v>0.5</c:v>
                </c:pt>
                <c:pt idx="23">
                  <c:v>0.65</c:v>
                </c:pt>
                <c:pt idx="24">
                  <c:v>0.78</c:v>
                </c:pt>
                <c:pt idx="25">
                  <c:v>0.88</c:v>
                </c:pt>
                <c:pt idx="26">
                  <c:v>0.92</c:v>
                </c:pt>
                <c:pt idx="27">
                  <c:v>0.97</c:v>
                </c:pt>
                <c:pt idx="28">
                  <c:v>0.98</c:v>
                </c:pt>
                <c:pt idx="29">
                  <c:v>1.0000009999999999</c:v>
                </c:pt>
              </c:numCache>
            </c:numRef>
          </c:cat>
          <c:val>
            <c:numRef>
              <c:f>'Threshold Analysis'!$AT$34:$AT$63</c:f>
              <c:numCache>
                <c:formatCode>0.0%</c:formatCode>
                <c:ptCount val="30"/>
                <c:pt idx="0">
                  <c:v>0.5</c:v>
                </c:pt>
                <c:pt idx="1">
                  <c:v>0.5</c:v>
                </c:pt>
                <c:pt idx="2">
                  <c:v>0.53437500000000004</c:v>
                </c:pt>
                <c:pt idx="3">
                  <c:v>0.50312500000000004</c:v>
                </c:pt>
                <c:pt idx="4">
                  <c:v>0.45624999999999999</c:v>
                </c:pt>
                <c:pt idx="5">
                  <c:v>0.47499999999999998</c:v>
                </c:pt>
                <c:pt idx="6">
                  <c:v>0.47812500000000002</c:v>
                </c:pt>
                <c:pt idx="7">
                  <c:v>0.52812499999999996</c:v>
                </c:pt>
                <c:pt idx="8">
                  <c:v>0.67812499999999998</c:v>
                </c:pt>
                <c:pt idx="9">
                  <c:v>0.66249999999999998</c:v>
                </c:pt>
                <c:pt idx="10">
                  <c:v>0.69687500000000002</c:v>
                </c:pt>
                <c:pt idx="11">
                  <c:v>0.68125000000000002</c:v>
                </c:pt>
                <c:pt idx="12">
                  <c:v>0.765625</c:v>
                </c:pt>
                <c:pt idx="13">
                  <c:v>0.75</c:v>
                </c:pt>
                <c:pt idx="14">
                  <c:v>0.734375</c:v>
                </c:pt>
                <c:pt idx="15">
                  <c:v>0.71875</c:v>
                </c:pt>
                <c:pt idx="16">
                  <c:v>0.6875</c:v>
                </c:pt>
                <c:pt idx="17">
                  <c:v>0.671875</c:v>
                </c:pt>
                <c:pt idx="18">
                  <c:v>0.65625</c:v>
                </c:pt>
                <c:pt idx="19">
                  <c:v>0.640625</c:v>
                </c:pt>
                <c:pt idx="20">
                  <c:v>0.625</c:v>
                </c:pt>
                <c:pt idx="21">
                  <c:v>0.609375</c:v>
                </c:pt>
                <c:pt idx="22">
                  <c:v>0.59375</c:v>
                </c:pt>
                <c:pt idx="23">
                  <c:v>0.59375</c:v>
                </c:pt>
                <c:pt idx="24">
                  <c:v>0.578125</c:v>
                </c:pt>
                <c:pt idx="25">
                  <c:v>0.5625</c:v>
                </c:pt>
                <c:pt idx="26">
                  <c:v>0.546875</c:v>
                </c:pt>
                <c:pt idx="27">
                  <c:v>0.53125</c:v>
                </c:pt>
                <c:pt idx="28">
                  <c:v>0.515625</c:v>
                </c:pt>
                <c:pt idx="29">
                  <c:v>0.5</c:v>
                </c:pt>
              </c:numCache>
            </c:numRef>
          </c:val>
          <c:smooth val="0"/>
          <c:extLst>
            <c:ext xmlns:c16="http://schemas.microsoft.com/office/drawing/2014/chart" uri="{C3380CC4-5D6E-409C-BE32-E72D297353CC}">
              <c16:uniqueId val="{00000000-8305-4968-8C3D-54042036E16C}"/>
            </c:ext>
          </c:extLst>
        </c:ser>
        <c:ser>
          <c:idx val="1"/>
          <c:order val="1"/>
          <c:tx>
            <c:v>Recall</c:v>
          </c:tx>
          <c:cat>
            <c:numRef>
              <c:f>'Threshold Analysis'!$AS$34:$AS$63</c:f>
              <c:numCache>
                <c:formatCode>0.000</c:formatCode>
                <c:ptCount val="30"/>
                <c:pt idx="0">
                  <c:v>0</c:v>
                </c:pt>
                <c:pt idx="1">
                  <c:v>5.0000000000000001E-3</c:v>
                </c:pt>
                <c:pt idx="2">
                  <c:v>0.01</c:v>
                </c:pt>
                <c:pt idx="3">
                  <c:v>0.02</c:v>
                </c:pt>
                <c:pt idx="4">
                  <c:v>0.03</c:v>
                </c:pt>
                <c:pt idx="5">
                  <c:v>0.04</c:v>
                </c:pt>
                <c:pt idx="6">
                  <c:v>0.05</c:v>
                </c:pt>
                <c:pt idx="7">
                  <c:v>0.06</c:v>
                </c:pt>
                <c:pt idx="8">
                  <c:v>7.0000000000000007E-2</c:v>
                </c:pt>
                <c:pt idx="9">
                  <c:v>0.08</c:v>
                </c:pt>
                <c:pt idx="10">
                  <c:v>0.09</c:v>
                </c:pt>
                <c:pt idx="11">
                  <c:v>0.1</c:v>
                </c:pt>
                <c:pt idx="12">
                  <c:v>0.13</c:v>
                </c:pt>
                <c:pt idx="13">
                  <c:v>0.14000000000000001</c:v>
                </c:pt>
                <c:pt idx="14">
                  <c:v>0.18</c:v>
                </c:pt>
                <c:pt idx="15">
                  <c:v>0.22</c:v>
                </c:pt>
                <c:pt idx="16">
                  <c:v>0.24</c:v>
                </c:pt>
                <c:pt idx="17">
                  <c:v>0.27</c:v>
                </c:pt>
                <c:pt idx="18">
                  <c:v>0.28000000000000003</c:v>
                </c:pt>
                <c:pt idx="19">
                  <c:v>0.3</c:v>
                </c:pt>
                <c:pt idx="20">
                  <c:v>0.32</c:v>
                </c:pt>
                <c:pt idx="21">
                  <c:v>0.44</c:v>
                </c:pt>
                <c:pt idx="22">
                  <c:v>0.5</c:v>
                </c:pt>
                <c:pt idx="23">
                  <c:v>0.65</c:v>
                </c:pt>
                <c:pt idx="24">
                  <c:v>0.78</c:v>
                </c:pt>
                <c:pt idx="25">
                  <c:v>0.88</c:v>
                </c:pt>
                <c:pt idx="26">
                  <c:v>0.92</c:v>
                </c:pt>
                <c:pt idx="27">
                  <c:v>0.97</c:v>
                </c:pt>
                <c:pt idx="28">
                  <c:v>0.98</c:v>
                </c:pt>
                <c:pt idx="29">
                  <c:v>1.0000009999999999</c:v>
                </c:pt>
              </c:numCache>
            </c:numRef>
          </c:cat>
          <c:val>
            <c:numRef>
              <c:f>'Threshold Analysis'!$AU$34:$AU$63</c:f>
              <c:numCache>
                <c:formatCode>0.0%</c:formatCode>
                <c:ptCount val="30"/>
                <c:pt idx="0">
                  <c:v>1</c:v>
                </c:pt>
                <c:pt idx="1">
                  <c:v>1</c:v>
                </c:pt>
                <c:pt idx="2">
                  <c:v>0.96875</c:v>
                </c:pt>
                <c:pt idx="3">
                  <c:v>0.90625</c:v>
                </c:pt>
                <c:pt idx="4">
                  <c:v>0.8125</c:v>
                </c:pt>
                <c:pt idx="5">
                  <c:v>0.75</c:v>
                </c:pt>
                <c:pt idx="6">
                  <c:v>0.65625</c:v>
                </c:pt>
                <c:pt idx="7">
                  <c:v>0.65625</c:v>
                </c:pt>
                <c:pt idx="8">
                  <c:v>0.65625</c:v>
                </c:pt>
                <c:pt idx="9">
                  <c:v>0.625</c:v>
                </c:pt>
                <c:pt idx="10">
                  <c:v>0.59375</c:v>
                </c:pt>
                <c:pt idx="11">
                  <c:v>0.5625</c:v>
                </c:pt>
                <c:pt idx="12">
                  <c:v>0.53125</c:v>
                </c:pt>
                <c:pt idx="13">
                  <c:v>0.5</c:v>
                </c:pt>
                <c:pt idx="14">
                  <c:v>0.46875</c:v>
                </c:pt>
                <c:pt idx="15">
                  <c:v>0.4375</c:v>
                </c:pt>
                <c:pt idx="16">
                  <c:v>0.375</c:v>
                </c:pt>
                <c:pt idx="17">
                  <c:v>0.34375</c:v>
                </c:pt>
                <c:pt idx="18">
                  <c:v>0.3125</c:v>
                </c:pt>
                <c:pt idx="19">
                  <c:v>0.28125</c:v>
                </c:pt>
                <c:pt idx="20">
                  <c:v>0.25</c:v>
                </c:pt>
                <c:pt idx="21">
                  <c:v>0.21875</c:v>
                </c:pt>
                <c:pt idx="22">
                  <c:v>0.1875</c:v>
                </c:pt>
                <c:pt idx="23">
                  <c:v>0.1875</c:v>
                </c:pt>
                <c:pt idx="24">
                  <c:v>0.15625</c:v>
                </c:pt>
                <c:pt idx="25">
                  <c:v>0.125</c:v>
                </c:pt>
                <c:pt idx="26">
                  <c:v>9.375E-2</c:v>
                </c:pt>
                <c:pt idx="27">
                  <c:v>6.25E-2</c:v>
                </c:pt>
                <c:pt idx="28">
                  <c:v>3.125E-2</c:v>
                </c:pt>
                <c:pt idx="29">
                  <c:v>0</c:v>
                </c:pt>
              </c:numCache>
            </c:numRef>
          </c:val>
          <c:smooth val="0"/>
          <c:extLst>
            <c:ext xmlns:c16="http://schemas.microsoft.com/office/drawing/2014/chart" uri="{C3380CC4-5D6E-409C-BE32-E72D297353CC}">
              <c16:uniqueId val="{00000001-8305-4968-8C3D-54042036E16C}"/>
            </c:ext>
          </c:extLst>
        </c:ser>
        <c:ser>
          <c:idx val="2"/>
          <c:order val="2"/>
          <c:tx>
            <c:v>Specificity</c:v>
          </c:tx>
          <c:cat>
            <c:numRef>
              <c:f>'Threshold Analysis'!$AS$34:$AS$63</c:f>
              <c:numCache>
                <c:formatCode>0.000</c:formatCode>
                <c:ptCount val="30"/>
                <c:pt idx="0">
                  <c:v>0</c:v>
                </c:pt>
                <c:pt idx="1">
                  <c:v>5.0000000000000001E-3</c:v>
                </c:pt>
                <c:pt idx="2">
                  <c:v>0.01</c:v>
                </c:pt>
                <c:pt idx="3">
                  <c:v>0.02</c:v>
                </c:pt>
                <c:pt idx="4">
                  <c:v>0.03</c:v>
                </c:pt>
                <c:pt idx="5">
                  <c:v>0.04</c:v>
                </c:pt>
                <c:pt idx="6">
                  <c:v>0.05</c:v>
                </c:pt>
                <c:pt idx="7">
                  <c:v>0.06</c:v>
                </c:pt>
                <c:pt idx="8">
                  <c:v>7.0000000000000007E-2</c:v>
                </c:pt>
                <c:pt idx="9">
                  <c:v>0.08</c:v>
                </c:pt>
                <c:pt idx="10">
                  <c:v>0.09</c:v>
                </c:pt>
                <c:pt idx="11">
                  <c:v>0.1</c:v>
                </c:pt>
                <c:pt idx="12">
                  <c:v>0.13</c:v>
                </c:pt>
                <c:pt idx="13">
                  <c:v>0.14000000000000001</c:v>
                </c:pt>
                <c:pt idx="14">
                  <c:v>0.18</c:v>
                </c:pt>
                <c:pt idx="15">
                  <c:v>0.22</c:v>
                </c:pt>
                <c:pt idx="16">
                  <c:v>0.24</c:v>
                </c:pt>
                <c:pt idx="17">
                  <c:v>0.27</c:v>
                </c:pt>
                <c:pt idx="18">
                  <c:v>0.28000000000000003</c:v>
                </c:pt>
                <c:pt idx="19">
                  <c:v>0.3</c:v>
                </c:pt>
                <c:pt idx="20">
                  <c:v>0.32</c:v>
                </c:pt>
                <c:pt idx="21">
                  <c:v>0.44</c:v>
                </c:pt>
                <c:pt idx="22">
                  <c:v>0.5</c:v>
                </c:pt>
                <c:pt idx="23">
                  <c:v>0.65</c:v>
                </c:pt>
                <c:pt idx="24">
                  <c:v>0.78</c:v>
                </c:pt>
                <c:pt idx="25">
                  <c:v>0.88</c:v>
                </c:pt>
                <c:pt idx="26">
                  <c:v>0.92</c:v>
                </c:pt>
                <c:pt idx="27">
                  <c:v>0.97</c:v>
                </c:pt>
                <c:pt idx="28">
                  <c:v>0.98</c:v>
                </c:pt>
                <c:pt idx="29">
                  <c:v>1.0000009999999999</c:v>
                </c:pt>
              </c:numCache>
            </c:numRef>
          </c:cat>
          <c:val>
            <c:numRef>
              <c:f>'Threshold Analysis'!$AV$34:$AV$63</c:f>
              <c:numCache>
                <c:formatCode>0.0%</c:formatCode>
                <c:ptCount val="30"/>
                <c:pt idx="0">
                  <c:v>0</c:v>
                </c:pt>
                <c:pt idx="1">
                  <c:v>0</c:v>
                </c:pt>
                <c:pt idx="2">
                  <c:v>0.1</c:v>
                </c:pt>
                <c:pt idx="3">
                  <c:v>0.1</c:v>
                </c:pt>
                <c:pt idx="4">
                  <c:v>0.1</c:v>
                </c:pt>
                <c:pt idx="5">
                  <c:v>0.2</c:v>
                </c:pt>
                <c:pt idx="6">
                  <c:v>0.3</c:v>
                </c:pt>
                <c:pt idx="7">
                  <c:v>0.4</c:v>
                </c:pt>
                <c:pt idx="8">
                  <c:v>0.7</c:v>
                </c:pt>
                <c:pt idx="9">
                  <c:v>0.7</c:v>
                </c:pt>
                <c:pt idx="10">
                  <c:v>0.8</c:v>
                </c:pt>
                <c:pt idx="11">
                  <c:v>0.8</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val>
          <c:smooth val="0"/>
          <c:extLst>
            <c:ext xmlns:c16="http://schemas.microsoft.com/office/drawing/2014/chart" uri="{C3380CC4-5D6E-409C-BE32-E72D297353CC}">
              <c16:uniqueId val="{00000002-8305-4968-8C3D-54042036E16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34</xdr:col>
      <xdr:colOff>0</xdr:colOff>
      <xdr:row>1</xdr:row>
      <xdr:rowOff>0</xdr:rowOff>
    </xdr:from>
    <xdr:to>
      <xdr:col>43</xdr:col>
      <xdr:colOff>0</xdr:colOff>
      <xdr:row>18</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0</xdr:colOff>
      <xdr:row>19</xdr:row>
      <xdr:rowOff>0</xdr:rowOff>
    </xdr:from>
    <xdr:to>
      <xdr:col>43</xdr:col>
      <xdr:colOff>0</xdr:colOff>
      <xdr:row>36</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0</xdr:colOff>
      <xdr:row>37</xdr:row>
      <xdr:rowOff>0</xdr:rowOff>
    </xdr:from>
    <xdr:to>
      <xdr:col>43</xdr:col>
      <xdr:colOff>0</xdr:colOff>
      <xdr:row>56</xdr:row>
      <xdr:rowOff>0</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00"/>
  <sheetViews>
    <sheetView workbookViewId="0">
      <selection activeCell="A2" sqref="A2:N2"/>
    </sheetView>
  </sheetViews>
  <sheetFormatPr defaultRowHeight="14"/>
  <cols>
    <col min="1" max="1" width="28" customWidth="1"/>
    <col min="2" max="4" width="11" customWidth="1"/>
    <col min="5" max="5" width="4" customWidth="1"/>
    <col min="6" max="8" width="12" customWidth="1"/>
    <col min="9" max="9" width="4" customWidth="1"/>
    <col min="10" max="10" width="23" customWidth="1"/>
    <col min="11" max="11" width="10" customWidth="1"/>
    <col min="12" max="12" width="13" customWidth="1"/>
    <col min="13" max="13" width="22" customWidth="1"/>
    <col min="14" max="14" width="17" customWidth="1"/>
  </cols>
  <sheetData>
    <row r="1" spans="1:48" ht="18.649999999999999" customHeight="1">
      <c r="A1" s="27" t="s">
        <v>199</v>
      </c>
      <c r="B1" s="27"/>
      <c r="C1" s="27"/>
      <c r="D1" s="27"/>
      <c r="E1" s="27"/>
      <c r="F1" s="27"/>
      <c r="G1" s="27"/>
      <c r="H1" s="27"/>
      <c r="I1" s="27"/>
      <c r="J1" s="27"/>
      <c r="K1" s="27"/>
      <c r="L1" s="27"/>
      <c r="M1" s="27"/>
      <c r="N1" s="27"/>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spans="1:48" ht="20" customHeight="1">
      <c r="A2" s="28" t="s">
        <v>0</v>
      </c>
      <c r="B2" s="28"/>
      <c r="C2" s="28"/>
      <c r="D2" s="28"/>
      <c r="E2" s="28"/>
      <c r="F2" s="28"/>
      <c r="G2" s="28"/>
      <c r="H2" s="28"/>
      <c r="I2" s="28"/>
      <c r="J2" s="28"/>
      <c r="K2" s="28"/>
      <c r="L2" s="28"/>
      <c r="M2" s="28"/>
      <c r="N2" s="28"/>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row>
    <row r="3" spans="1:4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spans="1:48">
      <c r="A4" s="29" t="s">
        <v>1</v>
      </c>
      <c r="B4" s="29"/>
      <c r="C4" s="29"/>
      <c r="D4" s="29"/>
      <c r="E4" s="29"/>
      <c r="F4" s="29"/>
      <c r="G4" s="29"/>
      <c r="H4" s="29"/>
      <c r="I4" s="29"/>
      <c r="J4" s="29"/>
      <c r="K4" s="29"/>
      <c r="L4" s="29"/>
      <c r="M4" s="29"/>
      <c r="N4" s="29"/>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spans="1:48">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spans="1:48">
      <c r="A6" s="30" t="s">
        <v>2</v>
      </c>
      <c r="B6" s="31"/>
      <c r="C6" s="31"/>
      <c r="D6" s="32"/>
      <c r="E6" s="4"/>
      <c r="F6" s="39" t="s">
        <v>3</v>
      </c>
      <c r="G6" s="40"/>
      <c r="H6" s="40"/>
      <c r="I6" s="41"/>
      <c r="J6" s="4"/>
      <c r="K6" s="30" t="s">
        <v>4</v>
      </c>
      <c r="L6" s="31"/>
      <c r="M6" s="31"/>
      <c r="N6" s="32"/>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c r="A7" s="33"/>
      <c r="B7" s="34"/>
      <c r="C7" s="34"/>
      <c r="D7" s="35"/>
      <c r="E7" s="4"/>
      <c r="F7" s="42"/>
      <c r="G7" s="43"/>
      <c r="H7" s="43"/>
      <c r="I7" s="44"/>
      <c r="J7" s="4"/>
      <c r="K7" s="33"/>
      <c r="L7" s="34"/>
      <c r="M7" s="34"/>
      <c r="N7" s="35"/>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row>
    <row r="8" spans="1:48">
      <c r="A8" s="33"/>
      <c r="B8" s="34"/>
      <c r="C8" s="34"/>
      <c r="D8" s="35"/>
      <c r="E8" s="4"/>
      <c r="F8" s="42"/>
      <c r="G8" s="43"/>
      <c r="H8" s="43"/>
      <c r="I8" s="44"/>
      <c r="J8" s="4"/>
      <c r="K8" s="33"/>
      <c r="L8" s="34"/>
      <c r="M8" s="34"/>
      <c r="N8" s="35"/>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row>
    <row r="9" spans="1:48">
      <c r="A9" s="36"/>
      <c r="B9" s="37"/>
      <c r="C9" s="37"/>
      <c r="D9" s="38"/>
      <c r="E9" s="4"/>
      <c r="F9" s="45"/>
      <c r="G9" s="46"/>
      <c r="H9" s="46"/>
      <c r="I9" s="47"/>
      <c r="J9" s="4"/>
      <c r="K9" s="36"/>
      <c r="L9" s="37"/>
      <c r="M9" s="37"/>
      <c r="N9" s="38"/>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1:48">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1:48" ht="18.649999999999999" customHeight="1">
      <c r="A11" s="48" t="s">
        <v>5</v>
      </c>
      <c r="B11" s="49"/>
      <c r="C11" s="49"/>
      <c r="D11" s="50"/>
      <c r="E11" s="4"/>
      <c r="F11" s="57" t="s">
        <v>6</v>
      </c>
      <c r="G11" s="58"/>
      <c r="H11" s="58"/>
      <c r="I11" s="58"/>
      <c r="J11" s="58"/>
      <c r="K11" s="58"/>
      <c r="L11" s="58"/>
      <c r="M11" s="58"/>
      <c r="N11" s="59"/>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row>
    <row r="12" spans="1:48" ht="18.649999999999999" customHeight="1">
      <c r="A12" s="51"/>
      <c r="B12" s="52"/>
      <c r="C12" s="52"/>
      <c r="D12" s="53"/>
      <c r="E12" s="4"/>
      <c r="F12" s="60"/>
      <c r="G12" s="61"/>
      <c r="H12" s="61"/>
      <c r="I12" s="61"/>
      <c r="J12" s="61"/>
      <c r="K12" s="61"/>
      <c r="L12" s="61"/>
      <c r="M12" s="61"/>
      <c r="N12" s="62"/>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row>
    <row r="13" spans="1:48" ht="18.649999999999999" customHeight="1">
      <c r="A13" s="51"/>
      <c r="B13" s="52"/>
      <c r="C13" s="52"/>
      <c r="D13" s="53"/>
      <c r="E13" s="4"/>
      <c r="F13" s="60"/>
      <c r="G13" s="61"/>
      <c r="H13" s="61"/>
      <c r="I13" s="61"/>
      <c r="J13" s="61"/>
      <c r="K13" s="61"/>
      <c r="L13" s="61"/>
      <c r="M13" s="61"/>
      <c r="N13" s="62"/>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1:48" ht="18.649999999999999" customHeight="1">
      <c r="A14" s="54"/>
      <c r="B14" s="55"/>
      <c r="C14" s="55"/>
      <c r="D14" s="56"/>
      <c r="E14" s="4"/>
      <c r="F14" s="63"/>
      <c r="G14" s="64"/>
      <c r="H14" s="64"/>
      <c r="I14" s="64"/>
      <c r="J14" s="64"/>
      <c r="K14" s="64"/>
      <c r="L14" s="64"/>
      <c r="M14" s="64"/>
      <c r="N14" s="65"/>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c r="A17" s="29" t="s">
        <v>7</v>
      </c>
      <c r="B17" s="29"/>
      <c r="C17" s="29"/>
      <c r="D17" s="29"/>
      <c r="E17" s="29"/>
      <c r="F17" s="29"/>
      <c r="G17" s="29"/>
      <c r="H17" s="29"/>
      <c r="I17" s="29"/>
      <c r="J17" s="29"/>
      <c r="K17" s="29"/>
      <c r="L17" s="29"/>
      <c r="M17" s="29"/>
      <c r="N17" s="29"/>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ht="28">
      <c r="A19" s="1" t="s">
        <v>8</v>
      </c>
      <c r="B19" s="1" t="s">
        <v>9</v>
      </c>
      <c r="C19" s="1" t="s">
        <v>10</v>
      </c>
      <c r="D19" s="1" t="s">
        <v>11</v>
      </c>
      <c r="E19" s="1" t="s">
        <v>12</v>
      </c>
      <c r="F19" s="1" t="s">
        <v>13</v>
      </c>
      <c r="G19" s="1" t="s">
        <v>14</v>
      </c>
      <c r="H19" s="1" t="s">
        <v>15</v>
      </c>
      <c r="I19" s="4"/>
      <c r="J19" s="1" t="s">
        <v>16</v>
      </c>
      <c r="K19" s="1" t="s">
        <v>17</v>
      </c>
      <c r="L19" s="1" t="s">
        <v>18</v>
      </c>
      <c r="M19" s="1" t="s">
        <v>19</v>
      </c>
      <c r="N19" s="1" t="s">
        <v>20</v>
      </c>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ht="16" customHeight="1">
      <c r="A20" s="6" t="s">
        <v>21</v>
      </c>
      <c r="B20" s="4">
        <v>25</v>
      </c>
      <c r="C20" s="4">
        <v>29</v>
      </c>
      <c r="D20" s="4">
        <v>1</v>
      </c>
      <c r="E20" s="4">
        <v>71</v>
      </c>
      <c r="F20" s="5">
        <f>IFERROR(B20/(B20+E20),0)</f>
        <v>0.26041666666666669</v>
      </c>
      <c r="G20" s="5">
        <f>IFERROR(C20/(C20+D20),0)</f>
        <v>0.96666666666666667</v>
      </c>
      <c r="H20" s="5">
        <f>IFERROR(2*B20/(2*B20+D20+E20),0)</f>
        <v>0.4098360655737705</v>
      </c>
      <c r="I20" s="4"/>
      <c r="J20" s="6" t="s">
        <v>22</v>
      </c>
      <c r="K20" s="7">
        <v>0.5</v>
      </c>
      <c r="L20" s="7">
        <v>0.13</v>
      </c>
      <c r="M20" s="6" t="s">
        <v>23</v>
      </c>
      <c r="N20" s="6" t="s">
        <v>24</v>
      </c>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ht="16" customHeight="1">
      <c r="A21" s="6" t="s">
        <v>25</v>
      </c>
      <c r="B21" s="4">
        <v>35</v>
      </c>
      <c r="C21" s="4">
        <v>26</v>
      </c>
      <c r="D21" s="4">
        <v>4</v>
      </c>
      <c r="E21" s="4">
        <v>61</v>
      </c>
      <c r="F21" s="5">
        <f>IFERROR(B21/(B21+E21),0)</f>
        <v>0.36458333333333331</v>
      </c>
      <c r="G21" s="5">
        <f>IFERROR(C21/(C21+D21),0)</f>
        <v>0.8666666666666667</v>
      </c>
      <c r="H21" s="5">
        <f>IFERROR(2*B21/(2*B21+D21+E21),0)</f>
        <v>0.51851851851851849</v>
      </c>
      <c r="I21" s="4"/>
      <c r="J21" s="6" t="s">
        <v>26</v>
      </c>
      <c r="K21" s="7">
        <v>0.5</v>
      </c>
      <c r="L21" s="7">
        <v>0.42499999999999999</v>
      </c>
      <c r="M21" s="6" t="s">
        <v>27</v>
      </c>
      <c r="N21" s="6" t="s">
        <v>28</v>
      </c>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ht="16" customHeight="1">
      <c r="A22" s="24" t="s">
        <v>29</v>
      </c>
      <c r="B22" s="8">
        <v>46</v>
      </c>
      <c r="C22" s="8">
        <v>26</v>
      </c>
      <c r="D22" s="8">
        <v>4</v>
      </c>
      <c r="E22" s="8">
        <v>50</v>
      </c>
      <c r="F22" s="9">
        <f>IFERROR(B22/(B22+E22),0)</f>
        <v>0.47916666666666669</v>
      </c>
      <c r="G22" s="9">
        <f>IFERROR(C22/(C22+D22),0)</f>
        <v>0.8666666666666667</v>
      </c>
      <c r="H22" s="9">
        <f>IFERROR(2*B22/(2*B22+D22+E22),0)</f>
        <v>0.63013698630136983</v>
      </c>
      <c r="I22" s="4"/>
      <c r="J22" s="6" t="s">
        <v>30</v>
      </c>
      <c r="K22" s="7">
        <v>0.5</v>
      </c>
      <c r="L22" s="7">
        <v>0.46500000000000002</v>
      </c>
      <c r="M22" s="6" t="s">
        <v>31</v>
      </c>
      <c r="N22" s="6" t="s">
        <v>28</v>
      </c>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c r="A25" s="29" t="s">
        <v>32</v>
      </c>
      <c r="B25" s="29"/>
      <c r="C25" s="29"/>
      <c r="D25" s="29"/>
      <c r="E25" s="29"/>
      <c r="F25" s="29"/>
      <c r="G25" s="29"/>
      <c r="H25" s="29"/>
      <c r="I25" s="29"/>
      <c r="J25" s="29"/>
      <c r="K25" s="29"/>
      <c r="L25" s="29"/>
      <c r="M25" s="29"/>
      <c r="N25" s="29"/>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c r="A27" s="10" t="s">
        <v>33</v>
      </c>
      <c r="B27" s="66" t="s">
        <v>34</v>
      </c>
      <c r="C27" s="66"/>
      <c r="D27" s="66"/>
      <c r="E27" s="66"/>
      <c r="F27" s="66"/>
      <c r="G27" s="66"/>
      <c r="H27" s="66"/>
      <c r="I27" s="66"/>
      <c r="J27" s="66"/>
      <c r="K27" s="66"/>
      <c r="L27" s="66"/>
      <c r="M27" s="66"/>
      <c r="N27" s="66"/>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c r="A28" s="10" t="s">
        <v>35</v>
      </c>
      <c r="B28" s="66" t="s">
        <v>36</v>
      </c>
      <c r="C28" s="66"/>
      <c r="D28" s="66"/>
      <c r="E28" s="66"/>
      <c r="F28" s="66"/>
      <c r="G28" s="66"/>
      <c r="H28" s="66"/>
      <c r="I28" s="66"/>
      <c r="J28" s="66"/>
      <c r="K28" s="66"/>
      <c r="L28" s="66"/>
      <c r="M28" s="66"/>
      <c r="N28" s="66"/>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c r="A29" s="10" t="s">
        <v>37</v>
      </c>
      <c r="B29" s="66" t="s">
        <v>38</v>
      </c>
      <c r="C29" s="66"/>
      <c r="D29" s="66"/>
      <c r="E29" s="66"/>
      <c r="F29" s="66"/>
      <c r="G29" s="66"/>
      <c r="H29" s="66"/>
      <c r="I29" s="66"/>
      <c r="J29" s="66"/>
      <c r="K29" s="66"/>
      <c r="L29" s="66"/>
      <c r="M29" s="66"/>
      <c r="N29" s="66"/>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c r="A30" s="10" t="s">
        <v>39</v>
      </c>
      <c r="B30" s="66" t="s">
        <v>40</v>
      </c>
      <c r="C30" s="66"/>
      <c r="D30" s="66"/>
      <c r="E30" s="66"/>
      <c r="F30" s="66"/>
      <c r="G30" s="66"/>
      <c r="H30" s="66"/>
      <c r="I30" s="66"/>
      <c r="J30" s="66"/>
      <c r="K30" s="66"/>
      <c r="L30" s="66"/>
      <c r="M30" s="66"/>
      <c r="N30" s="66"/>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c r="A31" s="10" t="s">
        <v>41</v>
      </c>
      <c r="B31" s="66" t="s">
        <v>42</v>
      </c>
      <c r="C31" s="66"/>
      <c r="D31" s="66"/>
      <c r="E31" s="66"/>
      <c r="F31" s="66"/>
      <c r="G31" s="66"/>
      <c r="H31" s="66"/>
      <c r="I31" s="66"/>
      <c r="J31" s="66"/>
      <c r="K31" s="66"/>
      <c r="L31" s="66"/>
      <c r="M31" s="66"/>
      <c r="N31" s="66"/>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c r="A34" s="29" t="s">
        <v>43</v>
      </c>
      <c r="B34" s="29"/>
      <c r="C34" s="29"/>
      <c r="D34" s="29"/>
      <c r="E34" s="29"/>
      <c r="F34" s="29"/>
      <c r="G34" s="29"/>
      <c r="H34" s="29"/>
      <c r="I34" s="29"/>
      <c r="J34" s="29"/>
      <c r="K34" s="29"/>
      <c r="L34" s="29"/>
      <c r="M34" s="29"/>
      <c r="N34" s="29"/>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ht="16" customHeight="1">
      <c r="A35" s="67" t="s">
        <v>44</v>
      </c>
      <c r="B35" s="67"/>
      <c r="C35" s="67"/>
      <c r="D35" s="67"/>
      <c r="E35" s="67"/>
      <c r="F35" s="67"/>
      <c r="G35" s="67"/>
      <c r="H35" s="67"/>
      <c r="I35" s="67"/>
      <c r="J35" s="67"/>
      <c r="K35" s="67"/>
      <c r="L35" s="67"/>
      <c r="M35" s="67"/>
      <c r="N35" s="67"/>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ht="16" customHeight="1">
      <c r="A36" s="67"/>
      <c r="B36" s="67"/>
      <c r="C36" s="67"/>
      <c r="D36" s="67"/>
      <c r="E36" s="67"/>
      <c r="F36" s="67"/>
      <c r="G36" s="67"/>
      <c r="H36" s="67"/>
      <c r="I36" s="67"/>
      <c r="J36" s="67"/>
      <c r="K36" s="67"/>
      <c r="L36" s="67"/>
      <c r="M36" s="67"/>
      <c r="N36" s="67"/>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ht="16" customHeight="1">
      <c r="A37" s="67"/>
      <c r="B37" s="67"/>
      <c r="C37" s="67"/>
      <c r="D37" s="67"/>
      <c r="E37" s="67"/>
      <c r="F37" s="67"/>
      <c r="G37" s="67"/>
      <c r="H37" s="67"/>
      <c r="I37" s="67"/>
      <c r="J37" s="67"/>
      <c r="K37" s="67"/>
      <c r="L37" s="67"/>
      <c r="M37" s="67"/>
      <c r="N37" s="67"/>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row>
  </sheetData>
  <mergeCells count="17">
    <mergeCell ref="A35:N37"/>
    <mergeCell ref="B28:N28"/>
    <mergeCell ref="B29:N29"/>
    <mergeCell ref="B30:N30"/>
    <mergeCell ref="B31:N31"/>
    <mergeCell ref="A34:N34"/>
    <mergeCell ref="A11:D14"/>
    <mergeCell ref="F11:N14"/>
    <mergeCell ref="A17:N17"/>
    <mergeCell ref="A25:N25"/>
    <mergeCell ref="B27:N27"/>
    <mergeCell ref="A1:N1"/>
    <mergeCell ref="A2:N2"/>
    <mergeCell ref="A4:N4"/>
    <mergeCell ref="A6:D9"/>
    <mergeCell ref="F6:I9"/>
    <mergeCell ref="K6:N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0"/>
  <sheetViews>
    <sheetView workbookViewId="0">
      <selection sqref="A1:V1"/>
    </sheetView>
  </sheetViews>
  <sheetFormatPr defaultRowHeight="14"/>
  <cols>
    <col min="1" max="1" width="24" customWidth="1"/>
    <col min="2" max="5" width="9" customWidth="1"/>
    <col min="6" max="6" width="12" customWidth="1"/>
    <col min="7" max="7" width="11" customWidth="1"/>
    <col min="8" max="8" width="12" customWidth="1"/>
    <col min="9" max="9" width="10" customWidth="1"/>
    <col min="10" max="13" width="9" customWidth="1"/>
    <col min="14" max="14" width="12" customWidth="1"/>
    <col min="15" max="15" width="11" customWidth="1"/>
    <col min="16" max="16" width="12" customWidth="1"/>
    <col min="17" max="18" width="10" customWidth="1"/>
    <col min="19" max="20" width="11" customWidth="1"/>
    <col min="21" max="21" width="12" customWidth="1"/>
    <col min="22" max="22" width="10" customWidth="1"/>
  </cols>
  <sheetData>
    <row r="1" spans="1:48" ht="18.649999999999999" customHeight="1">
      <c r="A1" s="27" t="s">
        <v>45</v>
      </c>
      <c r="B1" s="27"/>
      <c r="C1" s="27"/>
      <c r="D1" s="27"/>
      <c r="E1" s="27"/>
      <c r="F1" s="27"/>
      <c r="G1" s="27"/>
      <c r="H1" s="27"/>
      <c r="I1" s="27"/>
      <c r="J1" s="27"/>
      <c r="K1" s="27"/>
      <c r="L1" s="27"/>
      <c r="M1" s="27"/>
      <c r="N1" s="27"/>
      <c r="O1" s="27"/>
      <c r="P1" s="27"/>
      <c r="Q1" s="27"/>
      <c r="R1" s="27"/>
      <c r="S1" s="27"/>
      <c r="T1" s="27"/>
      <c r="U1" s="27"/>
      <c r="V1" s="27"/>
      <c r="W1" s="4"/>
      <c r="X1" s="4"/>
      <c r="Y1" s="4"/>
      <c r="Z1" s="4"/>
      <c r="AA1" s="4"/>
      <c r="AB1" s="4"/>
      <c r="AC1" s="4"/>
      <c r="AD1" s="4"/>
      <c r="AE1" s="4"/>
      <c r="AF1" s="4"/>
      <c r="AG1" s="4"/>
      <c r="AH1" s="4"/>
      <c r="AI1" s="4"/>
      <c r="AJ1" s="4"/>
      <c r="AK1" s="4"/>
      <c r="AL1" s="4"/>
      <c r="AM1" s="4"/>
      <c r="AN1" s="4"/>
      <c r="AO1" s="4"/>
      <c r="AP1" s="4"/>
      <c r="AQ1" s="4"/>
      <c r="AR1" s="4"/>
      <c r="AS1" s="4"/>
      <c r="AT1" s="4"/>
      <c r="AU1" s="4"/>
      <c r="AV1" s="4"/>
    </row>
    <row r="2" spans="1:48" ht="20" customHeight="1">
      <c r="A2" s="28" t="s">
        <v>46</v>
      </c>
      <c r="B2" s="28"/>
      <c r="C2" s="28"/>
      <c r="D2" s="28"/>
      <c r="E2" s="28"/>
      <c r="F2" s="28"/>
      <c r="G2" s="28"/>
      <c r="H2" s="28"/>
      <c r="I2" s="28"/>
      <c r="J2" s="28"/>
      <c r="K2" s="28"/>
      <c r="L2" s="28"/>
      <c r="M2" s="28"/>
      <c r="N2" s="28"/>
      <c r="O2" s="28"/>
      <c r="P2" s="28"/>
      <c r="Q2" s="28"/>
      <c r="R2" s="28"/>
      <c r="S2" s="28"/>
      <c r="T2" s="28"/>
      <c r="U2" s="28"/>
      <c r="V2" s="28"/>
      <c r="W2" s="4"/>
      <c r="X2" s="4"/>
      <c r="Y2" s="4"/>
      <c r="Z2" s="4"/>
      <c r="AA2" s="4"/>
      <c r="AB2" s="4"/>
      <c r="AC2" s="4"/>
      <c r="AD2" s="4"/>
      <c r="AE2" s="4"/>
      <c r="AF2" s="4"/>
      <c r="AG2" s="4"/>
      <c r="AH2" s="4"/>
      <c r="AI2" s="4"/>
      <c r="AJ2" s="4"/>
      <c r="AK2" s="4"/>
      <c r="AL2" s="4"/>
      <c r="AM2" s="4"/>
      <c r="AN2" s="4"/>
      <c r="AO2" s="4"/>
      <c r="AP2" s="4"/>
      <c r="AQ2" s="4"/>
      <c r="AR2" s="4"/>
      <c r="AS2" s="4"/>
      <c r="AT2" s="4"/>
      <c r="AU2" s="4"/>
      <c r="AV2" s="4"/>
    </row>
    <row r="3" spans="1:4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spans="1:48" ht="28">
      <c r="A4" s="1" t="s">
        <v>16</v>
      </c>
      <c r="B4" s="1" t="s">
        <v>47</v>
      </c>
      <c r="C4" s="1" t="s">
        <v>48</v>
      </c>
      <c r="D4" s="1" t="s">
        <v>49</v>
      </c>
      <c r="E4" s="1" t="s">
        <v>50</v>
      </c>
      <c r="F4" s="1" t="s">
        <v>51</v>
      </c>
      <c r="G4" s="1" t="s">
        <v>52</v>
      </c>
      <c r="H4" s="1" t="s">
        <v>53</v>
      </c>
      <c r="I4" s="1" t="s">
        <v>54</v>
      </c>
      <c r="J4" s="1" t="s">
        <v>55</v>
      </c>
      <c r="K4" s="1" t="s">
        <v>56</v>
      </c>
      <c r="L4" s="1" t="s">
        <v>57</v>
      </c>
      <c r="M4" s="1" t="s">
        <v>58</v>
      </c>
      <c r="N4" s="1" t="s">
        <v>59</v>
      </c>
      <c r="O4" s="1" t="s">
        <v>60</v>
      </c>
      <c r="P4" s="1" t="s">
        <v>61</v>
      </c>
      <c r="Q4" s="1" t="s">
        <v>62</v>
      </c>
      <c r="R4" s="1" t="s">
        <v>63</v>
      </c>
      <c r="S4" s="1" t="s">
        <v>64</v>
      </c>
      <c r="T4" s="1" t="s">
        <v>65</v>
      </c>
      <c r="U4" s="1" t="s">
        <v>66</v>
      </c>
      <c r="V4" s="1" t="s">
        <v>67</v>
      </c>
      <c r="W4" s="4"/>
      <c r="X4" s="4"/>
      <c r="Y4" s="4"/>
      <c r="Z4" s="4"/>
      <c r="AA4" s="4"/>
      <c r="AB4" s="4"/>
      <c r="AC4" s="4"/>
      <c r="AD4" s="4"/>
      <c r="AE4" s="4"/>
      <c r="AF4" s="4"/>
      <c r="AG4" s="4"/>
      <c r="AH4" s="4"/>
      <c r="AI4" s="4"/>
      <c r="AJ4" s="4"/>
      <c r="AK4" s="4"/>
      <c r="AL4" s="4"/>
      <c r="AM4" s="4"/>
      <c r="AN4" s="4"/>
      <c r="AO4" s="4"/>
      <c r="AP4" s="4"/>
      <c r="AQ4" s="4"/>
      <c r="AR4" s="4"/>
      <c r="AS4" s="4"/>
      <c r="AT4" s="4"/>
      <c r="AU4" s="4"/>
      <c r="AV4" s="4"/>
    </row>
    <row r="5" spans="1:48">
      <c r="A5" s="6" t="s">
        <v>22</v>
      </c>
      <c r="B5" s="6">
        <v>7</v>
      </c>
      <c r="C5" s="6">
        <v>10</v>
      </c>
      <c r="D5" s="6">
        <v>0</v>
      </c>
      <c r="E5" s="6">
        <v>25</v>
      </c>
      <c r="F5" s="11">
        <f>IFERROR((B5+C5)/SUM(B5:E5),0)</f>
        <v>0.40476190476190477</v>
      </c>
      <c r="G5" s="11">
        <f>IFERROR(B5/(B5+E5),0)</f>
        <v>0.21875</v>
      </c>
      <c r="H5" s="11">
        <f>IFERROR(C5/(C5+D5),0)</f>
        <v>1</v>
      </c>
      <c r="I5" s="11">
        <f>IFERROR(2*B5/(2*B5+D5+E5),0)</f>
        <v>0.35897435897435898</v>
      </c>
      <c r="J5" s="6">
        <v>6</v>
      </c>
      <c r="K5" s="6">
        <v>10</v>
      </c>
      <c r="L5" s="6">
        <v>0</v>
      </c>
      <c r="M5" s="6">
        <v>26</v>
      </c>
      <c r="N5" s="11">
        <f>IFERROR((J5+K5)/SUM(J5:M5),0)</f>
        <v>0.38095238095238093</v>
      </c>
      <c r="O5" s="11">
        <f>IFERROR(J5/(J5+M5),0)</f>
        <v>0.1875</v>
      </c>
      <c r="P5" s="11">
        <f>IFERROR(K5/(K5+L5),0)</f>
        <v>1</v>
      </c>
      <c r="Q5" s="11">
        <f>IFERROR(2*J5/(2*J5+L5+M5),0)</f>
        <v>0.31578947368421051</v>
      </c>
      <c r="R5" s="7">
        <v>0.6796875</v>
      </c>
      <c r="S5" s="12">
        <f t="shared" ref="S5:V8" si="0">N5-F5</f>
        <v>-2.3809523809523836E-2</v>
      </c>
      <c r="T5" s="12">
        <f t="shared" si="0"/>
        <v>-3.125E-2</v>
      </c>
      <c r="U5" s="12">
        <f t="shared" si="0"/>
        <v>0</v>
      </c>
      <c r="V5" s="12">
        <f t="shared" si="0"/>
        <v>-4.3184885290148467E-2</v>
      </c>
      <c r="W5" s="4"/>
      <c r="X5" s="4"/>
      <c r="Y5" s="4"/>
      <c r="Z5" s="4"/>
      <c r="AA5" s="4"/>
      <c r="AB5" s="4"/>
      <c r="AC5" s="4"/>
      <c r="AD5" s="4"/>
      <c r="AE5" s="4"/>
      <c r="AF5" s="4"/>
      <c r="AG5" s="4"/>
      <c r="AH5" s="4"/>
      <c r="AI5" s="4"/>
      <c r="AJ5" s="4"/>
      <c r="AK5" s="4"/>
      <c r="AL5" s="4"/>
      <c r="AM5" s="4"/>
      <c r="AN5" s="4"/>
      <c r="AO5" s="4"/>
      <c r="AP5" s="4"/>
      <c r="AQ5" s="4"/>
      <c r="AR5" s="4"/>
      <c r="AS5" s="4"/>
      <c r="AT5" s="4"/>
      <c r="AU5" s="4"/>
      <c r="AV5" s="4"/>
    </row>
    <row r="6" spans="1:48">
      <c r="A6" s="6" t="s">
        <v>26</v>
      </c>
      <c r="B6" s="6">
        <v>8</v>
      </c>
      <c r="C6" s="6">
        <v>10</v>
      </c>
      <c r="D6" s="6">
        <v>0</v>
      </c>
      <c r="E6" s="6">
        <v>24</v>
      </c>
      <c r="F6" s="11">
        <f>IFERROR((B6+C6)/SUM(B6:E6),0)</f>
        <v>0.42857142857142855</v>
      </c>
      <c r="G6" s="11">
        <f>IFERROR(B6/(B6+E6),0)</f>
        <v>0.25</v>
      </c>
      <c r="H6" s="11">
        <f>IFERROR(C6/(C6+D6),0)</f>
        <v>1</v>
      </c>
      <c r="I6" s="11">
        <f>IFERROR(2*B6/(2*B6+D6+E6),0)</f>
        <v>0.4</v>
      </c>
      <c r="J6" s="6">
        <v>11</v>
      </c>
      <c r="K6" s="6">
        <v>9</v>
      </c>
      <c r="L6" s="6">
        <v>1</v>
      </c>
      <c r="M6" s="6">
        <v>21</v>
      </c>
      <c r="N6" s="11">
        <f>IFERROR((J6+K6)/SUM(J6:M6),0)</f>
        <v>0.47619047619047616</v>
      </c>
      <c r="O6" s="11">
        <f>IFERROR(J6/(J6+M6),0)</f>
        <v>0.34375</v>
      </c>
      <c r="P6" s="11">
        <f>IFERROR(K6/(K6+L6),0)</f>
        <v>0.9</v>
      </c>
      <c r="Q6" s="11">
        <f>IFERROR(2*J6/(2*J6+L6+M6),0)</f>
        <v>0.5</v>
      </c>
      <c r="R6" s="7">
        <v>0.671875</v>
      </c>
      <c r="S6" s="12">
        <f t="shared" si="0"/>
        <v>4.7619047619047616E-2</v>
      </c>
      <c r="T6" s="12">
        <f t="shared" si="0"/>
        <v>9.375E-2</v>
      </c>
      <c r="U6" s="12">
        <f t="shared" si="0"/>
        <v>-9.9999999999999978E-2</v>
      </c>
      <c r="V6" s="12">
        <f t="shared" si="0"/>
        <v>9.9999999999999978E-2</v>
      </c>
      <c r="W6" s="4"/>
      <c r="X6" s="4"/>
      <c r="Y6" s="4"/>
      <c r="Z6" s="4"/>
      <c r="AA6" s="4"/>
      <c r="AB6" s="4"/>
      <c r="AC6" s="4"/>
      <c r="AD6" s="4"/>
      <c r="AE6" s="4"/>
      <c r="AF6" s="4"/>
      <c r="AG6" s="4"/>
      <c r="AH6" s="4"/>
      <c r="AI6" s="4"/>
      <c r="AJ6" s="4"/>
      <c r="AK6" s="4"/>
      <c r="AL6" s="4"/>
      <c r="AM6" s="4"/>
      <c r="AN6" s="4"/>
      <c r="AO6" s="4"/>
      <c r="AP6" s="4"/>
      <c r="AQ6" s="4"/>
      <c r="AR6" s="4"/>
      <c r="AS6" s="4"/>
      <c r="AT6" s="4"/>
      <c r="AU6" s="4"/>
      <c r="AV6" s="4"/>
    </row>
    <row r="7" spans="1:48">
      <c r="A7" s="6" t="s">
        <v>30</v>
      </c>
      <c r="B7" s="6">
        <v>10</v>
      </c>
      <c r="C7" s="6">
        <v>9</v>
      </c>
      <c r="D7" s="6">
        <v>1</v>
      </c>
      <c r="E7" s="6">
        <v>22</v>
      </c>
      <c r="F7" s="11">
        <f>IFERROR((B7+C7)/SUM(B7:E7),0)</f>
        <v>0.45238095238095238</v>
      </c>
      <c r="G7" s="11">
        <f>IFERROR(B7/(B7+E7),0)</f>
        <v>0.3125</v>
      </c>
      <c r="H7" s="11">
        <f>IFERROR(C7/(C7+D7),0)</f>
        <v>0.9</v>
      </c>
      <c r="I7" s="11">
        <f>IFERROR(2*B7/(2*B7+D7+E7),0)</f>
        <v>0.46511627906976744</v>
      </c>
      <c r="J7" s="6">
        <v>18</v>
      </c>
      <c r="K7" s="6">
        <v>7</v>
      </c>
      <c r="L7" s="6">
        <v>3</v>
      </c>
      <c r="M7" s="6">
        <v>14</v>
      </c>
      <c r="N7" s="11">
        <f>IFERROR((J7+K7)/SUM(J7:M7),0)</f>
        <v>0.59523809523809523</v>
      </c>
      <c r="O7" s="11">
        <f>IFERROR(J7/(J7+M7),0)</f>
        <v>0.5625</v>
      </c>
      <c r="P7" s="11">
        <f>IFERROR(K7/(K7+L7),0)</f>
        <v>0.7</v>
      </c>
      <c r="Q7" s="11">
        <f>IFERROR(2*J7/(2*J7+L7+M7),0)</f>
        <v>0.67924528301886788</v>
      </c>
      <c r="R7" s="7">
        <v>0.5859375</v>
      </c>
      <c r="S7" s="12">
        <f t="shared" si="0"/>
        <v>0.14285714285714285</v>
      </c>
      <c r="T7" s="12">
        <f t="shared" si="0"/>
        <v>0.25</v>
      </c>
      <c r="U7" s="12">
        <f t="shared" si="0"/>
        <v>-0.20000000000000007</v>
      </c>
      <c r="V7" s="12">
        <f t="shared" si="0"/>
        <v>0.21412900394910045</v>
      </c>
      <c r="W7" s="4"/>
      <c r="X7" s="4"/>
      <c r="Y7" s="4"/>
      <c r="Z7" s="4"/>
      <c r="AA7" s="4"/>
      <c r="AB7" s="4"/>
      <c r="AC7" s="4"/>
      <c r="AD7" s="4"/>
      <c r="AE7" s="4"/>
      <c r="AF7" s="4"/>
      <c r="AG7" s="4"/>
      <c r="AH7" s="4"/>
      <c r="AI7" s="4"/>
      <c r="AJ7" s="4"/>
      <c r="AK7" s="4"/>
      <c r="AL7" s="4"/>
      <c r="AM7" s="4"/>
      <c r="AN7" s="4"/>
      <c r="AO7" s="4"/>
      <c r="AP7" s="4"/>
      <c r="AQ7" s="4"/>
      <c r="AR7" s="4"/>
      <c r="AS7" s="4"/>
      <c r="AT7" s="4"/>
      <c r="AU7" s="4"/>
      <c r="AV7" s="4"/>
    </row>
    <row r="8" spans="1:48">
      <c r="A8" s="3" t="s">
        <v>68</v>
      </c>
      <c r="B8" s="3">
        <v>25</v>
      </c>
      <c r="C8" s="3">
        <v>29</v>
      </c>
      <c r="D8" s="3">
        <v>1</v>
      </c>
      <c r="E8" s="3">
        <v>71</v>
      </c>
      <c r="F8" s="13">
        <f>IFERROR((B8+C8)/SUM(B8:E8),0)</f>
        <v>0.42857142857142855</v>
      </c>
      <c r="G8" s="13">
        <f>IFERROR(B8/(B8+E8),0)</f>
        <v>0.26041666666666669</v>
      </c>
      <c r="H8" s="13">
        <f>IFERROR(C8/(C8+D8),0)</f>
        <v>0.96666666666666667</v>
      </c>
      <c r="I8" s="13">
        <f>IFERROR(2*B8/(2*B8+D8+E8),0)</f>
        <v>0.4098360655737705</v>
      </c>
      <c r="J8" s="3">
        <v>35</v>
      </c>
      <c r="K8" s="3">
        <v>26</v>
      </c>
      <c r="L8" s="3">
        <v>4</v>
      </c>
      <c r="M8" s="3">
        <v>61</v>
      </c>
      <c r="N8" s="13">
        <f>IFERROR((J8+K8)/SUM(J8:M8),0)</f>
        <v>0.48412698412698413</v>
      </c>
      <c r="O8" s="13">
        <f>IFERROR(J8/(J8+M8),0)</f>
        <v>0.36458333333333331</v>
      </c>
      <c r="P8" s="13">
        <f>IFERROR(K8/(K8+L8),0)</f>
        <v>0.8666666666666667</v>
      </c>
      <c r="Q8" s="13">
        <f>IFERROR(2*J8/(2*J8+L8+M8),0)</f>
        <v>0.51851851851851849</v>
      </c>
      <c r="R8" s="13"/>
      <c r="S8" s="14">
        <f t="shared" si="0"/>
        <v>5.555555555555558E-2</v>
      </c>
      <c r="T8" s="14">
        <f t="shared" si="0"/>
        <v>0.10416666666666663</v>
      </c>
      <c r="U8" s="14">
        <f t="shared" si="0"/>
        <v>-9.9999999999999978E-2</v>
      </c>
      <c r="V8" s="14">
        <f t="shared" si="0"/>
        <v>0.10868245294474799</v>
      </c>
      <c r="W8" s="4"/>
      <c r="X8" s="4"/>
      <c r="Y8" s="4"/>
      <c r="Z8" s="4"/>
      <c r="AA8" s="4"/>
      <c r="AB8" s="4"/>
      <c r="AC8" s="4"/>
      <c r="AD8" s="4"/>
      <c r="AE8" s="4"/>
      <c r="AF8" s="4"/>
      <c r="AG8" s="4"/>
      <c r="AH8" s="4"/>
      <c r="AI8" s="4"/>
      <c r="AJ8" s="4"/>
      <c r="AK8" s="4"/>
      <c r="AL8" s="4"/>
      <c r="AM8" s="4"/>
      <c r="AN8" s="4"/>
      <c r="AO8" s="4"/>
      <c r="AP8" s="4"/>
      <c r="AQ8" s="4"/>
      <c r="AR8" s="4"/>
      <c r="AS8" s="4"/>
      <c r="AT8" s="4"/>
      <c r="AU8" s="4"/>
      <c r="AV8" s="4"/>
    </row>
    <row r="9" spans="1:48">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1:48">
      <c r="A10" s="29" t="s">
        <v>69</v>
      </c>
      <c r="B10" s="29"/>
      <c r="C10" s="29"/>
      <c r="D10" s="29"/>
      <c r="E10" s="29"/>
      <c r="F10" s="29"/>
      <c r="G10" s="29"/>
      <c r="H10" s="29"/>
      <c r="I10" s="29"/>
      <c r="J10" s="29"/>
      <c r="K10" s="29"/>
      <c r="L10" s="29"/>
      <c r="M10" s="29"/>
      <c r="N10" s="29"/>
      <c r="O10" s="29"/>
      <c r="P10" s="29"/>
      <c r="Q10" s="29"/>
      <c r="R10" s="29"/>
      <c r="S10" s="29"/>
      <c r="T10" s="29"/>
      <c r="U10" s="29"/>
      <c r="V10" s="29"/>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1:48">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row>
    <row r="12" spans="1:48" ht="28">
      <c r="A12" s="10" t="s">
        <v>70</v>
      </c>
      <c r="B12" s="66" t="s">
        <v>71</v>
      </c>
      <c r="C12" s="68"/>
      <c r="D12" s="68"/>
      <c r="E12" s="68"/>
      <c r="F12" s="68"/>
      <c r="G12" s="68"/>
      <c r="H12" s="68"/>
      <c r="I12" s="68"/>
      <c r="J12" s="68"/>
      <c r="K12" s="68"/>
      <c r="L12" s="68"/>
      <c r="M12" s="68"/>
      <c r="N12" s="68"/>
      <c r="O12" s="68"/>
      <c r="P12" s="68"/>
      <c r="Q12" s="68"/>
      <c r="R12" s="68"/>
      <c r="S12" s="68"/>
      <c r="T12" s="68"/>
      <c r="U12" s="68"/>
      <c r="V12" s="68"/>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row>
    <row r="13" spans="1:48" ht="42">
      <c r="A13" s="10" t="s">
        <v>72</v>
      </c>
      <c r="B13" s="66" t="s">
        <v>73</v>
      </c>
      <c r="C13" s="68"/>
      <c r="D13" s="68"/>
      <c r="E13" s="68"/>
      <c r="F13" s="68"/>
      <c r="G13" s="68"/>
      <c r="H13" s="68"/>
      <c r="I13" s="68"/>
      <c r="J13" s="68"/>
      <c r="K13" s="68"/>
      <c r="L13" s="68"/>
      <c r="M13" s="68"/>
      <c r="N13" s="68"/>
      <c r="O13" s="68"/>
      <c r="P13" s="68"/>
      <c r="Q13" s="68"/>
      <c r="R13" s="68"/>
      <c r="S13" s="68"/>
      <c r="T13" s="68"/>
      <c r="U13" s="68"/>
      <c r="V13" s="68"/>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1:48" ht="28">
      <c r="A14" s="10" t="s">
        <v>74</v>
      </c>
      <c r="B14" s="66" t="s">
        <v>75</v>
      </c>
      <c r="C14" s="68"/>
      <c r="D14" s="68"/>
      <c r="E14" s="68"/>
      <c r="F14" s="68"/>
      <c r="G14" s="68"/>
      <c r="H14" s="68"/>
      <c r="I14" s="68"/>
      <c r="J14" s="68"/>
      <c r="K14" s="68"/>
      <c r="L14" s="68"/>
      <c r="M14" s="68"/>
      <c r="N14" s="68"/>
      <c r="O14" s="68"/>
      <c r="P14" s="68"/>
      <c r="Q14" s="68"/>
      <c r="R14" s="68"/>
      <c r="S14" s="68"/>
      <c r="T14" s="68"/>
      <c r="U14" s="68"/>
      <c r="V14" s="68"/>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c r="A15" s="10" t="s">
        <v>76</v>
      </c>
      <c r="B15" s="66" t="s">
        <v>77</v>
      </c>
      <c r="C15" s="68"/>
      <c r="D15" s="68"/>
      <c r="E15" s="68"/>
      <c r="F15" s="68"/>
      <c r="G15" s="68"/>
      <c r="H15" s="68"/>
      <c r="I15" s="68"/>
      <c r="J15" s="68"/>
      <c r="K15" s="68"/>
      <c r="L15" s="68"/>
      <c r="M15" s="68"/>
      <c r="N15" s="68"/>
      <c r="O15" s="68"/>
      <c r="P15" s="68"/>
      <c r="Q15" s="68"/>
      <c r="R15" s="68"/>
      <c r="S15" s="68"/>
      <c r="T15" s="68"/>
      <c r="U15" s="68"/>
      <c r="V15" s="68"/>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row>
  </sheetData>
  <mergeCells count="7">
    <mergeCell ref="B14:V14"/>
    <mergeCell ref="B15:V15"/>
    <mergeCell ref="A1:V1"/>
    <mergeCell ref="A2:V2"/>
    <mergeCell ref="A10:V10"/>
    <mergeCell ref="B12:V12"/>
    <mergeCell ref="B13:V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100"/>
  <sheetViews>
    <sheetView topLeftCell="A11" workbookViewId="0">
      <selection activeCell="B5" sqref="B5"/>
    </sheetView>
  </sheetViews>
  <sheetFormatPr defaultRowHeight="14"/>
  <cols>
    <col min="1" max="1" width="24" customWidth="1"/>
    <col min="2" max="2" width="31" customWidth="1"/>
    <col min="3" max="3" width="9" customWidth="1"/>
    <col min="4" max="7" width="8" customWidth="1"/>
    <col min="8" max="9" width="11" customWidth="1"/>
    <col min="10" max="10" width="12" customWidth="1"/>
    <col min="11" max="11" width="10" customWidth="1"/>
    <col min="12" max="12" width="14" customWidth="1"/>
    <col min="13" max="13" width="10" customWidth="1"/>
  </cols>
  <sheetData>
    <row r="1" spans="1:48" ht="18.649999999999999" customHeight="1">
      <c r="A1" s="27" t="s">
        <v>78</v>
      </c>
      <c r="B1" s="27"/>
      <c r="C1" s="27"/>
      <c r="D1" s="27"/>
      <c r="E1" s="27"/>
      <c r="F1" s="27"/>
      <c r="G1" s="27"/>
      <c r="H1" s="27"/>
      <c r="I1" s="27"/>
      <c r="J1" s="27"/>
      <c r="K1" s="27"/>
      <c r="L1" s="27"/>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spans="1:48" ht="20" customHeight="1">
      <c r="A2" s="28" t="s">
        <v>79</v>
      </c>
      <c r="B2" s="28"/>
      <c r="C2" s="28"/>
      <c r="D2" s="28"/>
      <c r="E2" s="28"/>
      <c r="F2" s="28"/>
      <c r="G2" s="28"/>
      <c r="H2" s="28"/>
      <c r="I2" s="28"/>
      <c r="J2" s="28"/>
      <c r="K2" s="28"/>
      <c r="L2" s="2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row>
    <row r="3" spans="1:4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spans="1:48" ht="28">
      <c r="A4" s="1" t="s">
        <v>16</v>
      </c>
      <c r="B4" s="1" t="s">
        <v>80</v>
      </c>
      <c r="C4" s="1" t="s">
        <v>81</v>
      </c>
      <c r="D4" s="1" t="s">
        <v>9</v>
      </c>
      <c r="E4" s="1" t="s">
        <v>10</v>
      </c>
      <c r="F4" s="1" t="s">
        <v>11</v>
      </c>
      <c r="G4" s="1" t="s">
        <v>12</v>
      </c>
      <c r="H4" s="1" t="s">
        <v>82</v>
      </c>
      <c r="I4" s="1" t="s">
        <v>13</v>
      </c>
      <c r="J4" s="1" t="s">
        <v>14</v>
      </c>
      <c r="K4" s="1" t="s">
        <v>15</v>
      </c>
      <c r="L4" s="1" t="s">
        <v>83</v>
      </c>
      <c r="M4" s="1" t="s">
        <v>84</v>
      </c>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spans="1:48">
      <c r="A5" s="4" t="s">
        <v>22</v>
      </c>
      <c r="B5" s="4" t="s">
        <v>85</v>
      </c>
      <c r="C5" s="4">
        <v>21</v>
      </c>
      <c r="D5" s="4">
        <v>0</v>
      </c>
      <c r="E5" s="4">
        <v>5</v>
      </c>
      <c r="F5" s="4">
        <v>0</v>
      </c>
      <c r="G5" s="4">
        <v>16</v>
      </c>
      <c r="H5" s="5">
        <f t="shared" ref="H5:H13" si="0">IFERROR((D5+E5)/C5,0)</f>
        <v>0.23809523809523808</v>
      </c>
      <c r="I5" s="5">
        <f t="shared" ref="I5:I13" si="1">IFERROR(D5/(D5+G5),0)</f>
        <v>0</v>
      </c>
      <c r="J5" s="5">
        <f t="shared" ref="J5:J13" si="2">IFERROR(E5/(E5+F5),0)</f>
        <v>1</v>
      </c>
      <c r="K5" s="5">
        <f t="shared" ref="K5:K13" si="3">IFERROR(2*D5/(2*D5+F5+G5),0)</f>
        <v>0</v>
      </c>
      <c r="L5" s="5">
        <f t="shared" ref="L5:L13" si="4">(I5+J5)/2</f>
        <v>0.5</v>
      </c>
      <c r="M5" s="15">
        <v>0.43125000000000002</v>
      </c>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spans="1:48">
      <c r="A6" s="4" t="s">
        <v>22</v>
      </c>
      <c r="B6" s="4" t="s">
        <v>86</v>
      </c>
      <c r="C6" s="4">
        <v>14</v>
      </c>
      <c r="D6" s="4">
        <v>4</v>
      </c>
      <c r="E6" s="4">
        <v>4</v>
      </c>
      <c r="F6" s="4">
        <v>0</v>
      </c>
      <c r="G6" s="4">
        <v>6</v>
      </c>
      <c r="H6" s="5">
        <f t="shared" si="0"/>
        <v>0.5714285714285714</v>
      </c>
      <c r="I6" s="5">
        <f t="shared" si="1"/>
        <v>0.4</v>
      </c>
      <c r="J6" s="5">
        <f t="shared" si="2"/>
        <v>1</v>
      </c>
      <c r="K6" s="5">
        <f t="shared" si="3"/>
        <v>0.5714285714285714</v>
      </c>
      <c r="L6" s="5">
        <f t="shared" si="4"/>
        <v>0.7</v>
      </c>
      <c r="M6" s="15">
        <v>0.91249999999999998</v>
      </c>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c r="A7" s="4" t="s">
        <v>22</v>
      </c>
      <c r="B7" s="4" t="s">
        <v>87</v>
      </c>
      <c r="C7" s="4">
        <v>7</v>
      </c>
      <c r="D7" s="4">
        <v>2</v>
      </c>
      <c r="E7" s="4">
        <v>1</v>
      </c>
      <c r="F7" s="4">
        <v>0</v>
      </c>
      <c r="G7" s="4">
        <v>4</v>
      </c>
      <c r="H7" s="5">
        <f t="shared" si="0"/>
        <v>0.42857142857142855</v>
      </c>
      <c r="I7" s="5">
        <f t="shared" si="1"/>
        <v>0.33333333333333331</v>
      </c>
      <c r="J7" s="5">
        <f t="shared" si="2"/>
        <v>1</v>
      </c>
      <c r="K7" s="5">
        <f t="shared" si="3"/>
        <v>0.5</v>
      </c>
      <c r="L7" s="5">
        <f t="shared" si="4"/>
        <v>0.66666666666666663</v>
      </c>
      <c r="M7" s="15">
        <v>1</v>
      </c>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row>
    <row r="8" spans="1:48">
      <c r="A8" s="4" t="s">
        <v>26</v>
      </c>
      <c r="B8" s="4" t="s">
        <v>85</v>
      </c>
      <c r="C8" s="4">
        <v>21</v>
      </c>
      <c r="D8" s="4">
        <v>0</v>
      </c>
      <c r="E8" s="4">
        <v>5</v>
      </c>
      <c r="F8" s="4">
        <v>0</v>
      </c>
      <c r="G8" s="4">
        <v>16</v>
      </c>
      <c r="H8" s="5">
        <f t="shared" si="0"/>
        <v>0.23809523809523808</v>
      </c>
      <c r="I8" s="5">
        <f t="shared" si="1"/>
        <v>0</v>
      </c>
      <c r="J8" s="5">
        <f t="shared" si="2"/>
        <v>1</v>
      </c>
      <c r="K8" s="5">
        <f t="shared" si="3"/>
        <v>0</v>
      </c>
      <c r="L8" s="5">
        <f t="shared" si="4"/>
        <v>0.5</v>
      </c>
      <c r="M8" s="15">
        <v>0.56874999999999998</v>
      </c>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row>
    <row r="9" spans="1:48">
      <c r="A9" s="4" t="s">
        <v>26</v>
      </c>
      <c r="B9" s="4" t="s">
        <v>86</v>
      </c>
      <c r="C9" s="4">
        <v>14</v>
      </c>
      <c r="D9" s="4">
        <v>5</v>
      </c>
      <c r="E9" s="4">
        <v>3</v>
      </c>
      <c r="F9" s="4">
        <v>1</v>
      </c>
      <c r="G9" s="4">
        <v>5</v>
      </c>
      <c r="H9" s="5">
        <f t="shared" si="0"/>
        <v>0.5714285714285714</v>
      </c>
      <c r="I9" s="5">
        <f t="shared" si="1"/>
        <v>0.5</v>
      </c>
      <c r="J9" s="5">
        <f t="shared" si="2"/>
        <v>0.75</v>
      </c>
      <c r="K9" s="5">
        <f t="shared" si="3"/>
        <v>0.625</v>
      </c>
      <c r="L9" s="5">
        <f t="shared" si="4"/>
        <v>0.625</v>
      </c>
      <c r="M9" s="15">
        <v>0.7</v>
      </c>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1:48">
      <c r="A10" s="4" t="s">
        <v>26</v>
      </c>
      <c r="B10" s="4" t="s">
        <v>87</v>
      </c>
      <c r="C10" s="4">
        <v>7</v>
      </c>
      <c r="D10" s="4">
        <v>6</v>
      </c>
      <c r="E10" s="4">
        <v>1</v>
      </c>
      <c r="F10" s="4">
        <v>0</v>
      </c>
      <c r="G10" s="4">
        <v>0</v>
      </c>
      <c r="H10" s="5">
        <f t="shared" si="0"/>
        <v>1</v>
      </c>
      <c r="I10" s="5">
        <f t="shared" si="1"/>
        <v>1</v>
      </c>
      <c r="J10" s="5">
        <f t="shared" si="2"/>
        <v>1</v>
      </c>
      <c r="K10" s="5">
        <f t="shared" si="3"/>
        <v>1</v>
      </c>
      <c r="L10" s="5">
        <f t="shared" si="4"/>
        <v>1</v>
      </c>
      <c r="M10" s="15">
        <v>1</v>
      </c>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1:48">
      <c r="A11" s="4" t="s">
        <v>30</v>
      </c>
      <c r="B11" s="4" t="s">
        <v>85</v>
      </c>
      <c r="C11" s="4">
        <v>21</v>
      </c>
      <c r="D11" s="4">
        <v>6</v>
      </c>
      <c r="E11" s="4">
        <v>4</v>
      </c>
      <c r="F11" s="4">
        <v>1</v>
      </c>
      <c r="G11" s="4">
        <v>10</v>
      </c>
      <c r="H11" s="5">
        <f t="shared" si="0"/>
        <v>0.47619047619047616</v>
      </c>
      <c r="I11" s="5">
        <f t="shared" si="1"/>
        <v>0.375</v>
      </c>
      <c r="J11" s="5">
        <f t="shared" si="2"/>
        <v>0.8</v>
      </c>
      <c r="K11" s="5">
        <f t="shared" si="3"/>
        <v>0.52173913043478259</v>
      </c>
      <c r="L11" s="5">
        <f t="shared" si="4"/>
        <v>0.58750000000000002</v>
      </c>
      <c r="M11" s="15">
        <v>0.50624999999999998</v>
      </c>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row>
    <row r="12" spans="1:48">
      <c r="A12" s="4" t="s">
        <v>30</v>
      </c>
      <c r="B12" s="4" t="s">
        <v>86</v>
      </c>
      <c r="C12" s="4">
        <v>14</v>
      </c>
      <c r="D12" s="4">
        <v>7</v>
      </c>
      <c r="E12" s="4">
        <v>2</v>
      </c>
      <c r="F12" s="4">
        <v>2</v>
      </c>
      <c r="G12" s="4">
        <v>3</v>
      </c>
      <c r="H12" s="5">
        <f t="shared" si="0"/>
        <v>0.6428571428571429</v>
      </c>
      <c r="I12" s="5">
        <f t="shared" si="1"/>
        <v>0.7</v>
      </c>
      <c r="J12" s="5">
        <f t="shared" si="2"/>
        <v>0.5</v>
      </c>
      <c r="K12" s="5">
        <f t="shared" si="3"/>
        <v>0.73684210526315785</v>
      </c>
      <c r="L12" s="5">
        <f t="shared" si="4"/>
        <v>0.6</v>
      </c>
      <c r="M12" s="15">
        <v>0.63749999999999996</v>
      </c>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row>
    <row r="13" spans="1:48">
      <c r="A13" s="4" t="s">
        <v>30</v>
      </c>
      <c r="B13" s="4" t="s">
        <v>87</v>
      </c>
      <c r="C13" s="4">
        <v>7</v>
      </c>
      <c r="D13" s="4">
        <v>5</v>
      </c>
      <c r="E13" s="4">
        <v>1</v>
      </c>
      <c r="F13" s="4">
        <v>0</v>
      </c>
      <c r="G13" s="4">
        <v>1</v>
      </c>
      <c r="H13" s="5">
        <f t="shared" si="0"/>
        <v>0.8571428571428571</v>
      </c>
      <c r="I13" s="5">
        <f t="shared" si="1"/>
        <v>0.83333333333333337</v>
      </c>
      <c r="J13" s="5">
        <f t="shared" si="2"/>
        <v>1</v>
      </c>
      <c r="K13" s="5">
        <f t="shared" si="3"/>
        <v>0.90909090909090906</v>
      </c>
      <c r="L13" s="5">
        <f t="shared" si="4"/>
        <v>0.91666666666666674</v>
      </c>
      <c r="M13" s="15">
        <v>0.91666666669999997</v>
      </c>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1:48">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c r="A16" s="29" t="s">
        <v>88</v>
      </c>
      <c r="B16" s="29"/>
      <c r="C16" s="29"/>
      <c r="D16" s="29"/>
      <c r="E16" s="29"/>
      <c r="F16" s="29"/>
      <c r="G16" s="29"/>
      <c r="H16" s="29"/>
      <c r="I16" s="29"/>
      <c r="J16" s="29"/>
      <c r="K16" s="29"/>
      <c r="L16" s="29"/>
      <c r="M16" s="29"/>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ht="28">
      <c r="A18" s="1" t="s">
        <v>80</v>
      </c>
      <c r="B18" s="1" t="s">
        <v>89</v>
      </c>
      <c r="C18" s="1" t="s">
        <v>9</v>
      </c>
      <c r="D18" s="1" t="s">
        <v>10</v>
      </c>
      <c r="E18" s="1" t="s">
        <v>11</v>
      </c>
      <c r="F18" s="1" t="s">
        <v>12</v>
      </c>
      <c r="G18" s="1" t="s">
        <v>82</v>
      </c>
      <c r="H18" s="1" t="s">
        <v>13</v>
      </c>
      <c r="I18" s="1" t="s">
        <v>14</v>
      </c>
      <c r="J18" s="1" t="s">
        <v>15</v>
      </c>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c r="A19" s="16" t="s">
        <v>85</v>
      </c>
      <c r="B19" s="16">
        <v>63</v>
      </c>
      <c r="C19" s="16">
        <v>6</v>
      </c>
      <c r="D19" s="16">
        <v>14</v>
      </c>
      <c r="E19" s="16">
        <v>1</v>
      </c>
      <c r="F19" s="16">
        <v>42</v>
      </c>
      <c r="G19" s="17">
        <f>IFERROR((C19+D19)/B19,0)</f>
        <v>0.31746031746031744</v>
      </c>
      <c r="H19" s="17">
        <f>IFERROR(C19/(C19+F19),0)</f>
        <v>0.125</v>
      </c>
      <c r="I19" s="17">
        <f>IFERROR(D19/(D19+E19),0)</f>
        <v>0.93333333333333335</v>
      </c>
      <c r="J19" s="17">
        <f>IFERROR(2*C19/(2*C19+E19+F19),0)</f>
        <v>0.21818181818181817</v>
      </c>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c r="A20" s="18" t="s">
        <v>86</v>
      </c>
      <c r="B20" s="18">
        <v>42</v>
      </c>
      <c r="C20" s="18">
        <v>16</v>
      </c>
      <c r="D20" s="18">
        <v>9</v>
      </c>
      <c r="E20" s="18">
        <v>3</v>
      </c>
      <c r="F20" s="18">
        <v>14</v>
      </c>
      <c r="G20" s="19">
        <f>IFERROR((C20+D20)/B20,0)</f>
        <v>0.59523809523809523</v>
      </c>
      <c r="H20" s="19">
        <f>IFERROR(C20/(C20+F20),0)</f>
        <v>0.53333333333333333</v>
      </c>
      <c r="I20" s="19">
        <f>IFERROR(D20/(D20+E20),0)</f>
        <v>0.75</v>
      </c>
      <c r="J20" s="19">
        <f>IFERROR(2*C20/(2*C20+E20+F20),0)</f>
        <v>0.65306122448979587</v>
      </c>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c r="A21" s="20" t="s">
        <v>87</v>
      </c>
      <c r="B21" s="20">
        <v>21</v>
      </c>
      <c r="C21" s="20">
        <v>13</v>
      </c>
      <c r="D21" s="20">
        <v>3</v>
      </c>
      <c r="E21" s="20">
        <v>0</v>
      </c>
      <c r="F21" s="20">
        <v>5</v>
      </c>
      <c r="G21" s="21">
        <f>IFERROR((C21+D21)/B21,0)</f>
        <v>0.76190476190476186</v>
      </c>
      <c r="H21" s="21">
        <f>IFERROR(C21/(C21+F21),0)</f>
        <v>0.72222222222222221</v>
      </c>
      <c r="I21" s="21">
        <f>IFERROR(D21/(D21+E21),0)</f>
        <v>1</v>
      </c>
      <c r="J21" s="21">
        <f>IFERROR(2*C21/(2*C21+E21+F21),0)</f>
        <v>0.83870967741935487</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c r="A24" s="29" t="s">
        <v>90</v>
      </c>
      <c r="B24" s="29"/>
      <c r="C24" s="29"/>
      <c r="D24" s="29"/>
      <c r="E24" s="29"/>
      <c r="F24" s="29"/>
      <c r="G24" s="29"/>
      <c r="H24" s="29"/>
      <c r="I24" s="29"/>
      <c r="J24" s="29"/>
      <c r="K24" s="29"/>
      <c r="L24" s="29"/>
      <c r="M24" s="29"/>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ht="42">
      <c r="A26" s="1" t="s">
        <v>16</v>
      </c>
      <c r="B26" s="1" t="s">
        <v>47</v>
      </c>
      <c r="C26" s="1" t="s">
        <v>48</v>
      </c>
      <c r="D26" s="1" t="s">
        <v>49</v>
      </c>
      <c r="E26" s="1" t="s">
        <v>50</v>
      </c>
      <c r="F26" s="1" t="s">
        <v>52</v>
      </c>
      <c r="G26" s="1" t="s">
        <v>53</v>
      </c>
      <c r="H26" s="1" t="s">
        <v>55</v>
      </c>
      <c r="I26" s="1" t="s">
        <v>56</v>
      </c>
      <c r="J26" s="1" t="s">
        <v>57</v>
      </c>
      <c r="K26" s="1" t="s">
        <v>58</v>
      </c>
      <c r="L26" s="1" t="s">
        <v>60</v>
      </c>
      <c r="M26" s="1" t="s">
        <v>61</v>
      </c>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c r="A27" s="4" t="s">
        <v>22</v>
      </c>
      <c r="B27" s="4">
        <v>2</v>
      </c>
      <c r="C27" s="4">
        <v>5</v>
      </c>
      <c r="D27" s="4">
        <v>0</v>
      </c>
      <c r="E27" s="4">
        <v>14</v>
      </c>
      <c r="F27" s="5">
        <f>IFERROR(B27/(B27+E27),0)</f>
        <v>0.125</v>
      </c>
      <c r="G27" s="5">
        <f>IFERROR(C27/(C27+D27),0)</f>
        <v>1</v>
      </c>
      <c r="H27" s="4">
        <v>0</v>
      </c>
      <c r="I27" s="4">
        <v>5</v>
      </c>
      <c r="J27" s="4">
        <v>0</v>
      </c>
      <c r="K27" s="4">
        <v>16</v>
      </c>
      <c r="L27" s="5">
        <f>IFERROR(H27/(H27+K27),0)</f>
        <v>0</v>
      </c>
      <c r="M27" s="5">
        <f>IFERROR(I27/(I27+J27),0)</f>
        <v>1</v>
      </c>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c r="A28" s="4" t="s">
        <v>26</v>
      </c>
      <c r="B28" s="4">
        <v>1</v>
      </c>
      <c r="C28" s="4">
        <v>5</v>
      </c>
      <c r="D28" s="4">
        <v>0</v>
      </c>
      <c r="E28" s="4">
        <v>15</v>
      </c>
      <c r="F28" s="5">
        <f>IFERROR(B28/(B28+E28),0)</f>
        <v>6.25E-2</v>
      </c>
      <c r="G28" s="5">
        <f>IFERROR(C28/(C28+D28),0)</f>
        <v>1</v>
      </c>
      <c r="H28" s="4">
        <v>0</v>
      </c>
      <c r="I28" s="4">
        <v>5</v>
      </c>
      <c r="J28" s="4">
        <v>0</v>
      </c>
      <c r="K28" s="4">
        <v>16</v>
      </c>
      <c r="L28" s="5">
        <f>IFERROR(H28/(H28+K28),0)</f>
        <v>0</v>
      </c>
      <c r="M28" s="5">
        <f>IFERROR(I28/(I28+J28),0)</f>
        <v>1</v>
      </c>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c r="A29" s="4" t="s">
        <v>30</v>
      </c>
      <c r="B29" s="4">
        <v>3</v>
      </c>
      <c r="C29" s="4">
        <v>4</v>
      </c>
      <c r="D29" s="4">
        <v>1</v>
      </c>
      <c r="E29" s="4">
        <v>13</v>
      </c>
      <c r="F29" s="5">
        <f>IFERROR(B29/(B29+E29),0)</f>
        <v>0.1875</v>
      </c>
      <c r="G29" s="5">
        <f>IFERROR(C29/(C29+D29),0)</f>
        <v>0.8</v>
      </c>
      <c r="H29" s="4">
        <v>6</v>
      </c>
      <c r="I29" s="4">
        <v>4</v>
      </c>
      <c r="J29" s="4">
        <v>1</v>
      </c>
      <c r="K29" s="4">
        <v>10</v>
      </c>
      <c r="L29" s="5">
        <f>IFERROR(H29/(H29+K29),0)</f>
        <v>0.375</v>
      </c>
      <c r="M29" s="5">
        <f>IFERROR(I29/(I29+J29),0)</f>
        <v>0.8</v>
      </c>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c r="A30" s="22" t="s">
        <v>68</v>
      </c>
      <c r="B30" s="22">
        <v>6</v>
      </c>
      <c r="C30" s="22">
        <v>14</v>
      </c>
      <c r="D30" s="22">
        <v>1</v>
      </c>
      <c r="E30" s="22">
        <v>42</v>
      </c>
      <c r="F30" s="23">
        <f>IFERROR(B30/(B30+E30),0)</f>
        <v>0.125</v>
      </c>
      <c r="G30" s="23">
        <f>IFERROR(C30/(C30+D30),0)</f>
        <v>0.93333333333333335</v>
      </c>
      <c r="H30" s="22">
        <v>6</v>
      </c>
      <c r="I30" s="22">
        <v>14</v>
      </c>
      <c r="J30" s="22">
        <v>1</v>
      </c>
      <c r="K30" s="22">
        <v>42</v>
      </c>
      <c r="L30" s="23">
        <f>IFERROR(H30/(H30+K30),0)</f>
        <v>0.125</v>
      </c>
      <c r="M30" s="23">
        <f>IFERROR(I30/(I30+J30),0)</f>
        <v>0.93333333333333335</v>
      </c>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c r="A33" s="29" t="s">
        <v>91</v>
      </c>
      <c r="B33" s="29"/>
      <c r="C33" s="29"/>
      <c r="D33" s="29"/>
      <c r="E33" s="29"/>
      <c r="F33" s="29"/>
      <c r="G33" s="29"/>
      <c r="H33" s="29"/>
      <c r="I33" s="29"/>
      <c r="J33" s="29"/>
      <c r="K33" s="29"/>
      <c r="L33" s="29"/>
      <c r="M33" s="29"/>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ht="28">
      <c r="A35" s="10" t="s">
        <v>92</v>
      </c>
      <c r="B35" s="66" t="s">
        <v>93</v>
      </c>
      <c r="C35" s="66"/>
      <c r="D35" s="66"/>
      <c r="E35" s="66"/>
      <c r="F35" s="66"/>
      <c r="G35" s="66"/>
      <c r="H35" s="66"/>
      <c r="I35" s="66"/>
      <c r="J35" s="66"/>
      <c r="K35" s="66"/>
      <c r="L35" s="66"/>
      <c r="M35" s="66"/>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ht="28">
      <c r="A36" s="10" t="s">
        <v>94</v>
      </c>
      <c r="B36" s="66" t="s">
        <v>95</v>
      </c>
      <c r="C36" s="66"/>
      <c r="D36" s="66"/>
      <c r="E36" s="66"/>
      <c r="F36" s="66"/>
      <c r="G36" s="66"/>
      <c r="H36" s="66"/>
      <c r="I36" s="66"/>
      <c r="J36" s="66"/>
      <c r="K36" s="66"/>
      <c r="L36" s="66"/>
      <c r="M36" s="66"/>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ht="28">
      <c r="A37" s="10" t="s">
        <v>96</v>
      </c>
      <c r="B37" s="66" t="s">
        <v>97</v>
      </c>
      <c r="C37" s="66"/>
      <c r="D37" s="66"/>
      <c r="E37" s="66"/>
      <c r="F37" s="66"/>
      <c r="G37" s="66"/>
      <c r="H37" s="66"/>
      <c r="I37" s="66"/>
      <c r="J37" s="66"/>
      <c r="K37" s="66"/>
      <c r="L37" s="66"/>
      <c r="M37" s="66"/>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row>
  </sheetData>
  <mergeCells count="8">
    <mergeCell ref="B35:M35"/>
    <mergeCell ref="B36:M36"/>
    <mergeCell ref="B37:M37"/>
    <mergeCell ref="A1:L1"/>
    <mergeCell ref="A2:L2"/>
    <mergeCell ref="A16:M16"/>
    <mergeCell ref="A24:M24"/>
    <mergeCell ref="A33:M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00"/>
  <sheetViews>
    <sheetView workbookViewId="0">
      <selection activeCell="H8" sqref="H8"/>
    </sheetView>
  </sheetViews>
  <sheetFormatPr defaultRowHeight="14"/>
  <cols>
    <col min="1" max="1" width="25" customWidth="1"/>
    <col min="2" max="4" width="15" customWidth="1"/>
    <col min="5" max="5" width="34" customWidth="1"/>
    <col min="6" max="6" width="13" customWidth="1"/>
    <col min="7" max="7" width="14" customWidth="1"/>
    <col min="8" max="8" width="15" customWidth="1"/>
    <col min="9" max="12" width="14" customWidth="1"/>
  </cols>
  <sheetData>
    <row r="1" spans="1:48" ht="18.649999999999999" customHeight="1">
      <c r="A1" s="27" t="s">
        <v>200</v>
      </c>
      <c r="B1" s="27"/>
      <c r="C1" s="27"/>
      <c r="D1" s="27"/>
      <c r="E1" s="27"/>
      <c r="F1" s="27"/>
      <c r="G1" s="27"/>
      <c r="H1" s="27"/>
      <c r="I1" s="27"/>
      <c r="J1" s="27"/>
      <c r="K1" s="27"/>
      <c r="L1" s="27"/>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spans="1:48" ht="20" customHeight="1">
      <c r="A2" s="28" t="s">
        <v>98</v>
      </c>
      <c r="B2" s="28"/>
      <c r="C2" s="28"/>
      <c r="D2" s="28"/>
      <c r="E2" s="28"/>
      <c r="F2" s="28"/>
      <c r="G2" s="28"/>
      <c r="H2" s="28"/>
      <c r="I2" s="28"/>
      <c r="J2" s="28"/>
      <c r="K2" s="28"/>
      <c r="L2" s="28"/>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row>
    <row r="3" spans="1:4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spans="1:48">
      <c r="A4" s="29" t="s">
        <v>99</v>
      </c>
      <c r="B4" s="29"/>
      <c r="C4" s="29"/>
      <c r="D4" s="29"/>
      <c r="E4" s="29"/>
      <c r="F4" s="29"/>
      <c r="G4" s="29"/>
      <c r="H4" s="29"/>
      <c r="I4" s="29"/>
      <c r="J4" s="29"/>
      <c r="K4" s="29"/>
      <c r="L4" s="29"/>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spans="1:48">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spans="1:48" ht="28">
      <c r="A6" s="1" t="s">
        <v>100</v>
      </c>
      <c r="B6" s="1" t="s">
        <v>9</v>
      </c>
      <c r="C6" s="1" t="s">
        <v>10</v>
      </c>
      <c r="D6" s="1" t="s">
        <v>11</v>
      </c>
      <c r="E6" s="1" t="s">
        <v>12</v>
      </c>
      <c r="F6" s="1" t="s">
        <v>82</v>
      </c>
      <c r="G6" s="1" t="s">
        <v>13</v>
      </c>
      <c r="H6" s="1" t="s">
        <v>14</v>
      </c>
      <c r="I6" s="1" t="s">
        <v>15</v>
      </c>
      <c r="J6" s="1" t="s">
        <v>83</v>
      </c>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c r="A7" s="4" t="s">
        <v>201</v>
      </c>
      <c r="B7" s="4">
        <v>25</v>
      </c>
      <c r="C7" s="4">
        <v>29</v>
      </c>
      <c r="D7" s="4">
        <v>1</v>
      </c>
      <c r="E7" s="4">
        <v>71</v>
      </c>
      <c r="F7" s="5">
        <f>IFERROR((B7+C7)/SUM(B7:E7),0)</f>
        <v>0.42857142857142855</v>
      </c>
      <c r="G7" s="5">
        <f>IFERROR(B7/(B7+E7),0)</f>
        <v>0.26041666666666669</v>
      </c>
      <c r="H7" s="5">
        <f>IFERROR(C7/(C7+D7),0)</f>
        <v>0.96666666666666667</v>
      </c>
      <c r="I7" s="5">
        <f>IFERROR(2*B7/(2*B7+D7+E7),0)</f>
        <v>0.4098360655737705</v>
      </c>
      <c r="J7" s="5">
        <f>(G7+H7)/2</f>
        <v>0.61354166666666665</v>
      </c>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row>
    <row r="8" spans="1:48">
      <c r="A8" s="24" t="s">
        <v>202</v>
      </c>
      <c r="B8" s="24">
        <v>52</v>
      </c>
      <c r="C8" s="24">
        <v>20</v>
      </c>
      <c r="D8" s="24">
        <v>10</v>
      </c>
      <c r="E8" s="24">
        <v>44</v>
      </c>
      <c r="F8" s="25">
        <f>IFERROR((B8+C8)/SUM(B8:E8),0)</f>
        <v>0.5714285714285714</v>
      </c>
      <c r="G8" s="25">
        <f>IFERROR(B8/(B8+E8),0)</f>
        <v>0.54166666666666663</v>
      </c>
      <c r="H8" s="25">
        <f>IFERROR(C8/(C8+D8),0)</f>
        <v>0.66666666666666663</v>
      </c>
      <c r="I8" s="25">
        <f>IFERROR(2*B8/(2*B8+D8+E8),0)</f>
        <v>0.65822784810126578</v>
      </c>
      <c r="J8" s="25">
        <f>(G8+H8)/2</f>
        <v>0.60416666666666663</v>
      </c>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row>
    <row r="9" spans="1:48">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1:48">
      <c r="A10" s="1" t="s">
        <v>101</v>
      </c>
      <c r="B10" s="1" t="s">
        <v>102</v>
      </c>
      <c r="C10" s="1" t="s">
        <v>103</v>
      </c>
      <c r="D10" s="1" t="s">
        <v>104</v>
      </c>
      <c r="E10" s="1" t="s">
        <v>105</v>
      </c>
      <c r="F10" s="1" t="s">
        <v>106</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1:48">
      <c r="A11" s="6" t="s">
        <v>82</v>
      </c>
      <c r="B11" s="11">
        <f>F7</f>
        <v>0.42857142857142855</v>
      </c>
      <c r="C11" s="11">
        <f>F8</f>
        <v>0.5714285714285714</v>
      </c>
      <c r="D11" s="11">
        <f>C11-B11</f>
        <v>0.14285714285714285</v>
      </c>
      <c r="E11" s="6" t="s">
        <v>107</v>
      </c>
      <c r="F11" s="6" t="s">
        <v>108</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row>
    <row r="12" spans="1:48">
      <c r="A12" s="6" t="s">
        <v>13</v>
      </c>
      <c r="B12" s="11">
        <f>G7</f>
        <v>0.26041666666666669</v>
      </c>
      <c r="C12" s="11">
        <f>G8</f>
        <v>0.54166666666666663</v>
      </c>
      <c r="D12" s="11">
        <f>C12-B12</f>
        <v>0.28124999999999994</v>
      </c>
      <c r="E12" s="6" t="s">
        <v>109</v>
      </c>
      <c r="F12" s="6" t="s">
        <v>108</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row>
    <row r="13" spans="1:48">
      <c r="A13" s="6" t="s">
        <v>14</v>
      </c>
      <c r="B13" s="11">
        <f>H7</f>
        <v>0.96666666666666667</v>
      </c>
      <c r="C13" s="11">
        <f>H8</f>
        <v>0.66666666666666663</v>
      </c>
      <c r="D13" s="11">
        <f>C13-B13</f>
        <v>-0.30000000000000004</v>
      </c>
      <c r="E13" s="6" t="s">
        <v>110</v>
      </c>
      <c r="F13" s="6" t="s">
        <v>111</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1:48">
      <c r="A14" s="6" t="s">
        <v>15</v>
      </c>
      <c r="B14" s="11">
        <f>I7</f>
        <v>0.4098360655737705</v>
      </c>
      <c r="C14" s="11">
        <f>I8</f>
        <v>0.65822784810126578</v>
      </c>
      <c r="D14" s="11">
        <f>C14-B14</f>
        <v>0.24839178252749528</v>
      </c>
      <c r="E14" s="6" t="s">
        <v>112</v>
      </c>
      <c r="F14" s="6" t="s">
        <v>108</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c r="A15" s="6" t="s">
        <v>83</v>
      </c>
      <c r="B15" s="11">
        <f>J7</f>
        <v>0.61354166666666665</v>
      </c>
      <c r="C15" s="11">
        <f>J8</f>
        <v>0.60416666666666663</v>
      </c>
      <c r="D15" s="11">
        <f>C15-B15</f>
        <v>-9.3750000000000222E-3</v>
      </c>
      <c r="E15" s="6" t="s">
        <v>113</v>
      </c>
      <c r="F15" s="6" t="s">
        <v>114</v>
      </c>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c r="A18" s="29" t="s">
        <v>115</v>
      </c>
      <c r="B18" s="29"/>
      <c r="C18" s="29"/>
      <c r="D18" s="29"/>
      <c r="E18" s="29"/>
      <c r="F18" s="29"/>
      <c r="G18" s="29"/>
      <c r="H18" s="29"/>
      <c r="I18" s="29"/>
      <c r="J18" s="29"/>
      <c r="K18" s="29"/>
      <c r="L18" s="29"/>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ht="28">
      <c r="A20" s="1" t="s">
        <v>16</v>
      </c>
      <c r="B20" s="1" t="s">
        <v>116</v>
      </c>
      <c r="C20" s="1" t="s">
        <v>117</v>
      </c>
      <c r="D20" s="1" t="s">
        <v>118</v>
      </c>
      <c r="E20" s="1" t="s">
        <v>119</v>
      </c>
      <c r="F20" s="1" t="s">
        <v>120</v>
      </c>
      <c r="G20" s="1" t="s">
        <v>121</v>
      </c>
      <c r="H20" s="1" t="s">
        <v>122</v>
      </c>
      <c r="I20" s="1" t="s">
        <v>123</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c r="A21" s="4" t="s">
        <v>22</v>
      </c>
      <c r="B21" s="5">
        <v>0.40476190480000002</v>
      </c>
      <c r="C21" s="5">
        <v>0.21875</v>
      </c>
      <c r="D21" s="5">
        <v>1</v>
      </c>
      <c r="E21" s="5">
        <v>0.35897435900000002</v>
      </c>
      <c r="F21" s="5">
        <v>0.61904761900000005</v>
      </c>
      <c r="G21" s="5">
        <v>0.625</v>
      </c>
      <c r="H21" s="5">
        <v>0.6</v>
      </c>
      <c r="I21" s="5">
        <v>0.71428571399999996</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c r="A22" s="4" t="s">
        <v>26</v>
      </c>
      <c r="B22" s="5">
        <v>0.428571429</v>
      </c>
      <c r="C22" s="5">
        <v>0.25</v>
      </c>
      <c r="D22" s="5">
        <v>1</v>
      </c>
      <c r="E22" s="5">
        <v>0.4</v>
      </c>
      <c r="F22" s="5">
        <v>0.5</v>
      </c>
      <c r="G22" s="5">
        <v>0.40625</v>
      </c>
      <c r="H22" s="5">
        <v>0.8</v>
      </c>
      <c r="I22" s="5">
        <v>0.55319148900000004</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c r="A23" s="4" t="s">
        <v>30</v>
      </c>
      <c r="B23" s="5">
        <v>0.452380952</v>
      </c>
      <c r="C23" s="5">
        <v>0.3125</v>
      </c>
      <c r="D23" s="5">
        <v>0.9</v>
      </c>
      <c r="E23" s="5">
        <v>0.46511627900000002</v>
      </c>
      <c r="F23" s="5">
        <v>0.59523809500000002</v>
      </c>
      <c r="G23" s="5">
        <v>0.59375</v>
      </c>
      <c r="H23" s="5">
        <v>0.6</v>
      </c>
      <c r="I23" s="5">
        <v>0.69090909099999998</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c r="A26" s="29" t="s">
        <v>124</v>
      </c>
      <c r="B26" s="29"/>
      <c r="C26" s="29"/>
      <c r="D26" s="29"/>
      <c r="E26" s="29"/>
      <c r="F26" s="29"/>
      <c r="G26" s="29"/>
      <c r="H26" s="29"/>
      <c r="I26" s="29"/>
      <c r="J26" s="29"/>
      <c r="K26" s="29"/>
      <c r="L26" s="29"/>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c r="A28" s="3" t="s">
        <v>125</v>
      </c>
      <c r="B28" s="66" t="s">
        <v>126</v>
      </c>
      <c r="C28" s="66"/>
      <c r="D28" s="66"/>
      <c r="E28" s="66"/>
      <c r="F28" s="66"/>
      <c r="G28" s="66"/>
      <c r="H28" s="66"/>
      <c r="I28" s="66"/>
      <c r="J28" s="66"/>
      <c r="K28" s="66"/>
      <c r="L28" s="66"/>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c r="A29" s="3" t="s">
        <v>127</v>
      </c>
      <c r="B29" s="66" t="s">
        <v>128</v>
      </c>
      <c r="C29" s="66"/>
      <c r="D29" s="66"/>
      <c r="E29" s="66"/>
      <c r="F29" s="66"/>
      <c r="G29" s="66"/>
      <c r="H29" s="66"/>
      <c r="I29" s="66"/>
      <c r="J29" s="66"/>
      <c r="K29" s="66"/>
      <c r="L29" s="66"/>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c r="A30" s="3" t="s">
        <v>129</v>
      </c>
      <c r="B30" s="66" t="s">
        <v>130</v>
      </c>
      <c r="C30" s="66"/>
      <c r="D30" s="66"/>
      <c r="E30" s="66"/>
      <c r="F30" s="66"/>
      <c r="G30" s="66"/>
      <c r="H30" s="66"/>
      <c r="I30" s="66"/>
      <c r="J30" s="66"/>
      <c r="K30" s="66"/>
      <c r="L30" s="66"/>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c r="A31" s="3" t="s">
        <v>131</v>
      </c>
      <c r="B31" s="66" t="s">
        <v>132</v>
      </c>
      <c r="C31" s="66"/>
      <c r="D31" s="66"/>
      <c r="E31" s="66"/>
      <c r="F31" s="66"/>
      <c r="G31" s="66"/>
      <c r="H31" s="66"/>
      <c r="I31" s="66"/>
      <c r="J31" s="66"/>
      <c r="K31" s="66"/>
      <c r="L31" s="66"/>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row>
  </sheetData>
  <mergeCells count="9">
    <mergeCell ref="B28:L28"/>
    <mergeCell ref="B29:L29"/>
    <mergeCell ref="B30:L30"/>
    <mergeCell ref="B31:L31"/>
    <mergeCell ref="A1:L1"/>
    <mergeCell ref="A2:L2"/>
    <mergeCell ref="A4:L4"/>
    <mergeCell ref="A18:L18"/>
    <mergeCell ref="A26:L26"/>
  </mergeCells>
  <conditionalFormatting sqref="F11:F15">
    <cfRule type="expression" dxfId="1" priority="1">
      <formula>F11="Improved"</formula>
    </cfRule>
    <cfRule type="expression" dxfId="0" priority="2">
      <formula>F11="Worse"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100"/>
  <sheetViews>
    <sheetView tabSelected="1" workbookViewId="0">
      <selection activeCell="AH73" sqref="AH73"/>
    </sheetView>
  </sheetViews>
  <sheetFormatPr defaultRowHeight="14"/>
  <cols>
    <col min="1" max="1" width="26" customWidth="1"/>
    <col min="2" max="12" width="12" customWidth="1"/>
    <col min="13" max="13" width="26" customWidth="1"/>
    <col min="14" max="32" width="12" customWidth="1"/>
    <col min="33" max="33" width="48" customWidth="1"/>
    <col min="45" max="48" width="16" customWidth="1"/>
  </cols>
  <sheetData>
    <row r="1" spans="1:48" ht="18.649999999999999" customHeight="1">
      <c r="A1" s="27" t="s">
        <v>133</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4"/>
      <c r="AI1" s="4"/>
      <c r="AJ1" s="4"/>
      <c r="AK1" s="4"/>
      <c r="AL1" s="4"/>
      <c r="AM1" s="4"/>
      <c r="AN1" s="4"/>
      <c r="AO1" s="4"/>
      <c r="AP1" s="4"/>
      <c r="AQ1" s="4"/>
      <c r="AR1" s="4"/>
      <c r="AS1" s="4"/>
      <c r="AT1" s="4"/>
      <c r="AU1" s="4"/>
      <c r="AV1" s="4"/>
    </row>
    <row r="2" spans="1:48" ht="14.5">
      <c r="A2" s="69" t="s">
        <v>134</v>
      </c>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4"/>
      <c r="AI2" s="4"/>
      <c r="AJ2" s="4"/>
      <c r="AK2" s="4"/>
      <c r="AL2" s="4"/>
      <c r="AM2" s="4"/>
      <c r="AN2" s="4"/>
      <c r="AO2" s="4"/>
      <c r="AP2" s="4"/>
      <c r="AQ2" s="4"/>
      <c r="AR2" s="4"/>
      <c r="AS2" s="26" t="s">
        <v>30</v>
      </c>
      <c r="AT2" s="26"/>
      <c r="AU2" s="26"/>
      <c r="AV2" s="26"/>
    </row>
    <row r="3" spans="1:48" ht="2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1" t="s">
        <v>135</v>
      </c>
      <c r="AT3" s="1" t="s">
        <v>83</v>
      </c>
      <c r="AU3" s="1" t="s">
        <v>13</v>
      </c>
      <c r="AV3" s="1" t="s">
        <v>14</v>
      </c>
    </row>
    <row r="4" spans="1:48" ht="42">
      <c r="A4" s="1" t="s">
        <v>16</v>
      </c>
      <c r="B4" s="1" t="s">
        <v>136</v>
      </c>
      <c r="C4" s="1" t="s">
        <v>137</v>
      </c>
      <c r="D4" s="1" t="s">
        <v>138</v>
      </c>
      <c r="E4" s="1" t="s">
        <v>139</v>
      </c>
      <c r="F4" s="1" t="s">
        <v>140</v>
      </c>
      <c r="G4" s="1" t="s">
        <v>141</v>
      </c>
      <c r="H4" s="1" t="s">
        <v>142</v>
      </c>
      <c r="I4" s="1" t="s">
        <v>143</v>
      </c>
      <c r="J4" s="1" t="s">
        <v>144</v>
      </c>
      <c r="K4" s="1" t="s">
        <v>145</v>
      </c>
      <c r="L4" s="1" t="s">
        <v>146</v>
      </c>
      <c r="M4" s="1" t="s">
        <v>147</v>
      </c>
      <c r="N4" s="1" t="s">
        <v>148</v>
      </c>
      <c r="O4" s="1" t="s">
        <v>149</v>
      </c>
      <c r="P4" s="1" t="s">
        <v>150</v>
      </c>
      <c r="Q4" s="1" t="s">
        <v>151</v>
      </c>
      <c r="R4" s="1" t="s">
        <v>152</v>
      </c>
      <c r="S4" s="1" t="s">
        <v>153</v>
      </c>
      <c r="T4" s="1" t="s">
        <v>154</v>
      </c>
      <c r="U4" s="1" t="s">
        <v>155</v>
      </c>
      <c r="V4" s="1" t="s">
        <v>156</v>
      </c>
      <c r="W4" s="1" t="s">
        <v>157</v>
      </c>
      <c r="X4" s="1" t="s">
        <v>158</v>
      </c>
      <c r="Y4" s="1" t="s">
        <v>159</v>
      </c>
      <c r="Z4" s="1" t="s">
        <v>160</v>
      </c>
      <c r="AA4" s="1" t="s">
        <v>161</v>
      </c>
      <c r="AB4" s="1" t="s">
        <v>162</v>
      </c>
      <c r="AC4" s="1" t="s">
        <v>163</v>
      </c>
      <c r="AD4" s="1" t="s">
        <v>164</v>
      </c>
      <c r="AE4" s="1" t="s">
        <v>165</v>
      </c>
      <c r="AF4" s="1" t="s">
        <v>166</v>
      </c>
      <c r="AG4" s="1" t="s">
        <v>105</v>
      </c>
      <c r="AH4" s="4"/>
      <c r="AI4" s="4"/>
      <c r="AJ4" s="4"/>
      <c r="AK4" s="4"/>
      <c r="AL4" s="4"/>
      <c r="AM4" s="4"/>
      <c r="AN4" s="4"/>
      <c r="AO4" s="4"/>
      <c r="AP4" s="4"/>
      <c r="AQ4" s="4"/>
      <c r="AR4" s="4"/>
      <c r="AS4" s="15">
        <v>0</v>
      </c>
      <c r="AT4" s="5">
        <v>0.5</v>
      </c>
      <c r="AU4" s="5">
        <v>1</v>
      </c>
      <c r="AV4" s="5">
        <v>0</v>
      </c>
    </row>
    <row r="5" spans="1:48" ht="28">
      <c r="A5" s="6" t="s">
        <v>22</v>
      </c>
      <c r="B5" s="7">
        <v>0.5</v>
      </c>
      <c r="C5" s="6">
        <v>6</v>
      </c>
      <c r="D5" s="6">
        <v>6</v>
      </c>
      <c r="E5" s="6">
        <v>0</v>
      </c>
      <c r="F5" s="6">
        <v>10</v>
      </c>
      <c r="G5" s="6">
        <v>26</v>
      </c>
      <c r="H5" s="11">
        <v>0.59375</v>
      </c>
      <c r="I5" s="11">
        <v>0.1875</v>
      </c>
      <c r="J5" s="11">
        <v>1</v>
      </c>
      <c r="K5" s="11">
        <v>0.31578947368421051</v>
      </c>
      <c r="L5" s="7">
        <v>0.13</v>
      </c>
      <c r="M5" s="6" t="s">
        <v>23</v>
      </c>
      <c r="N5" s="6">
        <v>17</v>
      </c>
      <c r="O5" s="6">
        <v>17</v>
      </c>
      <c r="P5" s="6">
        <v>0</v>
      </c>
      <c r="Q5" s="6">
        <v>10</v>
      </c>
      <c r="R5" s="6">
        <v>15</v>
      </c>
      <c r="S5" s="11">
        <v>0.765625</v>
      </c>
      <c r="T5" s="11">
        <v>0.53125</v>
      </c>
      <c r="U5" s="11">
        <v>1</v>
      </c>
      <c r="V5" s="11">
        <v>0.69387755102040816</v>
      </c>
      <c r="W5" s="11">
        <v>0.13</v>
      </c>
      <c r="X5" s="11">
        <v>0.13</v>
      </c>
      <c r="Y5" s="11">
        <v>0.13</v>
      </c>
      <c r="Z5" s="11">
        <v>0.72679166666666672</v>
      </c>
      <c r="AA5" s="11">
        <v>0.64179687500000004</v>
      </c>
      <c r="AB5" s="11">
        <v>0.75</v>
      </c>
      <c r="AC5" s="11">
        <v>0.49625000000000002</v>
      </c>
      <c r="AD5" s="11">
        <v>0.95733333333333348</v>
      </c>
      <c r="AE5" s="11">
        <v>0.6574808525321939</v>
      </c>
      <c r="AF5" s="7">
        <v>2.0227708891887158E-2</v>
      </c>
      <c r="AG5" s="6" t="s">
        <v>167</v>
      </c>
      <c r="AH5" s="4"/>
      <c r="AI5" s="4"/>
      <c r="AJ5" s="4"/>
      <c r="AK5" s="4"/>
      <c r="AL5" s="4"/>
      <c r="AM5" s="4"/>
      <c r="AN5" s="4"/>
      <c r="AO5" s="4"/>
      <c r="AP5" s="4"/>
      <c r="AQ5" s="4"/>
      <c r="AR5" s="4"/>
      <c r="AS5" s="15">
        <v>0.05</v>
      </c>
      <c r="AT5" s="5">
        <v>0.5</v>
      </c>
      <c r="AU5" s="5">
        <v>1</v>
      </c>
      <c r="AV5" s="5">
        <v>0</v>
      </c>
    </row>
    <row r="6" spans="1:48" ht="42">
      <c r="A6" s="6" t="s">
        <v>26</v>
      </c>
      <c r="B6" s="7">
        <v>0.5</v>
      </c>
      <c r="C6" s="6">
        <v>12</v>
      </c>
      <c r="D6" s="6">
        <v>11</v>
      </c>
      <c r="E6" s="6">
        <v>1</v>
      </c>
      <c r="F6" s="6">
        <v>9</v>
      </c>
      <c r="G6" s="6">
        <v>21</v>
      </c>
      <c r="H6" s="11">
        <v>0.62187499999999996</v>
      </c>
      <c r="I6" s="11">
        <v>0.34375</v>
      </c>
      <c r="J6" s="11">
        <v>0.9</v>
      </c>
      <c r="K6" s="11">
        <v>0.5</v>
      </c>
      <c r="L6" s="7">
        <v>0.42499999999999999</v>
      </c>
      <c r="M6" s="6" t="s">
        <v>27</v>
      </c>
      <c r="N6" s="6">
        <v>12</v>
      </c>
      <c r="O6" s="6">
        <v>11</v>
      </c>
      <c r="P6" s="6">
        <v>1</v>
      </c>
      <c r="Q6" s="6">
        <v>9</v>
      </c>
      <c r="R6" s="6">
        <v>21</v>
      </c>
      <c r="S6" s="11">
        <v>0.62187499999999996</v>
      </c>
      <c r="T6" s="11">
        <v>0.34375</v>
      </c>
      <c r="U6" s="11">
        <v>0.9</v>
      </c>
      <c r="V6" s="11">
        <v>0.5</v>
      </c>
      <c r="W6" s="11">
        <v>0.42499999999999999</v>
      </c>
      <c r="X6" s="11">
        <v>0.1</v>
      </c>
      <c r="Y6" s="11">
        <v>0.77499999999999991</v>
      </c>
      <c r="Z6" s="11">
        <v>0.50469791666666675</v>
      </c>
      <c r="AA6" s="11">
        <v>0.453125</v>
      </c>
      <c r="AB6" s="11">
        <v>0.55625000000000002</v>
      </c>
      <c r="AC6" s="11">
        <v>0.37072916666666667</v>
      </c>
      <c r="AD6" s="11">
        <v>0.6386666666666666</v>
      </c>
      <c r="AE6" s="11">
        <v>0.49604565644555465</v>
      </c>
      <c r="AF6" s="7">
        <v>3.7611851429066277E-2</v>
      </c>
      <c r="AG6" s="6" t="s">
        <v>168</v>
      </c>
      <c r="AH6" s="4"/>
      <c r="AI6" s="4"/>
      <c r="AJ6" s="4"/>
      <c r="AK6" s="4"/>
      <c r="AL6" s="4"/>
      <c r="AM6" s="4"/>
      <c r="AN6" s="4"/>
      <c r="AO6" s="4"/>
      <c r="AP6" s="4"/>
      <c r="AQ6" s="4"/>
      <c r="AR6" s="4"/>
      <c r="AS6" s="15">
        <v>0.08</v>
      </c>
      <c r="AT6" s="5">
        <v>0.51875000000000004</v>
      </c>
      <c r="AU6" s="5">
        <v>0.9375</v>
      </c>
      <c r="AV6" s="5">
        <v>0.1</v>
      </c>
    </row>
    <row r="7" spans="1:48" ht="42">
      <c r="A7" s="6" t="s">
        <v>30</v>
      </c>
      <c r="B7" s="7">
        <v>0.5</v>
      </c>
      <c r="C7" s="6">
        <v>21</v>
      </c>
      <c r="D7" s="6">
        <v>18</v>
      </c>
      <c r="E7" s="6">
        <v>3</v>
      </c>
      <c r="F7" s="6">
        <v>7</v>
      </c>
      <c r="G7" s="6">
        <v>14</v>
      </c>
      <c r="H7" s="11">
        <v>0.63124999999999998</v>
      </c>
      <c r="I7" s="11">
        <v>0.5625</v>
      </c>
      <c r="J7" s="11">
        <v>0.7</v>
      </c>
      <c r="K7" s="11">
        <v>0.67924528301886788</v>
      </c>
      <c r="L7" s="7">
        <v>0.46500000000000002</v>
      </c>
      <c r="M7" s="6" t="s">
        <v>31</v>
      </c>
      <c r="N7" s="6">
        <v>21</v>
      </c>
      <c r="O7" s="6">
        <v>18</v>
      </c>
      <c r="P7" s="6">
        <v>3</v>
      </c>
      <c r="Q7" s="6">
        <v>7</v>
      </c>
      <c r="R7" s="6">
        <v>14</v>
      </c>
      <c r="S7" s="11">
        <v>0.63124999999999998</v>
      </c>
      <c r="T7" s="11">
        <v>0.5625</v>
      </c>
      <c r="U7" s="11">
        <v>0.7</v>
      </c>
      <c r="V7" s="11">
        <v>0.67924528301886788</v>
      </c>
      <c r="W7" s="11">
        <v>0.46500000000000002</v>
      </c>
      <c r="X7" s="11">
        <v>0.46500000000000002</v>
      </c>
      <c r="Y7" s="11">
        <v>0.46500000000000002</v>
      </c>
      <c r="Z7" s="11">
        <v>0.5681666666666666</v>
      </c>
      <c r="AA7" s="11">
        <v>0.484375</v>
      </c>
      <c r="AB7" s="11">
        <v>0.63124999999999998</v>
      </c>
      <c r="AC7" s="11">
        <v>0.45333333333333331</v>
      </c>
      <c r="AD7" s="11">
        <v>0.68300000000000016</v>
      </c>
      <c r="AE7" s="11">
        <v>0.58108120962994581</v>
      </c>
      <c r="AF7" s="7">
        <v>0.13683650757955443</v>
      </c>
      <c r="AG7" s="6" t="s">
        <v>168</v>
      </c>
      <c r="AH7" s="4"/>
      <c r="AI7" s="4"/>
      <c r="AJ7" s="4"/>
      <c r="AK7" s="4"/>
      <c r="AL7" s="4"/>
      <c r="AM7" s="4"/>
      <c r="AN7" s="4"/>
      <c r="AO7" s="4"/>
      <c r="AP7" s="4"/>
      <c r="AQ7" s="4"/>
      <c r="AR7" s="4"/>
      <c r="AS7" s="15">
        <v>0.15</v>
      </c>
      <c r="AT7" s="5">
        <v>0.48749999999999999</v>
      </c>
      <c r="AU7" s="5">
        <v>0.875</v>
      </c>
      <c r="AV7" s="5">
        <v>0.1</v>
      </c>
    </row>
    <row r="8" spans="1:4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15">
        <v>0.25</v>
      </c>
      <c r="AT8" s="5">
        <v>0.44062499999999999</v>
      </c>
      <c r="AU8" s="5">
        <v>0.78125</v>
      </c>
      <c r="AV8" s="5">
        <v>0.1</v>
      </c>
    </row>
    <row r="9" spans="1:48">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15">
        <v>0.28000000000000003</v>
      </c>
      <c r="AT9" s="5">
        <v>0.546875</v>
      </c>
      <c r="AU9" s="5">
        <v>0.59375</v>
      </c>
      <c r="AV9" s="5">
        <v>0.5</v>
      </c>
    </row>
    <row r="10" spans="1:48">
      <c r="A10" s="2" t="s">
        <v>169</v>
      </c>
      <c r="B10" s="2"/>
      <c r="C10" s="2"/>
      <c r="D10" s="2"/>
      <c r="E10" s="2"/>
      <c r="F10" s="2"/>
      <c r="G10" s="2"/>
      <c r="H10" s="2"/>
      <c r="I10" s="2"/>
      <c r="J10" s="2"/>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15">
        <v>0.5</v>
      </c>
      <c r="AT10" s="5">
        <v>0.63124999999999998</v>
      </c>
      <c r="AU10" s="5">
        <v>0.5625</v>
      </c>
      <c r="AV10" s="5">
        <v>0.7</v>
      </c>
    </row>
    <row r="11" spans="1:48" ht="28">
      <c r="A11" s="1" t="s">
        <v>16</v>
      </c>
      <c r="B11" s="1" t="s">
        <v>135</v>
      </c>
      <c r="C11" s="1" t="s">
        <v>170</v>
      </c>
      <c r="D11" s="1" t="s">
        <v>82</v>
      </c>
      <c r="E11" s="1" t="s">
        <v>83</v>
      </c>
      <c r="F11" s="1" t="s">
        <v>171</v>
      </c>
      <c r="G11" s="1" t="s">
        <v>13</v>
      </c>
      <c r="H11" s="1" t="s">
        <v>14</v>
      </c>
      <c r="I11" s="1" t="s">
        <v>15</v>
      </c>
      <c r="J11" s="1" t="s">
        <v>172</v>
      </c>
      <c r="K11" s="4"/>
      <c r="L11" s="4" t="s">
        <v>135</v>
      </c>
      <c r="M11" s="4" t="s">
        <v>83</v>
      </c>
      <c r="N11" s="4" t="s">
        <v>13</v>
      </c>
      <c r="O11" s="4" t="s">
        <v>14</v>
      </c>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15">
        <v>0.65</v>
      </c>
      <c r="AT11" s="5">
        <v>0.63124999999999998</v>
      </c>
      <c r="AU11" s="5">
        <v>0.5625</v>
      </c>
      <c r="AV11" s="5">
        <v>0.7</v>
      </c>
    </row>
    <row r="12" spans="1:48">
      <c r="A12" s="4" t="s">
        <v>30</v>
      </c>
      <c r="B12" s="15">
        <v>0</v>
      </c>
      <c r="C12" s="4">
        <v>42</v>
      </c>
      <c r="D12" s="5">
        <v>0.76190476190476186</v>
      </c>
      <c r="E12" s="5">
        <v>0.5</v>
      </c>
      <c r="F12" s="5">
        <v>0.76190476190476186</v>
      </c>
      <c r="G12" s="5">
        <v>1</v>
      </c>
      <c r="H12" s="5">
        <v>0</v>
      </c>
      <c r="I12" s="5">
        <v>0.8648648648648648</v>
      </c>
      <c r="J12" s="15">
        <v>0</v>
      </c>
      <c r="K12" s="4"/>
      <c r="L12" s="4">
        <v>0</v>
      </c>
      <c r="M12" s="4">
        <v>0.5</v>
      </c>
      <c r="N12" s="4">
        <v>1</v>
      </c>
      <c r="O12" s="4">
        <v>0</v>
      </c>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15">
        <v>0.75</v>
      </c>
      <c r="AT12" s="5">
        <v>0.58437499999999998</v>
      </c>
      <c r="AU12" s="5">
        <v>0.46875</v>
      </c>
      <c r="AV12" s="5">
        <v>0.7</v>
      </c>
    </row>
    <row r="13" spans="1:48">
      <c r="A13" s="4" t="s">
        <v>30</v>
      </c>
      <c r="B13" s="15">
        <v>0.05</v>
      </c>
      <c r="C13" s="4">
        <v>42</v>
      </c>
      <c r="D13" s="5">
        <v>0.76190476190476186</v>
      </c>
      <c r="E13" s="5">
        <v>0.5</v>
      </c>
      <c r="F13" s="5">
        <v>0.76190476190476186</v>
      </c>
      <c r="G13" s="5">
        <v>1</v>
      </c>
      <c r="H13" s="5">
        <v>0</v>
      </c>
      <c r="I13" s="5">
        <v>0.8648648648648648</v>
      </c>
      <c r="J13" s="15">
        <v>0</v>
      </c>
      <c r="K13" s="4"/>
      <c r="L13" s="4">
        <v>5.0000000000000001E-3</v>
      </c>
      <c r="M13" s="4">
        <v>0.5</v>
      </c>
      <c r="N13" s="4">
        <v>1</v>
      </c>
      <c r="O13" s="4">
        <v>0</v>
      </c>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15">
        <v>0.85</v>
      </c>
      <c r="AT13" s="5">
        <v>0.59375</v>
      </c>
      <c r="AU13" s="5">
        <v>0.1875</v>
      </c>
      <c r="AV13" s="5">
        <v>1</v>
      </c>
    </row>
    <row r="14" spans="1:48">
      <c r="A14" s="4" t="s">
        <v>30</v>
      </c>
      <c r="B14" s="15">
        <v>0.08</v>
      </c>
      <c r="C14" s="4">
        <v>39</v>
      </c>
      <c r="D14" s="5">
        <v>0.73809523809523814</v>
      </c>
      <c r="E14" s="5">
        <v>0.51875000000000004</v>
      </c>
      <c r="F14" s="5">
        <v>0.76923076923076927</v>
      </c>
      <c r="G14" s="5">
        <v>0.9375</v>
      </c>
      <c r="H14" s="5">
        <v>0.1</v>
      </c>
      <c r="I14" s="5">
        <v>0.84507042253521125</v>
      </c>
      <c r="J14" s="15">
        <v>6.2017367294604234E-2</v>
      </c>
      <c r="K14" s="4"/>
      <c r="L14" s="4">
        <v>0.01</v>
      </c>
      <c r="M14" s="4">
        <v>0.53437500000000004</v>
      </c>
      <c r="N14" s="4">
        <v>0.96875</v>
      </c>
      <c r="O14" s="4">
        <v>0.1</v>
      </c>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15">
        <v>0.95</v>
      </c>
      <c r="AT14" s="5">
        <v>0.546875</v>
      </c>
      <c r="AU14" s="5">
        <v>9.375E-2</v>
      </c>
      <c r="AV14" s="5">
        <v>1</v>
      </c>
    </row>
    <row r="15" spans="1:48">
      <c r="A15" s="4" t="s">
        <v>30</v>
      </c>
      <c r="B15" s="15">
        <v>0.15</v>
      </c>
      <c r="C15" s="4">
        <v>37</v>
      </c>
      <c r="D15" s="5">
        <v>0.69047619047619047</v>
      </c>
      <c r="E15" s="5">
        <v>0.48749999999999999</v>
      </c>
      <c r="F15" s="5">
        <v>0.7567567567567568</v>
      </c>
      <c r="G15" s="5">
        <v>0.875</v>
      </c>
      <c r="H15" s="5">
        <v>0.1</v>
      </c>
      <c r="I15" s="5">
        <v>0.81159420289855067</v>
      </c>
      <c r="J15" s="15">
        <v>-3.2879797461071454E-2</v>
      </c>
      <c r="K15" s="4"/>
      <c r="L15" s="4">
        <v>0.02</v>
      </c>
      <c r="M15" s="4">
        <v>0.50312500000000004</v>
      </c>
      <c r="N15" s="4">
        <v>0.90625</v>
      </c>
      <c r="O15" s="4">
        <v>0.1</v>
      </c>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15">
        <v>1.0000009999999999</v>
      </c>
      <c r="AT15" s="5">
        <v>0.5</v>
      </c>
      <c r="AU15" s="5">
        <v>0</v>
      </c>
      <c r="AV15" s="5">
        <v>1</v>
      </c>
    </row>
    <row r="16" spans="1:48">
      <c r="A16" s="4" t="s">
        <v>30</v>
      </c>
      <c r="B16" s="15">
        <v>0.25</v>
      </c>
      <c r="C16" s="4">
        <v>34</v>
      </c>
      <c r="D16" s="5">
        <v>0.61904761904761907</v>
      </c>
      <c r="E16" s="5">
        <v>0.44062499999999999</v>
      </c>
      <c r="F16" s="5">
        <v>0.73529411764705888</v>
      </c>
      <c r="G16" s="5">
        <v>0.78125</v>
      </c>
      <c r="H16" s="5">
        <v>0.1</v>
      </c>
      <c r="I16" s="5">
        <v>0.75757575757575757</v>
      </c>
      <c r="J16" s="15">
        <v>-0.12880245932982712</v>
      </c>
      <c r="K16" s="4"/>
      <c r="L16" s="4">
        <v>0.03</v>
      </c>
      <c r="M16" s="4">
        <v>0.45624999999999999</v>
      </c>
      <c r="N16" s="4">
        <v>0.8125</v>
      </c>
      <c r="O16" s="4">
        <v>0.1</v>
      </c>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c r="A17" s="4" t="s">
        <v>30</v>
      </c>
      <c r="B17" s="15">
        <v>0.28000000000000003</v>
      </c>
      <c r="C17" s="4">
        <v>24</v>
      </c>
      <c r="D17" s="5">
        <v>0.5714285714285714</v>
      </c>
      <c r="E17" s="5">
        <v>0.546875</v>
      </c>
      <c r="F17" s="5">
        <v>0.79166666666666663</v>
      </c>
      <c r="G17" s="5">
        <v>0.59375</v>
      </c>
      <c r="H17" s="5">
        <v>0.5</v>
      </c>
      <c r="I17" s="5">
        <v>0.6785714285714286</v>
      </c>
      <c r="J17" s="15">
        <v>8.068715304598785E-2</v>
      </c>
      <c r="K17" s="4"/>
      <c r="L17" s="4">
        <v>0.04</v>
      </c>
      <c r="M17" s="4">
        <v>0.47499999999999998</v>
      </c>
      <c r="N17" s="4">
        <v>0.75</v>
      </c>
      <c r="O17" s="4">
        <v>0.2</v>
      </c>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26" t="s">
        <v>26</v>
      </c>
      <c r="AT17" s="26"/>
      <c r="AU17" s="26"/>
      <c r="AV17" s="26"/>
    </row>
    <row r="18" spans="1:48" ht="28">
      <c r="A18" s="4" t="s">
        <v>30</v>
      </c>
      <c r="B18" s="15">
        <v>0.5</v>
      </c>
      <c r="C18" s="4">
        <v>21</v>
      </c>
      <c r="D18" s="5">
        <v>0.59523809523809523</v>
      </c>
      <c r="E18" s="5">
        <v>0.63124999999999998</v>
      </c>
      <c r="F18" s="5">
        <v>0.8571428571428571</v>
      </c>
      <c r="G18" s="5">
        <v>0.5625</v>
      </c>
      <c r="H18" s="5">
        <v>0.7</v>
      </c>
      <c r="I18" s="5">
        <v>0.67924528301886777</v>
      </c>
      <c r="J18" s="15">
        <v>0.22360679774997896</v>
      </c>
      <c r="K18" s="4"/>
      <c r="L18" s="4">
        <v>0.05</v>
      </c>
      <c r="M18" s="4">
        <v>0.47812500000000002</v>
      </c>
      <c r="N18" s="4">
        <v>0.65625</v>
      </c>
      <c r="O18" s="4">
        <v>0.3</v>
      </c>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1" t="s">
        <v>135</v>
      </c>
      <c r="AT18" s="1" t="s">
        <v>83</v>
      </c>
      <c r="AU18" s="1" t="s">
        <v>13</v>
      </c>
      <c r="AV18" s="1" t="s">
        <v>14</v>
      </c>
    </row>
    <row r="19" spans="1:48">
      <c r="A19" s="4" t="s">
        <v>30</v>
      </c>
      <c r="B19" s="15">
        <v>0.65</v>
      </c>
      <c r="C19" s="4">
        <v>21</v>
      </c>
      <c r="D19" s="5">
        <v>0.59523809523809523</v>
      </c>
      <c r="E19" s="5">
        <v>0.63124999999999998</v>
      </c>
      <c r="F19" s="5">
        <v>0.8571428571428571</v>
      </c>
      <c r="G19" s="5">
        <v>0.5625</v>
      </c>
      <c r="H19" s="5">
        <v>0.7</v>
      </c>
      <c r="I19" s="5">
        <v>0.67924528301886777</v>
      </c>
      <c r="J19" s="15">
        <v>0.22360679774997896</v>
      </c>
      <c r="K19" s="4"/>
      <c r="L19" s="4">
        <v>0.06</v>
      </c>
      <c r="M19" s="4">
        <v>0.52812499999999996</v>
      </c>
      <c r="N19" s="4">
        <v>0.65625</v>
      </c>
      <c r="O19" s="4">
        <v>0.4</v>
      </c>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15">
        <v>0</v>
      </c>
      <c r="AT19" s="5">
        <v>0.5</v>
      </c>
      <c r="AU19" s="5">
        <v>1</v>
      </c>
      <c r="AV19" s="5">
        <v>0</v>
      </c>
    </row>
    <row r="20" spans="1:48">
      <c r="A20" s="4" t="s">
        <v>30</v>
      </c>
      <c r="B20" s="15">
        <v>0.75</v>
      </c>
      <c r="C20" s="4">
        <v>18</v>
      </c>
      <c r="D20" s="5">
        <v>0.52380952380952384</v>
      </c>
      <c r="E20" s="5">
        <v>0.58437499999999998</v>
      </c>
      <c r="F20" s="5">
        <v>0.83333333333333337</v>
      </c>
      <c r="G20" s="5">
        <v>0.46875</v>
      </c>
      <c r="H20" s="5">
        <v>0.7</v>
      </c>
      <c r="I20" s="5">
        <v>0.6</v>
      </c>
      <c r="J20" s="15">
        <v>0.14523687548277814</v>
      </c>
      <c r="K20" s="4"/>
      <c r="L20" s="4">
        <v>7.0000000000000007E-2</v>
      </c>
      <c r="M20" s="4">
        <v>0.67812499999999998</v>
      </c>
      <c r="N20" s="4">
        <v>0.65625</v>
      </c>
      <c r="O20" s="4">
        <v>0.7</v>
      </c>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15">
        <v>0.02</v>
      </c>
      <c r="AT20" s="5">
        <v>0.5</v>
      </c>
      <c r="AU20" s="5">
        <v>1</v>
      </c>
      <c r="AV20" s="5">
        <v>0</v>
      </c>
    </row>
    <row r="21" spans="1:48">
      <c r="A21" s="4" t="s">
        <v>30</v>
      </c>
      <c r="B21" s="15">
        <v>0.85</v>
      </c>
      <c r="C21" s="4">
        <v>6</v>
      </c>
      <c r="D21" s="5">
        <v>0.38095238095238093</v>
      </c>
      <c r="E21" s="5">
        <v>0.59375</v>
      </c>
      <c r="F21" s="5">
        <v>1</v>
      </c>
      <c r="G21" s="5">
        <v>0.1875</v>
      </c>
      <c r="H21" s="5">
        <v>1</v>
      </c>
      <c r="I21" s="5">
        <v>0.31578947368421051</v>
      </c>
      <c r="J21" s="15">
        <v>0.22821773229381923</v>
      </c>
      <c r="K21" s="4"/>
      <c r="L21" s="4">
        <v>0.08</v>
      </c>
      <c r="M21" s="4">
        <v>0.66249999999999998</v>
      </c>
      <c r="N21" s="4">
        <v>0.625</v>
      </c>
      <c r="O21" s="4">
        <v>0.7</v>
      </c>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15">
        <v>0.05</v>
      </c>
      <c r="AT21" s="5">
        <v>0.55000000000000004</v>
      </c>
      <c r="AU21" s="5">
        <v>1</v>
      </c>
      <c r="AV21" s="5">
        <v>0.1</v>
      </c>
    </row>
    <row r="22" spans="1:48">
      <c r="A22" s="4" t="s">
        <v>30</v>
      </c>
      <c r="B22" s="15">
        <v>0.95</v>
      </c>
      <c r="C22" s="4">
        <v>3</v>
      </c>
      <c r="D22" s="5">
        <v>0.30952380952380953</v>
      </c>
      <c r="E22" s="5">
        <v>0.546875</v>
      </c>
      <c r="F22" s="5">
        <v>1</v>
      </c>
      <c r="G22" s="5">
        <v>9.375E-2</v>
      </c>
      <c r="H22" s="5">
        <v>1</v>
      </c>
      <c r="I22" s="5">
        <v>0.17142857142857143</v>
      </c>
      <c r="J22" s="15">
        <v>0.15504341823651058</v>
      </c>
      <c r="K22" s="4"/>
      <c r="L22" s="4">
        <v>0.09</v>
      </c>
      <c r="M22" s="4">
        <v>0.69687500000000002</v>
      </c>
      <c r="N22" s="4">
        <v>0.59375</v>
      </c>
      <c r="O22" s="4">
        <v>0.8</v>
      </c>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15">
        <v>0.1</v>
      </c>
      <c r="AT22" s="5">
        <v>0.609375</v>
      </c>
      <c r="AU22" s="5">
        <v>0.71875</v>
      </c>
      <c r="AV22" s="5">
        <v>0.5</v>
      </c>
    </row>
    <row r="23" spans="1:48">
      <c r="A23" s="4" t="s">
        <v>30</v>
      </c>
      <c r="B23" s="15">
        <v>1.0000009999999999</v>
      </c>
      <c r="C23" s="4">
        <v>0</v>
      </c>
      <c r="D23" s="5">
        <v>0.23809523809523808</v>
      </c>
      <c r="E23" s="5">
        <v>0.5</v>
      </c>
      <c r="F23" s="5">
        <v>0</v>
      </c>
      <c r="G23" s="5">
        <v>0</v>
      </c>
      <c r="H23" s="5">
        <v>1</v>
      </c>
      <c r="I23" s="5">
        <v>0</v>
      </c>
      <c r="J23" s="15">
        <v>0</v>
      </c>
      <c r="K23" s="4"/>
      <c r="L23" s="4">
        <v>0.1</v>
      </c>
      <c r="M23" s="4">
        <v>0.68125000000000002</v>
      </c>
      <c r="N23" s="4">
        <v>0.5625</v>
      </c>
      <c r="O23" s="4">
        <v>0.8</v>
      </c>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15">
        <v>0.15</v>
      </c>
      <c r="AT23" s="5">
        <v>0.58437499999999998</v>
      </c>
      <c r="AU23" s="5">
        <v>0.46875</v>
      </c>
      <c r="AV23" s="5">
        <v>0.7</v>
      </c>
    </row>
    <row r="24" spans="1:48">
      <c r="A24" s="4" t="s">
        <v>26</v>
      </c>
      <c r="B24" s="15">
        <v>0</v>
      </c>
      <c r="C24" s="4">
        <v>42</v>
      </c>
      <c r="D24" s="5">
        <v>0.76190476190476186</v>
      </c>
      <c r="E24" s="5">
        <v>0.5</v>
      </c>
      <c r="F24" s="5">
        <v>0.76190476190476186</v>
      </c>
      <c r="G24" s="5">
        <v>1</v>
      </c>
      <c r="H24" s="5">
        <v>0</v>
      </c>
      <c r="I24" s="5">
        <v>0.8648648648648648</v>
      </c>
      <c r="J24" s="15">
        <v>0</v>
      </c>
      <c r="K24" s="4"/>
      <c r="L24" s="4">
        <v>0.13</v>
      </c>
      <c r="M24" s="4">
        <v>0.765625</v>
      </c>
      <c r="N24" s="4">
        <v>0.53125</v>
      </c>
      <c r="O24" s="4">
        <v>1</v>
      </c>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15">
        <v>0.5</v>
      </c>
      <c r="AT24" s="5">
        <v>0.62187499999999996</v>
      </c>
      <c r="AU24" s="5">
        <v>0.34375</v>
      </c>
      <c r="AV24" s="5">
        <v>0.9</v>
      </c>
    </row>
    <row r="25" spans="1:48">
      <c r="A25" s="4" t="s">
        <v>26</v>
      </c>
      <c r="B25" s="15">
        <v>0.02</v>
      </c>
      <c r="C25" s="4">
        <v>42</v>
      </c>
      <c r="D25" s="5">
        <v>0.76190476190476186</v>
      </c>
      <c r="E25" s="5">
        <v>0.5</v>
      </c>
      <c r="F25" s="5">
        <v>0.76190476190476186</v>
      </c>
      <c r="G25" s="5">
        <v>1</v>
      </c>
      <c r="H25" s="5">
        <v>0</v>
      </c>
      <c r="I25" s="5">
        <v>0.8648648648648648</v>
      </c>
      <c r="J25" s="15">
        <v>0</v>
      </c>
      <c r="K25" s="4"/>
      <c r="L25" s="4">
        <v>0.14000000000000001</v>
      </c>
      <c r="M25" s="4">
        <v>0.75</v>
      </c>
      <c r="N25" s="4">
        <v>0.5</v>
      </c>
      <c r="O25" s="4">
        <v>1</v>
      </c>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15">
        <v>0.7</v>
      </c>
      <c r="AT25" s="5">
        <v>0.62187499999999996</v>
      </c>
      <c r="AU25" s="5">
        <v>0.34375</v>
      </c>
      <c r="AV25" s="5">
        <v>0.9</v>
      </c>
    </row>
    <row r="26" spans="1:48">
      <c r="A26" s="4" t="s">
        <v>26</v>
      </c>
      <c r="B26" s="15">
        <v>0.05</v>
      </c>
      <c r="C26" s="4">
        <v>41</v>
      </c>
      <c r="D26" s="5">
        <v>0.7857142857142857</v>
      </c>
      <c r="E26" s="5">
        <v>0.55000000000000004</v>
      </c>
      <c r="F26" s="5">
        <v>0.78048780487804881</v>
      </c>
      <c r="G26" s="5">
        <v>1</v>
      </c>
      <c r="H26" s="5">
        <v>0.1</v>
      </c>
      <c r="I26" s="5">
        <v>0.87671232876712335</v>
      </c>
      <c r="J26" s="15">
        <v>0.27937211830783126</v>
      </c>
      <c r="K26" s="4"/>
      <c r="L26" s="4">
        <v>0.18</v>
      </c>
      <c r="M26" s="4">
        <v>0.734375</v>
      </c>
      <c r="N26" s="4">
        <v>0.46875</v>
      </c>
      <c r="O26" s="4">
        <v>1</v>
      </c>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15">
        <v>0.85</v>
      </c>
      <c r="AT26" s="5">
        <v>0.609375</v>
      </c>
      <c r="AU26" s="5">
        <v>0.21875</v>
      </c>
      <c r="AV26" s="5">
        <v>1</v>
      </c>
    </row>
    <row r="27" spans="1:48">
      <c r="A27" s="4" t="s">
        <v>26</v>
      </c>
      <c r="B27" s="15">
        <v>0.1</v>
      </c>
      <c r="C27" s="4">
        <v>28</v>
      </c>
      <c r="D27" s="5">
        <v>0.66666666666666663</v>
      </c>
      <c r="E27" s="5">
        <v>0.609375</v>
      </c>
      <c r="F27" s="5">
        <v>0.8214285714285714</v>
      </c>
      <c r="G27" s="5">
        <v>0.71875</v>
      </c>
      <c r="H27" s="5">
        <v>0.5</v>
      </c>
      <c r="I27" s="5">
        <v>0.76666666666666661</v>
      </c>
      <c r="J27" s="15">
        <v>0.19764235376052372</v>
      </c>
      <c r="K27" s="4"/>
      <c r="L27" s="4">
        <v>0.22</v>
      </c>
      <c r="M27" s="4">
        <v>0.71875</v>
      </c>
      <c r="N27" s="4">
        <v>0.4375</v>
      </c>
      <c r="O27" s="4">
        <v>1</v>
      </c>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15">
        <v>0.9</v>
      </c>
      <c r="AT27" s="5">
        <v>0.5625</v>
      </c>
      <c r="AU27" s="5">
        <v>0.125</v>
      </c>
      <c r="AV27" s="5">
        <v>1</v>
      </c>
    </row>
    <row r="28" spans="1:48">
      <c r="A28" s="4" t="s">
        <v>26</v>
      </c>
      <c r="B28" s="15">
        <v>0.15</v>
      </c>
      <c r="C28" s="4">
        <v>18</v>
      </c>
      <c r="D28" s="5">
        <v>0.52380952380952384</v>
      </c>
      <c r="E28" s="5">
        <v>0.58437499999999998</v>
      </c>
      <c r="F28" s="5">
        <v>0.83333333333333337</v>
      </c>
      <c r="G28" s="5">
        <v>0.46875</v>
      </c>
      <c r="H28" s="5">
        <v>0.7</v>
      </c>
      <c r="I28" s="5">
        <v>0.6</v>
      </c>
      <c r="J28" s="15">
        <v>0.14523687548277814</v>
      </c>
      <c r="K28" s="4"/>
      <c r="L28" s="4">
        <v>0.24</v>
      </c>
      <c r="M28" s="4">
        <v>0.6875</v>
      </c>
      <c r="N28" s="4">
        <v>0.375</v>
      </c>
      <c r="O28" s="4">
        <v>1</v>
      </c>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15">
        <v>0.95</v>
      </c>
      <c r="AT28" s="5">
        <v>0.546875</v>
      </c>
      <c r="AU28" s="5">
        <v>9.375E-2</v>
      </c>
      <c r="AV28" s="5">
        <v>1</v>
      </c>
    </row>
    <row r="29" spans="1:48">
      <c r="A29" s="4" t="s">
        <v>26</v>
      </c>
      <c r="B29" s="15">
        <v>0.5</v>
      </c>
      <c r="C29" s="4">
        <v>12</v>
      </c>
      <c r="D29" s="5">
        <v>0.47619047619047616</v>
      </c>
      <c r="E29" s="5">
        <v>0.62187499999999996</v>
      </c>
      <c r="F29" s="5">
        <v>0.91666666666666663</v>
      </c>
      <c r="G29" s="5">
        <v>0.34375</v>
      </c>
      <c r="H29" s="5">
        <v>0.9</v>
      </c>
      <c r="I29" s="5">
        <v>0.5</v>
      </c>
      <c r="J29" s="15">
        <v>0.22980970388562794</v>
      </c>
      <c r="K29" s="4"/>
      <c r="L29" s="4">
        <v>0.27</v>
      </c>
      <c r="M29" s="4">
        <v>0.671875</v>
      </c>
      <c r="N29" s="4">
        <v>0.34375</v>
      </c>
      <c r="O29" s="4">
        <v>1</v>
      </c>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15">
        <v>1.0000009999999999</v>
      </c>
      <c r="AT29" s="5">
        <v>0.5</v>
      </c>
      <c r="AU29" s="5">
        <v>0</v>
      </c>
      <c r="AV29" s="5">
        <v>1</v>
      </c>
    </row>
    <row r="30" spans="1:48">
      <c r="A30" s="4" t="s">
        <v>26</v>
      </c>
      <c r="B30" s="15">
        <v>0.7</v>
      </c>
      <c r="C30" s="4">
        <v>12</v>
      </c>
      <c r="D30" s="5">
        <v>0.47619047619047616</v>
      </c>
      <c r="E30" s="5">
        <v>0.62187499999999996</v>
      </c>
      <c r="F30" s="5">
        <v>0.91666666666666663</v>
      </c>
      <c r="G30" s="5">
        <v>0.34375</v>
      </c>
      <c r="H30" s="5">
        <v>0.9</v>
      </c>
      <c r="I30" s="5">
        <v>0.5</v>
      </c>
      <c r="J30" s="15">
        <v>0.22980970388562794</v>
      </c>
      <c r="K30" s="4"/>
      <c r="L30" s="4">
        <v>0.28000000000000003</v>
      </c>
      <c r="M30" s="4">
        <v>0.65625</v>
      </c>
      <c r="N30" s="4">
        <v>0.3125</v>
      </c>
      <c r="O30" s="4">
        <v>1</v>
      </c>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c r="A31" s="4" t="s">
        <v>26</v>
      </c>
      <c r="B31" s="15">
        <v>0.85</v>
      </c>
      <c r="C31" s="4">
        <v>7</v>
      </c>
      <c r="D31" s="5">
        <v>0.40476190476190477</v>
      </c>
      <c r="E31" s="5">
        <v>0.609375</v>
      </c>
      <c r="F31" s="5">
        <v>1</v>
      </c>
      <c r="G31" s="5">
        <v>0.21875</v>
      </c>
      <c r="H31" s="5">
        <v>1</v>
      </c>
      <c r="I31" s="5">
        <v>0.35897435897435898</v>
      </c>
      <c r="J31" s="15">
        <v>0.25</v>
      </c>
      <c r="K31" s="4"/>
      <c r="L31" s="4">
        <v>0.3</v>
      </c>
      <c r="M31" s="4">
        <v>0.640625</v>
      </c>
      <c r="N31" s="4">
        <v>0.28125</v>
      </c>
      <c r="O31" s="4">
        <v>1</v>
      </c>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c r="A32" s="4" t="s">
        <v>26</v>
      </c>
      <c r="B32" s="15">
        <v>0.9</v>
      </c>
      <c r="C32" s="4">
        <v>4</v>
      </c>
      <c r="D32" s="5">
        <v>0.33333333333333331</v>
      </c>
      <c r="E32" s="5">
        <v>0.5625</v>
      </c>
      <c r="F32" s="5">
        <v>1</v>
      </c>
      <c r="G32" s="5">
        <v>0.125</v>
      </c>
      <c r="H32" s="5">
        <v>1</v>
      </c>
      <c r="I32" s="5">
        <v>0.22222222222222221</v>
      </c>
      <c r="J32" s="15">
        <v>0.18136906252750293</v>
      </c>
      <c r="K32" s="4"/>
      <c r="L32" s="4">
        <v>0.32</v>
      </c>
      <c r="M32" s="4">
        <v>0.625</v>
      </c>
      <c r="N32" s="4">
        <v>0.25</v>
      </c>
      <c r="O32" s="4">
        <v>1</v>
      </c>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26" t="s">
        <v>22</v>
      </c>
      <c r="AT32" s="26"/>
      <c r="AU32" s="26"/>
      <c r="AV32" s="26"/>
    </row>
    <row r="33" spans="1:48" ht="28">
      <c r="A33" s="4" t="s">
        <v>26</v>
      </c>
      <c r="B33" s="15">
        <v>0.95</v>
      </c>
      <c r="C33" s="4">
        <v>3</v>
      </c>
      <c r="D33" s="5">
        <v>0.30952380952380953</v>
      </c>
      <c r="E33" s="5">
        <v>0.546875</v>
      </c>
      <c r="F33" s="5">
        <v>1</v>
      </c>
      <c r="G33" s="5">
        <v>9.375E-2</v>
      </c>
      <c r="H33" s="5">
        <v>1</v>
      </c>
      <c r="I33" s="5">
        <v>0.17142857142857143</v>
      </c>
      <c r="J33" s="15">
        <v>0.15504341823651058</v>
      </c>
      <c r="K33" s="4"/>
      <c r="L33" s="4">
        <v>0.44</v>
      </c>
      <c r="M33" s="4">
        <v>0.609375</v>
      </c>
      <c r="N33" s="4">
        <v>0.21875</v>
      </c>
      <c r="O33" s="4">
        <v>1</v>
      </c>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1" t="s">
        <v>135</v>
      </c>
      <c r="AT33" s="1" t="s">
        <v>83</v>
      </c>
      <c r="AU33" s="1" t="s">
        <v>13</v>
      </c>
      <c r="AV33" s="1" t="s">
        <v>14</v>
      </c>
    </row>
    <row r="34" spans="1:48">
      <c r="A34" s="4" t="s">
        <v>26</v>
      </c>
      <c r="B34" s="15">
        <v>1.0000009999999999</v>
      </c>
      <c r="C34" s="4">
        <v>0</v>
      </c>
      <c r="D34" s="5">
        <v>0.23809523809523808</v>
      </c>
      <c r="E34" s="5">
        <v>0.5</v>
      </c>
      <c r="F34" s="5">
        <v>0</v>
      </c>
      <c r="G34" s="5">
        <v>0</v>
      </c>
      <c r="H34" s="5">
        <v>1</v>
      </c>
      <c r="I34" s="5">
        <v>0</v>
      </c>
      <c r="J34" s="15">
        <v>0</v>
      </c>
      <c r="K34" s="4"/>
      <c r="L34" s="4">
        <v>0.5</v>
      </c>
      <c r="M34" s="4">
        <v>0.59375</v>
      </c>
      <c r="N34" s="4">
        <v>0.1875</v>
      </c>
      <c r="O34" s="4">
        <v>1</v>
      </c>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15">
        <v>0</v>
      </c>
      <c r="AT34" s="5">
        <v>0.5</v>
      </c>
      <c r="AU34" s="5">
        <v>1</v>
      </c>
      <c r="AV34" s="5">
        <v>0</v>
      </c>
    </row>
    <row r="35" spans="1:48">
      <c r="A35" s="4" t="s">
        <v>22</v>
      </c>
      <c r="B35" s="15">
        <v>0</v>
      </c>
      <c r="C35" s="4">
        <v>42</v>
      </c>
      <c r="D35" s="5">
        <v>0.76190476190476186</v>
      </c>
      <c r="E35" s="5">
        <v>0.5</v>
      </c>
      <c r="F35" s="5">
        <v>0.76190476190476186</v>
      </c>
      <c r="G35" s="5">
        <v>1</v>
      </c>
      <c r="H35" s="5">
        <v>0</v>
      </c>
      <c r="I35" s="5">
        <v>0.8648648648648648</v>
      </c>
      <c r="J35" s="15">
        <v>0</v>
      </c>
      <c r="K35" s="4"/>
      <c r="L35" s="4">
        <v>0.65</v>
      </c>
      <c r="M35" s="4">
        <v>0.59375</v>
      </c>
      <c r="N35" s="4">
        <v>0.1875</v>
      </c>
      <c r="O35" s="4">
        <v>1</v>
      </c>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15">
        <v>5.0000000000000001E-3</v>
      </c>
      <c r="AT35" s="5">
        <v>0.5</v>
      </c>
      <c r="AU35" s="5">
        <v>1</v>
      </c>
      <c r="AV35" s="5">
        <v>0</v>
      </c>
    </row>
    <row r="36" spans="1:48">
      <c r="A36" s="4" t="s">
        <v>22</v>
      </c>
      <c r="B36" s="15">
        <v>5.0000000000000001E-3</v>
      </c>
      <c r="C36" s="4">
        <v>42</v>
      </c>
      <c r="D36" s="5">
        <v>0.76190476190476186</v>
      </c>
      <c r="E36" s="5">
        <v>0.5</v>
      </c>
      <c r="F36" s="5">
        <v>0.76190476190476186</v>
      </c>
      <c r="G36" s="5">
        <v>1</v>
      </c>
      <c r="H36" s="5">
        <v>0</v>
      </c>
      <c r="I36" s="5">
        <v>0.8648648648648648</v>
      </c>
      <c r="J36" s="15">
        <v>0</v>
      </c>
      <c r="K36" s="4"/>
      <c r="L36" s="4">
        <v>0.78</v>
      </c>
      <c r="M36" s="4">
        <v>0.578125</v>
      </c>
      <c r="N36" s="4">
        <v>0.15625</v>
      </c>
      <c r="O36" s="4">
        <v>1</v>
      </c>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15">
        <v>0.01</v>
      </c>
      <c r="AT36" s="5">
        <v>0.53437500000000004</v>
      </c>
      <c r="AU36" s="5">
        <v>0.96875</v>
      </c>
      <c r="AV36" s="5">
        <v>0.1</v>
      </c>
    </row>
    <row r="37" spans="1:48">
      <c r="A37" s="4" t="s">
        <v>22</v>
      </c>
      <c r="B37" s="15">
        <v>0.01</v>
      </c>
      <c r="C37" s="4">
        <v>40</v>
      </c>
      <c r="D37" s="5">
        <v>0.76190476190476186</v>
      </c>
      <c r="E37" s="5">
        <v>0.53437500000000004</v>
      </c>
      <c r="F37" s="5">
        <v>0.77500000000000002</v>
      </c>
      <c r="G37" s="5">
        <v>0.96875</v>
      </c>
      <c r="H37" s="5">
        <v>0.1</v>
      </c>
      <c r="I37" s="5">
        <v>0.86111111111111127</v>
      </c>
      <c r="J37" s="15">
        <v>0.13750000000000001</v>
      </c>
      <c r="K37" s="4"/>
      <c r="L37" s="4">
        <v>0.88</v>
      </c>
      <c r="M37" s="4">
        <v>0.5625</v>
      </c>
      <c r="N37" s="4">
        <v>0.125</v>
      </c>
      <c r="O37" s="4">
        <v>1</v>
      </c>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15">
        <v>0.02</v>
      </c>
      <c r="AT37" s="5">
        <v>0.50312500000000004</v>
      </c>
      <c r="AU37" s="5">
        <v>0.90625</v>
      </c>
      <c r="AV37" s="5">
        <v>0.1</v>
      </c>
    </row>
    <row r="38" spans="1:48">
      <c r="A38" s="4" t="s">
        <v>22</v>
      </c>
      <c r="B38" s="15">
        <v>0.02</v>
      </c>
      <c r="C38" s="4">
        <v>38</v>
      </c>
      <c r="D38" s="5">
        <v>0.7142857142857143</v>
      </c>
      <c r="E38" s="5">
        <v>0.50312500000000004</v>
      </c>
      <c r="F38" s="5">
        <v>0.76315789473684215</v>
      </c>
      <c r="G38" s="5">
        <v>0.90625</v>
      </c>
      <c r="H38" s="5">
        <v>0.1</v>
      </c>
      <c r="I38" s="5">
        <v>0.82857142857142863</v>
      </c>
      <c r="J38" s="15">
        <v>9.0684531263751453E-3</v>
      </c>
      <c r="K38" s="4"/>
      <c r="L38" s="4">
        <v>0.92</v>
      </c>
      <c r="M38" s="4">
        <v>0.546875</v>
      </c>
      <c r="N38" s="4">
        <v>9.375E-2</v>
      </c>
      <c r="O38" s="4">
        <v>1</v>
      </c>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15">
        <v>0.03</v>
      </c>
      <c r="AT38" s="5">
        <v>0.45624999999999999</v>
      </c>
      <c r="AU38" s="5">
        <v>0.8125</v>
      </c>
      <c r="AV38" s="5">
        <v>0.1</v>
      </c>
    </row>
    <row r="39" spans="1:48">
      <c r="A39" s="4" t="s">
        <v>22</v>
      </c>
      <c r="B39" s="15">
        <v>0.03</v>
      </c>
      <c r="C39" s="4">
        <v>35</v>
      </c>
      <c r="D39" s="5">
        <v>0.6428571428571429</v>
      </c>
      <c r="E39" s="5">
        <v>0.45624999999999999</v>
      </c>
      <c r="F39" s="5">
        <v>0.74285714285714288</v>
      </c>
      <c r="G39" s="5">
        <v>0.8125</v>
      </c>
      <c r="H39" s="5">
        <v>0.1</v>
      </c>
      <c r="I39" s="5">
        <v>0.77611940298507476</v>
      </c>
      <c r="J39" s="15">
        <v>-0.1</v>
      </c>
      <c r="K39" s="4"/>
      <c r="L39" s="4">
        <v>0.97</v>
      </c>
      <c r="M39" s="4">
        <v>0.53125</v>
      </c>
      <c r="N39" s="4">
        <v>6.25E-2</v>
      </c>
      <c r="O39" s="4">
        <v>1</v>
      </c>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15">
        <v>0.04</v>
      </c>
      <c r="AT39" s="5">
        <v>0.47499999999999998</v>
      </c>
      <c r="AU39" s="5">
        <v>0.75</v>
      </c>
      <c r="AV39" s="5">
        <v>0.2</v>
      </c>
    </row>
    <row r="40" spans="1:48">
      <c r="A40" s="4" t="s">
        <v>22</v>
      </c>
      <c r="B40" s="15">
        <v>0.04</v>
      </c>
      <c r="C40" s="4">
        <v>32</v>
      </c>
      <c r="D40" s="5">
        <v>0.61904761904761907</v>
      </c>
      <c r="E40" s="5">
        <v>0.47499999999999998</v>
      </c>
      <c r="F40" s="5">
        <v>0.75</v>
      </c>
      <c r="G40" s="5">
        <v>0.75</v>
      </c>
      <c r="H40" s="5">
        <v>0.2</v>
      </c>
      <c r="I40" s="5">
        <v>0.75</v>
      </c>
      <c r="J40" s="15">
        <v>-0.05</v>
      </c>
      <c r="K40" s="4"/>
      <c r="L40" s="4">
        <v>0.98</v>
      </c>
      <c r="M40" s="4">
        <v>0.515625</v>
      </c>
      <c r="N40" s="4">
        <v>3.125E-2</v>
      </c>
      <c r="O40" s="4">
        <v>1</v>
      </c>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15">
        <v>0.05</v>
      </c>
      <c r="AT40" s="5">
        <v>0.47812500000000002</v>
      </c>
      <c r="AU40" s="5">
        <v>0.65625</v>
      </c>
      <c r="AV40" s="5">
        <v>0.3</v>
      </c>
    </row>
    <row r="41" spans="1:48">
      <c r="A41" s="4" t="s">
        <v>22</v>
      </c>
      <c r="B41" s="15">
        <v>0.05</v>
      </c>
      <c r="C41" s="4">
        <v>28</v>
      </c>
      <c r="D41" s="5">
        <v>0.5714285714285714</v>
      </c>
      <c r="E41" s="5">
        <v>0.47812500000000002</v>
      </c>
      <c r="F41" s="5">
        <v>0.75</v>
      </c>
      <c r="G41" s="5">
        <v>0.65625</v>
      </c>
      <c r="H41" s="5">
        <v>0.3</v>
      </c>
      <c r="I41" s="5">
        <v>0.7</v>
      </c>
      <c r="J41" s="15">
        <v>-3.9528470752104743E-2</v>
      </c>
      <c r="K41" s="4"/>
      <c r="L41" s="4">
        <v>1.0000009999999999</v>
      </c>
      <c r="M41" s="4">
        <v>0.5</v>
      </c>
      <c r="N41" s="4">
        <v>0</v>
      </c>
      <c r="O41" s="4">
        <v>1</v>
      </c>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15">
        <v>0.06</v>
      </c>
      <c r="AT41" s="5">
        <v>0.52812499999999996</v>
      </c>
      <c r="AU41" s="5">
        <v>0.65625</v>
      </c>
      <c r="AV41" s="5">
        <v>0.4</v>
      </c>
    </row>
    <row r="42" spans="1:48">
      <c r="A42" s="4" t="s">
        <v>22</v>
      </c>
      <c r="B42" s="15">
        <v>0.06</v>
      </c>
      <c r="C42" s="4">
        <v>27</v>
      </c>
      <c r="D42" s="5">
        <v>0.59523809523809523</v>
      </c>
      <c r="E42" s="5">
        <v>0.52812499999999996</v>
      </c>
      <c r="F42" s="5">
        <v>0.77777777777777779</v>
      </c>
      <c r="G42" s="5">
        <v>0.65625</v>
      </c>
      <c r="H42" s="5">
        <v>0.4</v>
      </c>
      <c r="I42" s="5">
        <v>0.71186440677966101</v>
      </c>
      <c r="J42" s="15">
        <v>0.05</v>
      </c>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15">
        <v>7.0000000000000007E-2</v>
      </c>
      <c r="AT42" s="5">
        <v>0.67812499999999998</v>
      </c>
      <c r="AU42" s="5">
        <v>0.65625</v>
      </c>
      <c r="AV42" s="5">
        <v>0.7</v>
      </c>
    </row>
    <row r="43" spans="1:48">
      <c r="A43" s="4" t="s">
        <v>22</v>
      </c>
      <c r="B43" s="15">
        <v>7.0000000000000007E-2</v>
      </c>
      <c r="C43" s="4">
        <v>24</v>
      </c>
      <c r="D43" s="5">
        <v>0.66666666666666663</v>
      </c>
      <c r="E43" s="5">
        <v>0.67812499999999998</v>
      </c>
      <c r="F43" s="5">
        <v>0.875</v>
      </c>
      <c r="G43" s="5">
        <v>0.65625</v>
      </c>
      <c r="H43" s="5">
        <v>0.7</v>
      </c>
      <c r="I43" s="5">
        <v>0.75</v>
      </c>
      <c r="J43" s="15">
        <v>0.30661118157475387</v>
      </c>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15">
        <v>0.08</v>
      </c>
      <c r="AT43" s="5">
        <v>0.66249999999999998</v>
      </c>
      <c r="AU43" s="5">
        <v>0.625</v>
      </c>
      <c r="AV43" s="5">
        <v>0.7</v>
      </c>
    </row>
    <row r="44" spans="1:48">
      <c r="A44" s="4" t="s">
        <v>22</v>
      </c>
      <c r="B44" s="15">
        <v>0.08</v>
      </c>
      <c r="C44" s="4">
        <v>23</v>
      </c>
      <c r="D44" s="5">
        <v>0.6428571428571429</v>
      </c>
      <c r="E44" s="5">
        <v>0.66249999999999998</v>
      </c>
      <c r="F44" s="5">
        <v>0.86956521739130432</v>
      </c>
      <c r="G44" s="5">
        <v>0.625</v>
      </c>
      <c r="H44" s="5">
        <v>0.7</v>
      </c>
      <c r="I44" s="5">
        <v>0.72727272727272729</v>
      </c>
      <c r="J44" s="15">
        <v>0.27811065739636281</v>
      </c>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15">
        <v>0.09</v>
      </c>
      <c r="AT44" s="5">
        <v>0.69687500000000002</v>
      </c>
      <c r="AU44" s="5">
        <v>0.59375</v>
      </c>
      <c r="AV44" s="5">
        <v>0.8</v>
      </c>
    </row>
    <row r="45" spans="1:48">
      <c r="A45" s="4" t="s">
        <v>22</v>
      </c>
      <c r="B45" s="15">
        <v>0.09</v>
      </c>
      <c r="C45" s="4">
        <v>21</v>
      </c>
      <c r="D45" s="5">
        <v>0.6428571428571429</v>
      </c>
      <c r="E45" s="5">
        <v>0.69687500000000002</v>
      </c>
      <c r="F45" s="5">
        <v>0.90476190476190477</v>
      </c>
      <c r="G45" s="5">
        <v>0.59375</v>
      </c>
      <c r="H45" s="5">
        <v>0.8</v>
      </c>
      <c r="I45" s="5">
        <v>0.71698113207547176</v>
      </c>
      <c r="J45" s="15">
        <v>0.33541019662496846</v>
      </c>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15">
        <v>0.1</v>
      </c>
      <c r="AT45" s="5">
        <v>0.68125000000000002</v>
      </c>
      <c r="AU45" s="5">
        <v>0.5625</v>
      </c>
      <c r="AV45" s="5">
        <v>0.8</v>
      </c>
    </row>
    <row r="46" spans="1:48">
      <c r="A46" s="4" t="s">
        <v>22</v>
      </c>
      <c r="B46" s="15">
        <v>0.1</v>
      </c>
      <c r="C46" s="4">
        <v>20</v>
      </c>
      <c r="D46" s="5">
        <v>0.61904761904761907</v>
      </c>
      <c r="E46" s="5">
        <v>0.68125000000000002</v>
      </c>
      <c r="F46" s="5">
        <v>0.9</v>
      </c>
      <c r="G46" s="5">
        <v>0.5625</v>
      </c>
      <c r="H46" s="5">
        <v>0.8</v>
      </c>
      <c r="I46" s="5">
        <v>0.69230769230769229</v>
      </c>
      <c r="J46" s="15">
        <v>0.30914103871563509</v>
      </c>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15">
        <v>0.13</v>
      </c>
      <c r="AT46" s="5">
        <v>0.765625</v>
      </c>
      <c r="AU46" s="5">
        <v>0.53125</v>
      </c>
      <c r="AV46" s="5">
        <v>1</v>
      </c>
    </row>
    <row r="47" spans="1:48">
      <c r="A47" s="4" t="s">
        <v>22</v>
      </c>
      <c r="B47" s="15">
        <v>0.13</v>
      </c>
      <c r="C47" s="4">
        <v>17</v>
      </c>
      <c r="D47" s="5">
        <v>0.6428571428571429</v>
      </c>
      <c r="E47" s="5">
        <v>0.765625</v>
      </c>
      <c r="F47" s="5">
        <v>1</v>
      </c>
      <c r="G47" s="5">
        <v>0.53125</v>
      </c>
      <c r="H47" s="5">
        <v>1</v>
      </c>
      <c r="I47" s="5">
        <v>0.69387755102040816</v>
      </c>
      <c r="J47" s="15">
        <v>0.46097722286464432</v>
      </c>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15">
        <v>0.14000000000000001</v>
      </c>
      <c r="AT47" s="5">
        <v>0.75</v>
      </c>
      <c r="AU47" s="5">
        <v>0.5</v>
      </c>
      <c r="AV47" s="5">
        <v>1</v>
      </c>
    </row>
    <row r="48" spans="1:48">
      <c r="A48" s="4" t="s">
        <v>22</v>
      </c>
      <c r="B48" s="15">
        <v>0.14000000000000001</v>
      </c>
      <c r="C48" s="4">
        <v>16</v>
      </c>
      <c r="D48" s="5">
        <v>0.61904761904761907</v>
      </c>
      <c r="E48" s="5">
        <v>0.75</v>
      </c>
      <c r="F48" s="5">
        <v>1</v>
      </c>
      <c r="G48" s="5">
        <v>0.5</v>
      </c>
      <c r="H48" s="5">
        <v>1</v>
      </c>
      <c r="I48" s="5">
        <v>0.66666666666666663</v>
      </c>
      <c r="J48" s="15">
        <v>0.43852900965351466</v>
      </c>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15">
        <v>0.18</v>
      </c>
      <c r="AT48" s="5">
        <v>0.734375</v>
      </c>
      <c r="AU48" s="5">
        <v>0.46875</v>
      </c>
      <c r="AV48" s="5">
        <v>1</v>
      </c>
    </row>
    <row r="49" spans="1:48">
      <c r="A49" s="4" t="s">
        <v>22</v>
      </c>
      <c r="B49" s="15">
        <v>0.18</v>
      </c>
      <c r="C49" s="4">
        <v>15</v>
      </c>
      <c r="D49" s="5">
        <v>0.59523809523809523</v>
      </c>
      <c r="E49" s="5">
        <v>0.734375</v>
      </c>
      <c r="F49" s="5">
        <v>1</v>
      </c>
      <c r="G49" s="5">
        <v>0.46875</v>
      </c>
      <c r="H49" s="5">
        <v>1</v>
      </c>
      <c r="I49" s="5">
        <v>0.63829787234042556</v>
      </c>
      <c r="J49" s="15">
        <v>0.41666666666666669</v>
      </c>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15">
        <v>0.22</v>
      </c>
      <c r="AT49" s="5">
        <v>0.71875</v>
      </c>
      <c r="AU49" s="5">
        <v>0.4375</v>
      </c>
      <c r="AV49" s="5">
        <v>1</v>
      </c>
    </row>
    <row r="50" spans="1:48">
      <c r="A50" s="4" t="s">
        <v>22</v>
      </c>
      <c r="B50" s="15">
        <v>0.22</v>
      </c>
      <c r="C50" s="4">
        <v>14</v>
      </c>
      <c r="D50" s="5">
        <v>0.5714285714285714</v>
      </c>
      <c r="E50" s="5">
        <v>0.71875</v>
      </c>
      <c r="F50" s="5">
        <v>1</v>
      </c>
      <c r="G50" s="5">
        <v>0.4375</v>
      </c>
      <c r="H50" s="5">
        <v>1</v>
      </c>
      <c r="I50" s="5">
        <v>0.60869565217391308</v>
      </c>
      <c r="J50" s="15">
        <v>0.39528470752104744</v>
      </c>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15">
        <v>0.24</v>
      </c>
      <c r="AT50" s="5">
        <v>0.6875</v>
      </c>
      <c r="AU50" s="5">
        <v>0.375</v>
      </c>
      <c r="AV50" s="5">
        <v>1</v>
      </c>
    </row>
    <row r="51" spans="1:48">
      <c r="A51" s="4" t="s">
        <v>22</v>
      </c>
      <c r="B51" s="15">
        <v>0.24</v>
      </c>
      <c r="C51" s="4">
        <v>12</v>
      </c>
      <c r="D51" s="5">
        <v>0.52380952380952384</v>
      </c>
      <c r="E51" s="5">
        <v>0.6875</v>
      </c>
      <c r="F51" s="5">
        <v>1</v>
      </c>
      <c r="G51" s="5">
        <v>0.375</v>
      </c>
      <c r="H51" s="5">
        <v>1</v>
      </c>
      <c r="I51" s="5">
        <v>0.54545454545454541</v>
      </c>
      <c r="J51" s="15">
        <v>0.35355339059327373</v>
      </c>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15">
        <v>0.27</v>
      </c>
      <c r="AT51" s="5">
        <v>0.671875</v>
      </c>
      <c r="AU51" s="5">
        <v>0.34375</v>
      </c>
      <c r="AV51" s="5">
        <v>1</v>
      </c>
    </row>
    <row r="52" spans="1:48">
      <c r="A52" s="4" t="s">
        <v>22</v>
      </c>
      <c r="B52" s="15">
        <v>0.27</v>
      </c>
      <c r="C52" s="4">
        <v>11</v>
      </c>
      <c r="D52" s="5">
        <v>0.5</v>
      </c>
      <c r="E52" s="5">
        <v>0.671875</v>
      </c>
      <c r="F52" s="5">
        <v>1</v>
      </c>
      <c r="G52" s="5">
        <v>0.34375</v>
      </c>
      <c r="H52" s="5">
        <v>1</v>
      </c>
      <c r="I52" s="5">
        <v>0.51162790697674421</v>
      </c>
      <c r="J52" s="15">
        <v>0.33299714229133193</v>
      </c>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15">
        <v>0.28000000000000003</v>
      </c>
      <c r="AT52" s="5">
        <v>0.65625</v>
      </c>
      <c r="AU52" s="5">
        <v>0.3125</v>
      </c>
      <c r="AV52" s="5">
        <v>1</v>
      </c>
    </row>
    <row r="53" spans="1:48">
      <c r="A53" s="4" t="s">
        <v>22</v>
      </c>
      <c r="B53" s="15">
        <v>0.28000000000000003</v>
      </c>
      <c r="C53" s="4">
        <v>10</v>
      </c>
      <c r="D53" s="5">
        <v>0.47619047619047616</v>
      </c>
      <c r="E53" s="5">
        <v>0.65625</v>
      </c>
      <c r="F53" s="5">
        <v>1</v>
      </c>
      <c r="G53" s="5">
        <v>0.3125</v>
      </c>
      <c r="H53" s="5">
        <v>1</v>
      </c>
      <c r="I53" s="5">
        <v>0.47619047619047616</v>
      </c>
      <c r="J53" s="15">
        <v>0.3125</v>
      </c>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15">
        <v>0.3</v>
      </c>
      <c r="AT53" s="5">
        <v>0.640625</v>
      </c>
      <c r="AU53" s="5">
        <v>0.28125</v>
      </c>
      <c r="AV53" s="5">
        <v>1</v>
      </c>
    </row>
    <row r="54" spans="1:48">
      <c r="A54" s="4" t="s">
        <v>22</v>
      </c>
      <c r="B54" s="15">
        <v>0.3</v>
      </c>
      <c r="C54" s="4">
        <v>9</v>
      </c>
      <c r="D54" s="5">
        <v>0.45238095238095238</v>
      </c>
      <c r="E54" s="5">
        <v>0.640625</v>
      </c>
      <c r="F54" s="5">
        <v>1</v>
      </c>
      <c r="G54" s="5">
        <v>0.28125</v>
      </c>
      <c r="H54" s="5">
        <v>1</v>
      </c>
      <c r="I54" s="5">
        <v>0.43902439024390244</v>
      </c>
      <c r="J54" s="15">
        <v>0.29193710406057111</v>
      </c>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15">
        <v>0.32</v>
      </c>
      <c r="AT54" s="5">
        <v>0.625</v>
      </c>
      <c r="AU54" s="5">
        <v>0.25</v>
      </c>
      <c r="AV54" s="5">
        <v>1</v>
      </c>
    </row>
    <row r="55" spans="1:48">
      <c r="A55" s="4" t="s">
        <v>22</v>
      </c>
      <c r="B55" s="15">
        <v>0.32</v>
      </c>
      <c r="C55" s="4">
        <v>8</v>
      </c>
      <c r="D55" s="5">
        <v>0.42857142857142855</v>
      </c>
      <c r="E55" s="5">
        <v>0.625</v>
      </c>
      <c r="F55" s="5">
        <v>1</v>
      </c>
      <c r="G55" s="5">
        <v>0.25</v>
      </c>
      <c r="H55" s="5">
        <v>1</v>
      </c>
      <c r="I55" s="5">
        <v>0.4</v>
      </c>
      <c r="J55" s="15">
        <v>0.2711630722733202</v>
      </c>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15">
        <v>0.44</v>
      </c>
      <c r="AT55" s="5">
        <v>0.609375</v>
      </c>
      <c r="AU55" s="5">
        <v>0.21875</v>
      </c>
      <c r="AV55" s="5">
        <v>1</v>
      </c>
    </row>
    <row r="56" spans="1:48">
      <c r="A56" s="4" t="s">
        <v>22</v>
      </c>
      <c r="B56" s="15">
        <v>0.44</v>
      </c>
      <c r="C56" s="4">
        <v>7</v>
      </c>
      <c r="D56" s="5">
        <v>0.40476190476190477</v>
      </c>
      <c r="E56" s="5">
        <v>0.609375</v>
      </c>
      <c r="F56" s="5">
        <v>1</v>
      </c>
      <c r="G56" s="5">
        <v>0.21875</v>
      </c>
      <c r="H56" s="5">
        <v>1</v>
      </c>
      <c r="I56" s="5">
        <v>0.35897435897435898</v>
      </c>
      <c r="J56" s="15">
        <v>0.25</v>
      </c>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15">
        <v>0.5</v>
      </c>
      <c r="AT56" s="5">
        <v>0.59375</v>
      </c>
      <c r="AU56" s="5">
        <v>0.1875</v>
      </c>
      <c r="AV56" s="5">
        <v>1</v>
      </c>
    </row>
    <row r="57" spans="1:48">
      <c r="A57" s="4" t="s">
        <v>22</v>
      </c>
      <c r="B57" s="15">
        <v>0.5</v>
      </c>
      <c r="C57" s="4">
        <v>6</v>
      </c>
      <c r="D57" s="5">
        <v>0.38095238095238093</v>
      </c>
      <c r="E57" s="5">
        <v>0.59375</v>
      </c>
      <c r="F57" s="5">
        <v>1</v>
      </c>
      <c r="G57" s="5">
        <v>0.1875</v>
      </c>
      <c r="H57" s="5">
        <v>1</v>
      </c>
      <c r="I57" s="5">
        <v>0.31578947368421051</v>
      </c>
      <c r="J57" s="15">
        <v>0.22821773229381923</v>
      </c>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15">
        <v>0.65</v>
      </c>
      <c r="AT57" s="5">
        <v>0.59375</v>
      </c>
      <c r="AU57" s="5">
        <v>0.1875</v>
      </c>
      <c r="AV57" s="5">
        <v>1</v>
      </c>
    </row>
    <row r="58" spans="1:48">
      <c r="A58" s="4" t="s">
        <v>22</v>
      </c>
      <c r="B58" s="15">
        <v>0.65</v>
      </c>
      <c r="C58" s="4">
        <v>6</v>
      </c>
      <c r="D58" s="5">
        <v>0.38095238095238093</v>
      </c>
      <c r="E58" s="5">
        <v>0.59375</v>
      </c>
      <c r="F58" s="5">
        <v>1</v>
      </c>
      <c r="G58" s="5">
        <v>0.1875</v>
      </c>
      <c r="H58" s="5">
        <v>1</v>
      </c>
      <c r="I58" s="5">
        <v>0.31578947368421051</v>
      </c>
      <c r="J58" s="15">
        <v>0.22821773229381923</v>
      </c>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15">
        <v>0.78</v>
      </c>
      <c r="AT58" s="5">
        <v>0.578125</v>
      </c>
      <c r="AU58" s="5">
        <v>0.15625</v>
      </c>
      <c r="AV58" s="5">
        <v>1</v>
      </c>
    </row>
    <row r="59" spans="1:48">
      <c r="A59" s="4" t="s">
        <v>22</v>
      </c>
      <c r="B59" s="15">
        <v>0.78</v>
      </c>
      <c r="C59" s="4">
        <v>5</v>
      </c>
      <c r="D59" s="5">
        <v>0.35714285714285715</v>
      </c>
      <c r="E59" s="5">
        <v>0.578125</v>
      </c>
      <c r="F59" s="5">
        <v>1</v>
      </c>
      <c r="G59" s="5">
        <v>0.15625</v>
      </c>
      <c r="H59" s="5">
        <v>1</v>
      </c>
      <c r="I59" s="5">
        <v>0.27027027027027029</v>
      </c>
      <c r="J59" s="15">
        <v>0.20549873413169661</v>
      </c>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15">
        <v>0.88</v>
      </c>
      <c r="AT59" s="5">
        <v>0.5625</v>
      </c>
      <c r="AU59" s="5">
        <v>0.125</v>
      </c>
      <c r="AV59" s="5">
        <v>1</v>
      </c>
    </row>
    <row r="60" spans="1:48">
      <c r="A60" s="4" t="s">
        <v>22</v>
      </c>
      <c r="B60" s="15">
        <v>0.88</v>
      </c>
      <c r="C60" s="4">
        <v>4</v>
      </c>
      <c r="D60" s="5">
        <v>0.33333333333333331</v>
      </c>
      <c r="E60" s="5">
        <v>0.5625</v>
      </c>
      <c r="F60" s="5">
        <v>1</v>
      </c>
      <c r="G60" s="5">
        <v>0.125</v>
      </c>
      <c r="H60" s="5">
        <v>1</v>
      </c>
      <c r="I60" s="5">
        <v>0.22222222222222221</v>
      </c>
      <c r="J60" s="15">
        <v>0.18136906252750293</v>
      </c>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15">
        <v>0.92</v>
      </c>
      <c r="AT60" s="5">
        <v>0.546875</v>
      </c>
      <c r="AU60" s="5">
        <v>9.375E-2</v>
      </c>
      <c r="AV60" s="5">
        <v>1</v>
      </c>
    </row>
    <row r="61" spans="1:48">
      <c r="A61" s="4" t="s">
        <v>22</v>
      </c>
      <c r="B61" s="15">
        <v>0.92</v>
      </c>
      <c r="C61" s="4">
        <v>3</v>
      </c>
      <c r="D61" s="5">
        <v>0.30952380952380953</v>
      </c>
      <c r="E61" s="5">
        <v>0.546875</v>
      </c>
      <c r="F61" s="5">
        <v>1</v>
      </c>
      <c r="G61" s="5">
        <v>9.375E-2</v>
      </c>
      <c r="H61" s="5">
        <v>1</v>
      </c>
      <c r="I61" s="5">
        <v>0.17142857142857143</v>
      </c>
      <c r="J61" s="15">
        <v>0.15504341823651058</v>
      </c>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15">
        <v>0.97</v>
      </c>
      <c r="AT61" s="5">
        <v>0.53125</v>
      </c>
      <c r="AU61" s="5">
        <v>6.25E-2</v>
      </c>
      <c r="AV61" s="5">
        <v>1</v>
      </c>
    </row>
    <row r="62" spans="1:48">
      <c r="A62" s="4" t="s">
        <v>22</v>
      </c>
      <c r="B62" s="15">
        <v>0.97</v>
      </c>
      <c r="C62" s="4">
        <v>2</v>
      </c>
      <c r="D62" s="5">
        <v>0.2857142857142857</v>
      </c>
      <c r="E62" s="5">
        <v>0.53125</v>
      </c>
      <c r="F62" s="5">
        <v>1</v>
      </c>
      <c r="G62" s="5">
        <v>6.25E-2</v>
      </c>
      <c r="H62" s="5">
        <v>1</v>
      </c>
      <c r="I62" s="5">
        <v>0.11764705882352941</v>
      </c>
      <c r="J62" s="15">
        <v>0.125</v>
      </c>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15">
        <v>0.98</v>
      </c>
      <c r="AT62" s="5">
        <v>0.515625</v>
      </c>
      <c r="AU62" s="5">
        <v>3.125E-2</v>
      </c>
      <c r="AV62" s="5">
        <v>1</v>
      </c>
    </row>
    <row r="63" spans="1:48">
      <c r="A63" s="4" t="s">
        <v>22</v>
      </c>
      <c r="B63" s="15">
        <v>0.98</v>
      </c>
      <c r="C63" s="4">
        <v>1</v>
      </c>
      <c r="D63" s="5">
        <v>0.26190476190476192</v>
      </c>
      <c r="E63" s="5">
        <v>0.515625</v>
      </c>
      <c r="F63" s="5">
        <v>1</v>
      </c>
      <c r="G63" s="5">
        <v>3.125E-2</v>
      </c>
      <c r="H63" s="5">
        <v>1</v>
      </c>
      <c r="I63" s="5">
        <v>6.0606060606060608E-2</v>
      </c>
      <c r="J63" s="15">
        <v>8.730378697119727E-2</v>
      </c>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15">
        <v>1.0000009999999999</v>
      </c>
      <c r="AT63" s="5">
        <v>0.5</v>
      </c>
      <c r="AU63" s="5">
        <v>0</v>
      </c>
      <c r="AV63" s="5">
        <v>1</v>
      </c>
    </row>
    <row r="64" spans="1:48">
      <c r="A64" s="4" t="s">
        <v>22</v>
      </c>
      <c r="B64" s="15">
        <v>1.0000009999999999</v>
      </c>
      <c r="C64" s="4">
        <v>0</v>
      </c>
      <c r="D64" s="5">
        <v>0.23809523809523808</v>
      </c>
      <c r="E64" s="5">
        <v>0.5</v>
      </c>
      <c r="F64" s="5">
        <v>0</v>
      </c>
      <c r="G64" s="5">
        <v>0</v>
      </c>
      <c r="H64" s="5">
        <v>1</v>
      </c>
      <c r="I64" s="5">
        <v>0</v>
      </c>
      <c r="J64" s="15">
        <v>0</v>
      </c>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c r="A66" s="29" t="s">
        <v>173</v>
      </c>
      <c r="B66" s="29"/>
      <c r="C66" s="29"/>
      <c r="D66" s="29"/>
      <c r="E66" s="29"/>
      <c r="F66" s="29"/>
      <c r="G66" s="29"/>
      <c r="H66" s="29"/>
      <c r="I66" s="29"/>
      <c r="J66" s="29"/>
      <c r="K66" s="29"/>
      <c r="L66" s="29"/>
      <c r="M66" s="29"/>
      <c r="N66" s="29"/>
      <c r="O66" s="29"/>
      <c r="P66" s="29"/>
      <c r="Q66" s="29"/>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c r="A67" s="66" t="s">
        <v>174</v>
      </c>
      <c r="B67" s="66"/>
      <c r="C67" s="66"/>
      <c r="D67" s="66"/>
      <c r="E67" s="66"/>
      <c r="F67" s="66"/>
      <c r="G67" s="66"/>
      <c r="H67" s="66"/>
      <c r="I67" s="66"/>
      <c r="J67" s="66"/>
      <c r="K67" s="66"/>
      <c r="L67" s="66"/>
      <c r="M67" s="66"/>
      <c r="N67" s="66"/>
      <c r="O67" s="66"/>
      <c r="P67" s="66"/>
      <c r="Q67" s="66"/>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c r="A68" s="66"/>
      <c r="B68" s="66"/>
      <c r="C68" s="66"/>
      <c r="D68" s="66"/>
      <c r="E68" s="66"/>
      <c r="F68" s="66"/>
      <c r="G68" s="66"/>
      <c r="H68" s="66"/>
      <c r="I68" s="66"/>
      <c r="J68" s="66"/>
      <c r="K68" s="66"/>
      <c r="L68" s="66"/>
      <c r="M68" s="66"/>
      <c r="N68" s="66"/>
      <c r="O68" s="66"/>
      <c r="P68" s="66"/>
      <c r="Q68" s="66"/>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c r="A70" s="1" t="s">
        <v>175</v>
      </c>
      <c r="B70" s="1" t="s">
        <v>9</v>
      </c>
      <c r="C70" s="1" t="s">
        <v>10</v>
      </c>
      <c r="D70" s="1" t="s">
        <v>11</v>
      </c>
      <c r="E70" s="1" t="s">
        <v>12</v>
      </c>
      <c r="F70" s="1" t="s">
        <v>82</v>
      </c>
      <c r="G70" s="1" t="s">
        <v>13</v>
      </c>
      <c r="H70" s="1" t="s">
        <v>14</v>
      </c>
      <c r="I70" s="1" t="s">
        <v>15</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c r="A71" s="4" t="s">
        <v>176</v>
      </c>
      <c r="B71" s="4">
        <v>35</v>
      </c>
      <c r="C71" s="4">
        <v>26</v>
      </c>
      <c r="D71" s="4">
        <v>4</v>
      </c>
      <c r="E71" s="4">
        <v>61</v>
      </c>
      <c r="F71" s="5">
        <f>IFERROR((B71+C71)/SUM(B71:E71),0)</f>
        <v>0.48412698412698413</v>
      </c>
      <c r="G71" s="5">
        <f>IFERROR(B71/(B71+E71),0)</f>
        <v>0.36458333333333331</v>
      </c>
      <c r="H71" s="5">
        <f>IFERROR(C71/(C71+D71),0)</f>
        <v>0.8666666666666667</v>
      </c>
      <c r="I71" s="5">
        <f>IFERROR(2*B71/(2*B71+D71+E71),0)</f>
        <v>0.51851851851851849</v>
      </c>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c r="A72" s="8" t="s">
        <v>177</v>
      </c>
      <c r="B72" s="8">
        <v>46</v>
      </c>
      <c r="C72" s="8">
        <v>26</v>
      </c>
      <c r="D72" s="8">
        <v>4</v>
      </c>
      <c r="E72" s="8">
        <v>50</v>
      </c>
      <c r="F72" s="9">
        <f>IFERROR((B72+C72)/SUM(B72:E72),0)</f>
        <v>0.5714285714285714</v>
      </c>
      <c r="G72" s="9">
        <f>IFERROR(B72/(B72+E72),0)</f>
        <v>0.47916666666666669</v>
      </c>
      <c r="H72" s="9">
        <f>IFERROR(C72/(C72+D72),0)</f>
        <v>0.8666666666666667</v>
      </c>
      <c r="I72" s="9">
        <f>IFERROR(2*B72/(2*B72+D72+E72),0)</f>
        <v>0.63013698630136983</v>
      </c>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row>
  </sheetData>
  <mergeCells count="4">
    <mergeCell ref="A1:AG1"/>
    <mergeCell ref="A2:AG2"/>
    <mergeCell ref="A66:Q66"/>
    <mergeCell ref="A67:Q6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00"/>
  <sheetViews>
    <sheetView workbookViewId="0">
      <selection sqref="A1:N1"/>
    </sheetView>
  </sheetViews>
  <sheetFormatPr defaultRowHeight="14"/>
  <cols>
    <col min="1" max="1" width="15" customWidth="1"/>
    <col min="2" max="3" width="11" customWidth="1"/>
    <col min="4" max="4" width="14" customWidth="1"/>
    <col min="5" max="5" width="4" customWidth="1"/>
    <col min="6" max="6" width="15" customWidth="1"/>
    <col min="7" max="8" width="11" customWidth="1"/>
    <col min="9" max="9" width="14" customWidth="1"/>
    <col min="10" max="10" width="4" customWidth="1"/>
    <col min="11" max="11" width="15" customWidth="1"/>
    <col min="12" max="13" width="11" customWidth="1"/>
    <col min="14" max="14" width="14" customWidth="1"/>
  </cols>
  <sheetData>
    <row r="1" spans="1:48" ht="18.649999999999999" customHeight="1">
      <c r="A1" s="27" t="s">
        <v>178</v>
      </c>
      <c r="B1" s="27"/>
      <c r="C1" s="27"/>
      <c r="D1" s="27"/>
      <c r="E1" s="27"/>
      <c r="F1" s="27"/>
      <c r="G1" s="27"/>
      <c r="H1" s="27"/>
      <c r="I1" s="27"/>
      <c r="J1" s="27"/>
      <c r="K1" s="27"/>
      <c r="L1" s="27"/>
      <c r="M1" s="27"/>
      <c r="N1" s="27"/>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spans="1:48" ht="20" customHeight="1">
      <c r="A2" s="28" t="s">
        <v>179</v>
      </c>
      <c r="B2" s="28"/>
      <c r="C2" s="28"/>
      <c r="D2" s="28"/>
      <c r="E2" s="28"/>
      <c r="F2" s="28"/>
      <c r="G2" s="28"/>
      <c r="H2" s="28"/>
      <c r="I2" s="28"/>
      <c r="J2" s="28"/>
      <c r="K2" s="28"/>
      <c r="L2" s="28"/>
      <c r="M2" s="28"/>
      <c r="N2" s="28"/>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row>
    <row r="3" spans="1:4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row>
    <row r="4" spans="1:48">
      <c r="A4" s="29" t="s">
        <v>180</v>
      </c>
      <c r="B4" s="29"/>
      <c r="C4" s="29"/>
      <c r="D4" s="29"/>
      <c r="E4" s="4"/>
      <c r="F4" s="29" t="s">
        <v>181</v>
      </c>
      <c r="G4" s="29"/>
      <c r="H4" s="29"/>
      <c r="I4" s="29"/>
      <c r="J4" s="4"/>
      <c r="K4" s="29" t="s">
        <v>182</v>
      </c>
      <c r="L4" s="29"/>
      <c r="M4" s="29"/>
      <c r="N4" s="29"/>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row>
    <row r="5" spans="1:48">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spans="1:48">
      <c r="A6" s="1"/>
      <c r="B6" s="1" t="s">
        <v>183</v>
      </c>
      <c r="C6" s="1" t="s">
        <v>184</v>
      </c>
      <c r="D6" s="1" t="s">
        <v>185</v>
      </c>
      <c r="E6" s="4"/>
      <c r="F6" s="1"/>
      <c r="G6" s="1" t="s">
        <v>183</v>
      </c>
      <c r="H6" s="1" t="s">
        <v>184</v>
      </c>
      <c r="I6" s="1" t="s">
        <v>185</v>
      </c>
      <c r="J6" s="4"/>
      <c r="K6" s="1"/>
      <c r="L6" s="1" t="s">
        <v>183</v>
      </c>
      <c r="M6" s="1" t="s">
        <v>184</v>
      </c>
      <c r="N6" s="1" t="s">
        <v>185</v>
      </c>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c r="A7" s="26" t="s">
        <v>186</v>
      </c>
      <c r="B7" s="4">
        <v>25</v>
      </c>
      <c r="C7" s="4">
        <v>71</v>
      </c>
      <c r="D7" s="5">
        <f>IFERROR(((B7/SUM(B7:C7))+(C8/SUM(B8:C8)))/2,0)</f>
        <v>0.61354166666666665</v>
      </c>
      <c r="E7" s="4"/>
      <c r="F7" s="26" t="s">
        <v>186</v>
      </c>
      <c r="G7" s="4">
        <v>35</v>
      </c>
      <c r="H7" s="4">
        <v>61</v>
      </c>
      <c r="I7" s="5">
        <f>IFERROR(((G7/SUM(G7:H7))+(H8/SUM(G8:H8)))/2,0)</f>
        <v>0.61562499999999998</v>
      </c>
      <c r="J7" s="4"/>
      <c r="K7" s="26" t="s">
        <v>186</v>
      </c>
      <c r="L7" s="4">
        <v>46</v>
      </c>
      <c r="M7" s="4">
        <v>50</v>
      </c>
      <c r="N7" s="5">
        <f>IFERROR(((L7/SUM(L7:M7))+(M8/SUM(L8:M8)))/2,0)</f>
        <v>0.67291666666666672</v>
      </c>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row>
    <row r="8" spans="1:48">
      <c r="A8" s="26" t="s">
        <v>187</v>
      </c>
      <c r="B8" s="4">
        <v>1</v>
      </c>
      <c r="C8" s="4">
        <v>29</v>
      </c>
      <c r="D8" s="5"/>
      <c r="E8" s="4"/>
      <c r="F8" s="26" t="s">
        <v>187</v>
      </c>
      <c r="G8" s="4">
        <v>4</v>
      </c>
      <c r="H8" s="4">
        <v>26</v>
      </c>
      <c r="I8" s="5"/>
      <c r="J8" s="4"/>
      <c r="K8" s="26" t="s">
        <v>187</v>
      </c>
      <c r="L8" s="4">
        <v>4</v>
      </c>
      <c r="M8" s="4">
        <v>26</v>
      </c>
      <c r="N8" s="5"/>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row>
    <row r="9" spans="1:48">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1:48">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1:48">
      <c r="A11" s="29" t="s">
        <v>188</v>
      </c>
      <c r="B11" s="29"/>
      <c r="C11" s="29"/>
      <c r="D11" s="29"/>
      <c r="E11" s="4"/>
      <c r="F11" s="29" t="s">
        <v>189</v>
      </c>
      <c r="G11" s="29"/>
      <c r="H11" s="29"/>
      <c r="I11" s="29"/>
      <c r="J11" s="4"/>
      <c r="K11" s="29" t="s">
        <v>190</v>
      </c>
      <c r="L11" s="29"/>
      <c r="M11" s="29"/>
      <c r="N11" s="29"/>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row>
    <row r="12" spans="1:48">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row>
    <row r="13" spans="1:48">
      <c r="A13" s="1"/>
      <c r="B13" s="1" t="s">
        <v>183</v>
      </c>
      <c r="C13" s="1" t="s">
        <v>184</v>
      </c>
      <c r="D13" s="1" t="s">
        <v>185</v>
      </c>
      <c r="E13" s="4"/>
      <c r="F13" s="1"/>
      <c r="G13" s="1" t="s">
        <v>183</v>
      </c>
      <c r="H13" s="1" t="s">
        <v>184</v>
      </c>
      <c r="I13" s="1" t="s">
        <v>185</v>
      </c>
      <c r="J13" s="4"/>
      <c r="K13" s="1"/>
      <c r="L13" s="1" t="s">
        <v>183</v>
      </c>
      <c r="M13" s="1" t="s">
        <v>184</v>
      </c>
      <c r="N13" s="1" t="s">
        <v>185</v>
      </c>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1:48">
      <c r="A14" s="26" t="s">
        <v>186</v>
      </c>
      <c r="B14" s="4">
        <v>7</v>
      </c>
      <c r="C14" s="4">
        <v>25</v>
      </c>
      <c r="D14" s="5">
        <f>IFERROR(((B14/SUM(B14:C14))+(C15/SUM(B15:C15)))/2,0)</f>
        <v>0.609375</v>
      </c>
      <c r="E14" s="4"/>
      <c r="F14" s="26" t="s">
        <v>186</v>
      </c>
      <c r="G14" s="4">
        <v>6</v>
      </c>
      <c r="H14" s="4">
        <v>26</v>
      </c>
      <c r="I14" s="5">
        <f>IFERROR(((G14/SUM(G14:H14))+(H15/SUM(G15:H15)))/2,0)</f>
        <v>0.59375</v>
      </c>
      <c r="J14" s="4"/>
      <c r="K14" s="26" t="s">
        <v>186</v>
      </c>
      <c r="L14" s="4">
        <v>17</v>
      </c>
      <c r="M14" s="4">
        <v>15</v>
      </c>
      <c r="N14" s="5">
        <f>IFERROR(((L14/SUM(L14:M14))+(M15/SUM(L15:M15)))/2,0)</f>
        <v>0.765625</v>
      </c>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c r="A15" s="26" t="s">
        <v>187</v>
      </c>
      <c r="B15" s="4">
        <v>0</v>
      </c>
      <c r="C15" s="4">
        <v>10</v>
      </c>
      <c r="D15" s="5"/>
      <c r="E15" s="4"/>
      <c r="F15" s="26" t="s">
        <v>187</v>
      </c>
      <c r="G15" s="4">
        <v>0</v>
      </c>
      <c r="H15" s="4">
        <v>10</v>
      </c>
      <c r="I15" s="5"/>
      <c r="J15" s="4"/>
      <c r="K15" s="26" t="s">
        <v>187</v>
      </c>
      <c r="L15" s="4">
        <v>0</v>
      </c>
      <c r="M15" s="4">
        <v>10</v>
      </c>
      <c r="N15" s="5"/>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c r="A18" s="29" t="s">
        <v>191</v>
      </c>
      <c r="B18" s="29"/>
      <c r="C18" s="29"/>
      <c r="D18" s="29"/>
      <c r="E18" s="4"/>
      <c r="F18" s="29" t="s">
        <v>192</v>
      </c>
      <c r="G18" s="29"/>
      <c r="H18" s="29"/>
      <c r="I18" s="29"/>
      <c r="J18" s="4"/>
      <c r="K18" s="29" t="s">
        <v>193</v>
      </c>
      <c r="L18" s="29"/>
      <c r="M18" s="29"/>
      <c r="N18" s="29"/>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row>
    <row r="19" spans="1:48">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c r="A20" s="1"/>
      <c r="B20" s="1" t="s">
        <v>183</v>
      </c>
      <c r="C20" s="1" t="s">
        <v>184</v>
      </c>
      <c r="D20" s="1" t="s">
        <v>185</v>
      </c>
      <c r="E20" s="4"/>
      <c r="F20" s="1"/>
      <c r="G20" s="1" t="s">
        <v>183</v>
      </c>
      <c r="H20" s="1" t="s">
        <v>184</v>
      </c>
      <c r="I20" s="1" t="s">
        <v>185</v>
      </c>
      <c r="J20" s="4"/>
      <c r="K20" s="1"/>
      <c r="L20" s="1" t="s">
        <v>183</v>
      </c>
      <c r="M20" s="1" t="s">
        <v>184</v>
      </c>
      <c r="N20" s="1" t="s">
        <v>185</v>
      </c>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c r="A21" s="26" t="s">
        <v>186</v>
      </c>
      <c r="B21" s="4">
        <v>8</v>
      </c>
      <c r="C21" s="4">
        <v>24</v>
      </c>
      <c r="D21" s="5">
        <f>IFERROR(((B21/SUM(B21:C21))+(C22/SUM(B22:C22)))/2,0)</f>
        <v>0.625</v>
      </c>
      <c r="E21" s="4"/>
      <c r="F21" s="26" t="s">
        <v>186</v>
      </c>
      <c r="G21" s="4">
        <v>11</v>
      </c>
      <c r="H21" s="4">
        <v>21</v>
      </c>
      <c r="I21" s="5">
        <f>IFERROR(((G21/SUM(G21:H21))+(H22/SUM(G22:H22)))/2,0)</f>
        <v>0.62187499999999996</v>
      </c>
      <c r="J21" s="4"/>
      <c r="K21" s="26" t="s">
        <v>186</v>
      </c>
      <c r="L21" s="4">
        <v>11</v>
      </c>
      <c r="M21" s="4">
        <v>21</v>
      </c>
      <c r="N21" s="5">
        <f>IFERROR(((L21/SUM(L21:M21))+(M22/SUM(L22:M22)))/2,0)</f>
        <v>0.62187499999999996</v>
      </c>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c r="A22" s="26" t="s">
        <v>187</v>
      </c>
      <c r="B22" s="4">
        <v>0</v>
      </c>
      <c r="C22" s="4">
        <v>10</v>
      </c>
      <c r="D22" s="5"/>
      <c r="E22" s="4"/>
      <c r="F22" s="26" t="s">
        <v>187</v>
      </c>
      <c r="G22" s="4">
        <v>1</v>
      </c>
      <c r="H22" s="4">
        <v>9</v>
      </c>
      <c r="I22" s="5"/>
      <c r="J22" s="4"/>
      <c r="K22" s="26" t="s">
        <v>187</v>
      </c>
      <c r="L22" s="4">
        <v>1</v>
      </c>
      <c r="M22" s="4">
        <v>9</v>
      </c>
      <c r="N22" s="5"/>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c r="A25" s="29" t="s">
        <v>194</v>
      </c>
      <c r="B25" s="29"/>
      <c r="C25" s="29"/>
      <c r="D25" s="29"/>
      <c r="E25" s="4"/>
      <c r="F25" s="29" t="s">
        <v>195</v>
      </c>
      <c r="G25" s="29"/>
      <c r="H25" s="29"/>
      <c r="I25" s="29"/>
      <c r="J25" s="4"/>
      <c r="K25" s="29" t="s">
        <v>196</v>
      </c>
      <c r="L25" s="29"/>
      <c r="M25" s="29"/>
      <c r="N25" s="29"/>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c r="A27" s="1"/>
      <c r="B27" s="1" t="s">
        <v>183</v>
      </c>
      <c r="C27" s="1" t="s">
        <v>184</v>
      </c>
      <c r="D27" s="1" t="s">
        <v>185</v>
      </c>
      <c r="E27" s="4"/>
      <c r="F27" s="1"/>
      <c r="G27" s="1" t="s">
        <v>183</v>
      </c>
      <c r="H27" s="1" t="s">
        <v>184</v>
      </c>
      <c r="I27" s="1" t="s">
        <v>185</v>
      </c>
      <c r="J27" s="4"/>
      <c r="K27" s="1"/>
      <c r="L27" s="1" t="s">
        <v>183</v>
      </c>
      <c r="M27" s="1" t="s">
        <v>184</v>
      </c>
      <c r="N27" s="1" t="s">
        <v>185</v>
      </c>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c r="A28" s="26" t="s">
        <v>186</v>
      </c>
      <c r="B28" s="4">
        <v>10</v>
      </c>
      <c r="C28" s="4">
        <v>22</v>
      </c>
      <c r="D28" s="5">
        <f>IFERROR(((B28/SUM(B28:C28))+(C29/SUM(B29:C29)))/2,0)</f>
        <v>0.60624999999999996</v>
      </c>
      <c r="E28" s="4"/>
      <c r="F28" s="26" t="s">
        <v>186</v>
      </c>
      <c r="G28" s="4">
        <v>18</v>
      </c>
      <c r="H28" s="4">
        <v>14</v>
      </c>
      <c r="I28" s="5">
        <f>IFERROR(((G28/SUM(G28:H28))+(H29/SUM(G29:H29)))/2,0)</f>
        <v>0.63124999999999998</v>
      </c>
      <c r="J28" s="4"/>
      <c r="K28" s="26" t="s">
        <v>186</v>
      </c>
      <c r="L28" s="4">
        <v>18</v>
      </c>
      <c r="M28" s="4">
        <v>14</v>
      </c>
      <c r="N28" s="5">
        <f>IFERROR(((L28/SUM(L28:M28))+(M29/SUM(L29:M29)))/2,0)</f>
        <v>0.63124999999999998</v>
      </c>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c r="A29" s="26" t="s">
        <v>187</v>
      </c>
      <c r="B29" s="4">
        <v>1</v>
      </c>
      <c r="C29" s="4">
        <v>9</v>
      </c>
      <c r="D29" s="5"/>
      <c r="E29" s="4"/>
      <c r="F29" s="26" t="s">
        <v>187</v>
      </c>
      <c r="G29" s="4">
        <v>3</v>
      </c>
      <c r="H29" s="4">
        <v>7</v>
      </c>
      <c r="I29" s="5"/>
      <c r="J29" s="4"/>
      <c r="K29" s="26" t="s">
        <v>187</v>
      </c>
      <c r="L29" s="4">
        <v>3</v>
      </c>
      <c r="M29" s="4">
        <v>7</v>
      </c>
      <c r="N29" s="5"/>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c r="A33" s="29" t="s">
        <v>197</v>
      </c>
      <c r="B33" s="29"/>
      <c r="C33" s="29"/>
      <c r="D33" s="29"/>
      <c r="E33" s="29"/>
      <c r="F33" s="29"/>
      <c r="G33" s="29"/>
      <c r="H33" s="29"/>
      <c r="I33" s="29"/>
      <c r="J33" s="29"/>
      <c r="K33" s="29"/>
      <c r="L33" s="29"/>
      <c r="M33" s="29"/>
      <c r="N33" s="29"/>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c r="A34" s="66" t="s">
        <v>198</v>
      </c>
      <c r="B34" s="66"/>
      <c r="C34" s="66"/>
      <c r="D34" s="66"/>
      <c r="E34" s="66"/>
      <c r="F34" s="66"/>
      <c r="G34" s="66"/>
      <c r="H34" s="66"/>
      <c r="I34" s="66"/>
      <c r="J34" s="66"/>
      <c r="K34" s="66"/>
      <c r="L34" s="66"/>
      <c r="M34" s="66"/>
      <c r="N34" s="66"/>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c r="A35" s="66"/>
      <c r="B35" s="66"/>
      <c r="C35" s="66"/>
      <c r="D35" s="66"/>
      <c r="E35" s="66"/>
      <c r="F35" s="66"/>
      <c r="G35" s="66"/>
      <c r="H35" s="66"/>
      <c r="I35" s="66"/>
      <c r="J35" s="66"/>
      <c r="K35" s="66"/>
      <c r="L35" s="66"/>
      <c r="M35" s="66"/>
      <c r="N35" s="66"/>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row>
    <row r="44" spans="1:48">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row>
    <row r="45" spans="1:48">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row>
    <row r="46" spans="1:48">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row r="47" spans="1:48">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row>
    <row r="48" spans="1: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row r="53" spans="1:48">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row>
    <row r="54" spans="1:48">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row>
    <row r="55" spans="1:48">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row>
    <row r="56" spans="1:48">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row>
    <row r="58" spans="1:4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row>
    <row r="59" spans="1:48">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row>
    <row r="60" spans="1:48">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row>
    <row r="61" spans="1:48">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row>
    <row r="62" spans="1:48">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row>
    <row r="63" spans="1:48">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row>
    <row r="64" spans="1:48">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row>
    <row r="65" spans="1:48">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row>
    <row r="66" spans="1:48">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row>
    <row r="67" spans="1:48">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row>
    <row r="68" spans="1:4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row>
    <row r="69" spans="1:48">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row>
    <row r="70" spans="1:48">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row>
    <row r="71" spans="1:48">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row>
    <row r="72" spans="1:48">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row>
    <row r="73" spans="1:48">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row>
    <row r="74" spans="1:48">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row>
    <row r="76" spans="1:48">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row>
    <row r="77" spans="1:48">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row>
    <row r="78" spans="1:4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row>
    <row r="79" spans="1:48">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row>
    <row r="80" spans="1:48">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row>
    <row r="81" spans="1:48">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row>
    <row r="82" spans="1:48">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row>
    <row r="83" spans="1:48">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row>
    <row r="84" spans="1:48">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row>
    <row r="85" spans="1:48">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row>
    <row r="86" spans="1:48">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row>
    <row r="87" spans="1:48">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row>
    <row r="88" spans="1:4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row>
    <row r="89" spans="1:48">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row>
    <row r="90" spans="1:48">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row>
    <row r="91" spans="1:48">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row>
    <row r="92" spans="1:48">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row>
    <row r="93" spans="1:48">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row>
    <row r="94" spans="1:48">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row>
    <row r="95" spans="1:48">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row>
    <row r="96" spans="1:48">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row>
    <row r="97" spans="1:48">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row>
    <row r="98" spans="1:4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row>
    <row r="99" spans="1:48">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row>
    <row r="100" spans="1:4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row>
  </sheetData>
  <mergeCells count="16">
    <mergeCell ref="A25:D25"/>
    <mergeCell ref="F25:I25"/>
    <mergeCell ref="K25:N25"/>
    <mergeCell ref="A33:N33"/>
    <mergeCell ref="A34:N35"/>
    <mergeCell ref="A11:D11"/>
    <mergeCell ref="F11:I11"/>
    <mergeCell ref="K11:N11"/>
    <mergeCell ref="A18:D18"/>
    <mergeCell ref="F18:I18"/>
    <mergeCell ref="K18:N18"/>
    <mergeCell ref="A1:N1"/>
    <mergeCell ref="A2:N2"/>
    <mergeCell ref="A4:D4"/>
    <mergeCell ref="F4:I4"/>
    <mergeCell ref="K4:N4"/>
  </mergeCells>
  <conditionalFormatting sqref="B7:C8">
    <cfRule type="colorScale" priority="1">
      <colorScale>
        <cfvo type="min"/>
        <cfvo type="percentile" val="50"/>
        <cfvo type="max"/>
        <color rgb="FFFCE4D6"/>
        <color rgb="FFFFF2CC"/>
        <color rgb="FFE2F0D9"/>
      </colorScale>
    </cfRule>
  </conditionalFormatting>
  <conditionalFormatting sqref="B14:C15">
    <cfRule type="colorScale" priority="4">
      <colorScale>
        <cfvo type="min"/>
        <cfvo type="percentile" val="50"/>
        <cfvo type="max"/>
        <color rgb="FFFCE4D6"/>
        <color rgb="FFFFF2CC"/>
        <color rgb="FFE2F0D9"/>
      </colorScale>
    </cfRule>
  </conditionalFormatting>
  <conditionalFormatting sqref="B21:C22">
    <cfRule type="colorScale" priority="7">
      <colorScale>
        <cfvo type="min"/>
        <cfvo type="percentile" val="50"/>
        <cfvo type="max"/>
        <color rgb="FFFCE4D6"/>
        <color rgb="FFFFF2CC"/>
        <color rgb="FFE2F0D9"/>
      </colorScale>
    </cfRule>
  </conditionalFormatting>
  <conditionalFormatting sqref="B28:C29">
    <cfRule type="colorScale" priority="10">
      <colorScale>
        <cfvo type="min"/>
        <cfvo type="percentile" val="50"/>
        <cfvo type="max"/>
        <color rgb="FFFCE4D6"/>
        <color rgb="FFFFF2CC"/>
        <color rgb="FFE2F0D9"/>
      </colorScale>
    </cfRule>
  </conditionalFormatting>
  <conditionalFormatting sqref="G7:H8">
    <cfRule type="colorScale" priority="2">
      <colorScale>
        <cfvo type="min"/>
        <cfvo type="percentile" val="50"/>
        <cfvo type="max"/>
        <color rgb="FFFCE4D6"/>
        <color rgb="FFFFF2CC"/>
        <color rgb="FFE2F0D9"/>
      </colorScale>
    </cfRule>
  </conditionalFormatting>
  <conditionalFormatting sqref="G14:H15">
    <cfRule type="colorScale" priority="5">
      <colorScale>
        <cfvo type="min"/>
        <cfvo type="percentile" val="50"/>
        <cfvo type="max"/>
        <color rgb="FFFCE4D6"/>
        <color rgb="FFFFF2CC"/>
        <color rgb="FFE2F0D9"/>
      </colorScale>
    </cfRule>
  </conditionalFormatting>
  <conditionalFormatting sqref="G21:H22">
    <cfRule type="colorScale" priority="8">
      <colorScale>
        <cfvo type="min"/>
        <cfvo type="percentile" val="50"/>
        <cfvo type="max"/>
        <color rgb="FFFCE4D6"/>
        <color rgb="FFFFF2CC"/>
        <color rgb="FFE2F0D9"/>
      </colorScale>
    </cfRule>
  </conditionalFormatting>
  <conditionalFormatting sqref="G28:H29">
    <cfRule type="colorScale" priority="11">
      <colorScale>
        <cfvo type="min"/>
        <cfvo type="percentile" val="50"/>
        <cfvo type="max"/>
        <color rgb="FFFCE4D6"/>
        <color rgb="FFFFF2CC"/>
        <color rgb="FFE2F0D9"/>
      </colorScale>
    </cfRule>
  </conditionalFormatting>
  <conditionalFormatting sqref="L7:M8">
    <cfRule type="colorScale" priority="3">
      <colorScale>
        <cfvo type="min"/>
        <cfvo type="percentile" val="50"/>
        <cfvo type="max"/>
        <color rgb="FFFCE4D6"/>
        <color rgb="FFFFF2CC"/>
        <color rgb="FFE2F0D9"/>
      </colorScale>
    </cfRule>
  </conditionalFormatting>
  <conditionalFormatting sqref="L14:M15">
    <cfRule type="colorScale" priority="6">
      <colorScale>
        <cfvo type="min"/>
        <cfvo type="percentile" val="50"/>
        <cfvo type="max"/>
        <color rgb="FFFCE4D6"/>
        <color rgb="FFFFF2CC"/>
        <color rgb="FFE2F0D9"/>
      </colorScale>
    </cfRule>
  </conditionalFormatting>
  <conditionalFormatting sqref="L21:M22">
    <cfRule type="colorScale" priority="9">
      <colorScale>
        <cfvo type="min"/>
        <cfvo type="percentile" val="50"/>
        <cfvo type="max"/>
        <color rgb="FFFCE4D6"/>
        <color rgb="FFFFF2CC"/>
        <color rgb="FFE2F0D9"/>
      </colorScale>
    </cfRule>
  </conditionalFormatting>
  <conditionalFormatting sqref="L28:M29">
    <cfRule type="colorScale" priority="12">
      <colorScale>
        <cfvo type="min"/>
        <cfvo type="percentile" val="50"/>
        <cfvo type="max"/>
        <color rgb="FFFCE4D6"/>
        <color rgb="FFFFF2CC"/>
        <color rgb="FFE2F0D9"/>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Meeting Summary</vt:lpstr>
      <vt:lpstr>Phase1 Comparison</vt:lpstr>
      <vt:lpstr>Document Analysis</vt:lpstr>
      <vt:lpstr>Old Labels Finding</vt:lpstr>
      <vt:lpstr>Threshold Analysis</vt:lpstr>
      <vt:lpstr>Confusion Matrices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2026-08-07T17:11:10Z</dcterms:modified>
</cp:coreProperties>
</file>
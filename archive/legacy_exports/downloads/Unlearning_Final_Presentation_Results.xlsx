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21E41E-CEB1-42EB-8435-FC23B7A1313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xecutive Summary" sheetId="1" r:id="rId1"/>
    <sheet name="Individual Models" sheetId="2" r:id="rId2"/>
    <sheet name="Threshold Impact" sheetId="3" r:id="rId3"/>
    <sheet name="Prompt A-B Tests" sheetId="4" r:id="rId4"/>
    <sheet name="Gold &amp; Kyle Sensitivity" sheetId="5" r:id="rId5"/>
    <sheet name="By Document" sheetId="6" r:id="rId6"/>
    <sheet name="By Labeler" sheetId="7" r:id="rId7"/>
    <sheet name="Ensembles" sheetId="8" r:id="rId8"/>
    <sheet name="Run Quality" sheetId="9" r:id="rId9"/>
    <sheet name="Notes &amp; Defini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8" l="1"/>
  <c r="D22" i="8"/>
  <c r="D21" i="8"/>
  <c r="K9" i="7"/>
  <c r="J9" i="7"/>
  <c r="K8" i="7"/>
  <c r="J8" i="7"/>
  <c r="K7" i="7"/>
  <c r="J7" i="7"/>
  <c r="K6" i="7"/>
  <c r="J6" i="7"/>
  <c r="K10" i="6"/>
  <c r="J10" i="6"/>
  <c r="K9" i="6"/>
  <c r="J9" i="6"/>
  <c r="K8" i="6"/>
  <c r="J8" i="6"/>
  <c r="K7" i="6"/>
  <c r="J7" i="6"/>
  <c r="K6" i="6"/>
  <c r="J6" i="6"/>
  <c r="K9" i="5"/>
  <c r="J9" i="5"/>
  <c r="K8" i="5"/>
  <c r="J8" i="5"/>
  <c r="K7" i="5"/>
  <c r="J7" i="5"/>
  <c r="K6" i="5"/>
  <c r="J6" i="5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J18" i="1"/>
  <c r="I18" i="1"/>
  <c r="J17" i="1"/>
  <c r="I17" i="1"/>
  <c r="J16" i="1"/>
  <c r="I16" i="1"/>
  <c r="J15" i="1"/>
  <c r="I15" i="1"/>
  <c r="J14" i="1"/>
  <c r="I14" i="1"/>
</calcChain>
</file>

<file path=xl/sharedStrings.xml><?xml version="1.0" encoding="utf-8"?>
<sst xmlns="http://schemas.openxmlformats.org/spreadsheetml/2006/main" count="513" uniqueCount="183">
  <si>
    <t>Final Unlearning Benchmark — Presentation Summary</t>
  </si>
  <si>
    <t>Primary benchmark: finalized 76-passage NEW GOLD test set. F1 and Accuracy are emphasized; optimized thresholds are in-sample exploratory.</t>
  </si>
  <si>
    <t>BEST INDIVIDUAL CONFIGURATION</t>
  </si>
  <si>
    <t>F1</t>
  </si>
  <si>
    <t>Accuracy</t>
  </si>
  <si>
    <t>AUROC</t>
  </si>
  <si>
    <t>F1 Δ vs opt. baseline</t>
  </si>
  <si>
    <t>Model</t>
  </si>
  <si>
    <t>GPT-5.6 Terra</t>
  </si>
  <si>
    <t>Prompt</t>
  </si>
  <si>
    <t>Revised codebook + examples + checklist</t>
  </si>
  <si>
    <t>Reasoning</t>
  </si>
  <si>
    <t>Low</t>
  </si>
  <si>
    <t>Best individual</t>
  </si>
  <si>
    <t>percentage points</t>
  </si>
  <si>
    <t>Optimized threshold</t>
  </si>
  <si>
    <t>Evaluation</t>
  </si>
  <si>
    <t>New gold, n=76</t>
  </si>
  <si>
    <t>Best model vs controlled baseline</t>
  </si>
  <si>
    <t>Configuration</t>
  </si>
  <si>
    <t>Threshold</t>
  </si>
  <si>
    <t>Recall</t>
  </si>
  <si>
    <t>Precision</t>
  </si>
  <si>
    <t>n</t>
  </si>
  <si>
    <t>Δ Accuracy vs raw baseline</t>
  </si>
  <si>
    <t>Δ F1 vs raw baseline</t>
  </si>
  <si>
    <t>GPT direct target only — raw baseline</t>
  </si>
  <si>
    <t>GPT raw baseline</t>
  </si>
  <si>
    <t>GPT direct target only — optimized threshold</t>
  </si>
  <si>
    <t>GPT optimized baseline</t>
  </si>
  <si>
    <t>GPT + codebook + examples + checklist — raw 0.50</t>
  </si>
  <si>
    <t>Full GPT @0.50</t>
  </si>
  <si>
    <t>GPT + codebook + examples + checklist — optimized</t>
  </si>
  <si>
    <t>Best individual GPT</t>
  </si>
  <si>
    <t>Best weighted ensemble — Codebook + checklist</t>
  </si>
  <si>
    <t>Best weighted ensemble</t>
  </si>
  <si>
    <t>Presentation takeaways</t>
  </si>
  <si>
    <t>#</t>
  </si>
  <si>
    <t>Finding</t>
  </si>
  <si>
    <t>Result</t>
  </si>
  <si>
    <t>1</t>
  </si>
  <si>
    <t>GPT-5.6 Terra + codebook + examples + checklist at threshold 0.06: F1 77.6%, Accuracy 71.1%.</t>
  </si>
  <si>
    <t>2</t>
  </si>
  <si>
    <t>Controlled improvement</t>
  </si>
  <si>
    <t>Versus same GPT direct-target optimized baseline: +10.2% F1, +11.8% Accuracy, +12.7% AUROC.</t>
  </si>
  <si>
    <t>3</t>
  </si>
  <si>
    <t>Threshold effect</t>
  </si>
  <si>
    <t>Full GPT config: F1 25.9% / Accuracy 47.4% at 0.50 → F1 77.6% / Accuracy 71.1% at 0.06.</t>
  </si>
  <si>
    <t>4</t>
  </si>
  <si>
    <t>Kyle sensitivity</t>
  </si>
  <si>
    <t>Excluding Kyle-only rows: F1 80.0%, Accuracy 73.5%, n=68.</t>
  </si>
  <si>
    <t>5</t>
  </si>
  <si>
    <t>Ensemble</t>
  </si>
  <si>
    <t>Best weighted ensemble F1 78.8%; only 1.3% above best individual, with Accuracy 70.7%.</t>
  </si>
  <si>
    <t>6</t>
  </si>
  <si>
    <t>Hardest document</t>
  </si>
  <si>
    <t>EPA: F1 28.6%, Accuracy 54.5% for the best GPT configuration.</t>
  </si>
  <si>
    <t>Individual Model × Prompt Results</t>
  </si>
  <si>
    <t>Optimized threshold results on the NEW GOLD test set; ranked primarily by F1, then Accuracy.</t>
  </si>
  <si>
    <t>Rank</t>
  </si>
  <si>
    <t>Prompt configuration</t>
  </si>
  <si>
    <t>Examples?</t>
  </si>
  <si>
    <t>Checklist?</t>
  </si>
  <si>
    <t>Coverage</t>
  </si>
  <si>
    <t>Codebook + examples + checklist</t>
  </si>
  <si>
    <t>Yes</t>
  </si>
  <si>
    <t>Gemini 3.1 Flash-Lite</t>
  </si>
  <si>
    <t>Codebook + examples; no checklist</t>
  </si>
  <si>
    <t>No</t>
  </si>
  <si>
    <t>Codebook; no examples; + checklist</t>
  </si>
  <si>
    <t>Claude 4.5 Haiku</t>
  </si>
  <si>
    <t>Codebook; no examples; no checklist</t>
  </si>
  <si>
    <t>Direct target only (baseline)</t>
  </si>
  <si>
    <t>N/A</t>
  </si>
  <si>
    <t>Effect of Threshold Optimization</t>
  </si>
  <si>
    <t>Default 0.50 versus model/prompt-specific F1-optimized thresholds on NEW GOLD. AUROC is threshold-independent.</t>
  </si>
  <si>
    <t>Accuracy @0.50</t>
  </si>
  <si>
    <t>Optimized Accuracy</t>
  </si>
  <si>
    <t>Δ Accuracy</t>
  </si>
  <si>
    <t>F1 @0.50</t>
  </si>
  <si>
    <t>Optimized F1</t>
  </si>
  <si>
    <t>Δ F1</t>
  </si>
  <si>
    <t>Best Threshold</t>
  </si>
  <si>
    <t>GPT-5.6 Terra + examples + checklist: threshold curve</t>
  </si>
  <si>
    <t>Prompt A/B Tests — Accuracy and F1</t>
  </si>
  <si>
    <t>NEW GOLD only. Positive deltas favor treatment. Optimized results use each configuration's in-sample F1-optimal threshold.</t>
  </si>
  <si>
    <t>Contrast</t>
  </si>
  <si>
    <t>Threshold mode</t>
  </si>
  <si>
    <t>Treatment</t>
  </si>
  <si>
    <t>Control</t>
  </si>
  <si>
    <t>Treatment Accuracy</t>
  </si>
  <si>
    <t>Control Accuracy</t>
  </si>
  <si>
    <t>Treatment F1</t>
  </si>
  <si>
    <t>Control F1</t>
  </si>
  <si>
    <t>Checklist effect when examples are included</t>
  </si>
  <si>
    <t>Default 0.50</t>
  </si>
  <si>
    <t>Codebook + examples</t>
  </si>
  <si>
    <t>Optimized</t>
  </si>
  <si>
    <t>Examples effect when checklist is included</t>
  </si>
  <si>
    <t>Codebook + checklist</t>
  </si>
  <si>
    <t>Examples effect without checklist</t>
  </si>
  <si>
    <t>Codebook</t>
  </si>
  <si>
    <t>Full codebook + examples + checklist vs direct baseline</t>
  </si>
  <si>
    <t>Direct baseline</t>
  </si>
  <si>
    <t>Gold-Label and Kyle-Only Sensitivity</t>
  </si>
  <si>
    <t>Fixed thresholds for comparability: best GPT 0.06; direct GPT baseline 0.08. Kyle-only removal drops only passages Kyle labeled alone.</t>
  </si>
  <si>
    <t>Positive n</t>
  </si>
  <si>
    <t>Best Accuracy</t>
  </si>
  <si>
    <t>Best F1</t>
  </si>
  <si>
    <t>Best AUROC</t>
  </si>
  <si>
    <t>Baseline Accuracy</t>
  </si>
  <si>
    <t>Baseline F1</t>
  </si>
  <si>
    <t>Baseline AUROC</t>
  </si>
  <si>
    <t>New gold</t>
  </si>
  <si>
    <t>New gold — exclude Kyle-only</t>
  </si>
  <si>
    <t>Old gold</t>
  </si>
  <si>
    <t>Old gold — exclude Kyle-only</t>
  </si>
  <si>
    <t>Document-Level Results — Best GPT vs Direct GPT Baseline</t>
  </si>
  <si>
    <t>NEW GOLD. Fixed thresholds: best 0.06; baseline 0.08.</t>
  </si>
  <si>
    <t>Document</t>
  </si>
  <si>
    <t>TP</t>
  </si>
  <si>
    <t>FP</t>
  </si>
  <si>
    <t>FN</t>
  </si>
  <si>
    <t>TN</t>
  </si>
  <si>
    <t>EPA</t>
  </si>
  <si>
    <t>ERP Report</t>
  </si>
  <si>
    <t>GAO</t>
  </si>
  <si>
    <t>Hurricane Katrina</t>
  </si>
  <si>
    <t>PAR</t>
  </si>
  <si>
    <t>Original Labeler Results — Best GPT vs Direct GPT Baseline</t>
  </si>
  <si>
    <t>Each coder is evaluated against their own labels. Fixed NEW GOLD thresholds: best 0.06; baseline 0.08.</t>
  </si>
  <si>
    <t>Label set</t>
  </si>
  <si>
    <t>Anmol</t>
  </si>
  <si>
    <t>Prerana</t>
  </si>
  <si>
    <t>Kyle</t>
  </si>
  <si>
    <t>Pooled coder decisions</t>
  </si>
  <si>
    <t>Ensemble Results</t>
  </si>
  <si>
    <t>Weighted ensemble optimization is in-sample exploratory. Complete-case coverage can be below 76 when a provider response failed.</t>
  </si>
  <si>
    <t>GPT weight</t>
  </si>
  <si>
    <t>Claude weight</t>
  </si>
  <si>
    <t>Gemini weight</t>
  </si>
  <si>
    <t>Weighted Models Optimized</t>
  </si>
  <si>
    <t>Equal Weight Models</t>
  </si>
  <si>
    <t>Best ensemble vs best individual</t>
  </si>
  <si>
    <t>Metric</t>
  </si>
  <si>
    <t>Difference</t>
  </si>
  <si>
    <t>Prediction Run Quality</t>
  </si>
  <si>
    <t>All 15 model × prompt configurations. Failed or malformed outputs were never silently treated as No.</t>
  </si>
  <si>
    <t>Expected</t>
  </si>
  <si>
    <t>OK</t>
  </si>
  <si>
    <t>Missing</t>
  </si>
  <si>
    <t>Valid rate</t>
  </si>
  <si>
    <t>Schema/parse errors</t>
  </si>
  <si>
    <t>Invalid evidence quotes</t>
  </si>
  <si>
    <t>Label/prob inconsistency</t>
  </si>
  <si>
    <t>Input tokens</t>
  </si>
  <si>
    <t>Output tokens</t>
  </si>
  <si>
    <t>Latency (s)</t>
  </si>
  <si>
    <t>Interpretation Notes</t>
  </si>
  <si>
    <t>Use this sheet when presenting or writing the methods/results section.</t>
  </si>
  <si>
    <t>Topic</t>
  </si>
  <si>
    <t>Interpretation</t>
  </si>
  <si>
    <t>Primary benchmark</t>
  </si>
  <si>
    <t>NEW GOLD finalized 76-passage test set.</t>
  </si>
  <si>
    <t>Baseline</t>
  </si>
  <si>
    <t>Same-model GPT-5.6 Terra direct-target-only prompt. Executive Summary shows both raw threshold 0.50 and optimized threshold 0.08.</t>
  </si>
  <si>
    <t>Best individual model</t>
  </si>
  <si>
    <t>GPT-5.6 Terra, low reasoning, revised codebook + examples + checklist, optimized threshold 0.06.</t>
  </si>
  <si>
    <t>Threshold optimization</t>
  </si>
  <si>
    <t>Thresholds were selected in-sample to maximize F1. Treat optimized metrics as exploratory unless threshold selection is validated on a separate development set.</t>
  </si>
  <si>
    <t>Fraction of passages classified correctly.</t>
  </si>
  <si>
    <t>Harmonic mean of precision and recall for the Unlearning class; emphasized because class balance varies across subsets.</t>
  </si>
  <si>
    <t>Threshold-independent ranking metric. Undefined when a subset contains only one reference class (e.g., PAR).</t>
  </si>
  <si>
    <t>Kyle-only sensitivity</t>
  </si>
  <si>
    <t>Only passages labeled by Kyle alone are removed; passages also labeled by Anmol and/or Prerana remain.</t>
  </si>
  <si>
    <t>Labeler analysis</t>
  </si>
  <si>
    <t>Uses each coder's own labels and the same fixed thresholds selected on NEW GOLD, avoiding separate re-optimization per coder.</t>
  </si>
  <si>
    <t>Document analysis</t>
  </si>
  <si>
    <t>Uses the same fixed thresholds selected on NEW GOLD. Small document-level sample sizes can make metrics unstable.</t>
  </si>
  <si>
    <t>Ensembles</t>
  </si>
  <si>
    <t>Weighted ensemble results use complete cases and in-sample weight/threshold optimization; coverage may be below 100%.</t>
  </si>
  <si>
    <t>Run quality</t>
  </si>
  <si>
    <t>Gemini had a small number of schema/parse failures in some configurations; missing predictions were not imputed as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</si>
</sst>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b/>
      <sz val="18"/>
      <color rgb="FFFFFFFF"/>
      <name val="Carlito"/>
    </font>
    <font>
      <sz val="9"/>
      <color rgb="FF595959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20"/>
      <color rgb="FF17365D"/>
      <name val="Carlito"/>
    </font>
    <font>
      <b/>
      <sz val="10"/>
      <color rgb="FFFFFFFF"/>
      <name val="Carlito"/>
    </font>
    <font>
      <b/>
      <sz val="11"/>
      <color rgb="FFC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6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4" fillId="6" borderId="0" xfId="0" applyFont="1" applyFill="1" applyAlignment="1">
      <alignment wrapText="1"/>
    </xf>
    <xf numFmtId="2" fontId="4" fillId="6" borderId="0" xfId="0" applyNumberFormat="1" applyFont="1" applyFill="1" applyAlignment="1">
      <alignment wrapText="1"/>
    </xf>
    <xf numFmtId="164" fontId="4" fillId="6" borderId="0" xfId="0" applyNumberFormat="1" applyFont="1" applyFill="1" applyAlignment="1">
      <alignment wrapText="1"/>
    </xf>
    <xf numFmtId="2" fontId="4" fillId="5" borderId="0" xfId="0" applyNumberFormat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0" fontId="7" fillId="7" borderId="0" xfId="0" applyFont="1" applyFill="1" applyAlignment="1">
      <alignment wrapText="1"/>
    </xf>
    <xf numFmtId="164" fontId="7" fillId="7" borderId="0" xfId="0" applyNumberFormat="1" applyFont="1" applyFill="1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Accuracy and F1: baseline vs best configurations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'Executive Summary'!$N$14:$N$18</c:f>
              <c:strCache>
                <c:ptCount val="5"/>
                <c:pt idx="0">
                  <c:v>GPT raw baseline</c:v>
                </c:pt>
                <c:pt idx="1">
                  <c:v>GPT optimized baseline</c:v>
                </c:pt>
                <c:pt idx="2">
                  <c:v>Full GPT @0.50</c:v>
                </c:pt>
                <c:pt idx="3">
                  <c:v>Best individual GPT</c:v>
                </c:pt>
                <c:pt idx="4">
                  <c:v>Best weighted ensemble</c:v>
                </c:pt>
              </c:strCache>
            </c:strRef>
          </c:cat>
          <c:val>
            <c:numRef>
              <c:f>'Executive Summary'!$O$14:$O$18</c:f>
              <c:numCache>
                <c:formatCode>0.0%</c:formatCode>
                <c:ptCount val="5"/>
                <c:pt idx="0">
                  <c:v>0.52631578947368418</c:v>
                </c:pt>
                <c:pt idx="1">
                  <c:v>0.59210526315789469</c:v>
                </c:pt>
                <c:pt idx="2">
                  <c:v>0.47368421052631576</c:v>
                </c:pt>
                <c:pt idx="3">
                  <c:v>0.71052631578947367</c:v>
                </c:pt>
                <c:pt idx="4">
                  <c:v>0.70666666666666667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A-4B35-9106-0C3688749B03}"/>
            </c:ext>
          </c:extLst>
        </c:ser>
        <c:ser>
          <c:idx val="1"/>
          <c:order val="1"/>
          <c:tx>
            <c:v>F1</c:v>
          </c:tx>
          <c:invertIfNegative val="1"/>
          <c:cat>
            <c:strRef>
              <c:f>'Executive Summary'!$N$14:$N$18</c:f>
              <c:strCache>
                <c:ptCount val="5"/>
                <c:pt idx="0">
                  <c:v>GPT raw baseline</c:v>
                </c:pt>
                <c:pt idx="1">
                  <c:v>GPT optimized baseline</c:v>
                </c:pt>
                <c:pt idx="2">
                  <c:v>Full GPT @0.50</c:v>
                </c:pt>
                <c:pt idx="3">
                  <c:v>Best individual GPT</c:v>
                </c:pt>
                <c:pt idx="4">
                  <c:v>Best weighted ensemble</c:v>
                </c:pt>
              </c:strCache>
            </c:strRef>
          </c:cat>
          <c:val>
            <c:numRef>
              <c:f>'Executive Summary'!$P$14:$P$18</c:f>
              <c:numCache>
                <c:formatCode>0.0%</c:formatCode>
                <c:ptCount val="5"/>
                <c:pt idx="0">
                  <c:v>0.41935483870967744</c:v>
                </c:pt>
                <c:pt idx="1">
                  <c:v>0.67368421052631577</c:v>
                </c:pt>
                <c:pt idx="2">
                  <c:v>0.25925925925925924</c:v>
                </c:pt>
                <c:pt idx="3">
                  <c:v>0.77551020408163263</c:v>
                </c:pt>
                <c:pt idx="4">
                  <c:v>0.78846153846153844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A-4B35-9106-0C3688749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Threshold tuning curve — best GPT configuration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Accuracy</c:v>
          </c:tx>
          <c:marker>
            <c:symbol val="none"/>
          </c:marker>
          <c:cat>
            <c:numRef>
              <c:f>'Threshold Impact'!$A$26:$A$116</c:f>
              <c:numCache>
                <c:formatCode>0.00</c:formatCode>
                <c:ptCount val="9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0.19</c:v>
                </c:pt>
                <c:pt idx="15">
                  <c:v>0.2</c:v>
                </c:pt>
                <c:pt idx="16">
                  <c:v>0.21</c:v>
                </c:pt>
                <c:pt idx="17">
                  <c:v>0.22</c:v>
                </c:pt>
                <c:pt idx="18">
                  <c:v>0.23</c:v>
                </c:pt>
                <c:pt idx="19">
                  <c:v>0.24</c:v>
                </c:pt>
                <c:pt idx="20">
                  <c:v>0.25</c:v>
                </c:pt>
                <c:pt idx="21">
                  <c:v>0.26</c:v>
                </c:pt>
                <c:pt idx="22">
                  <c:v>0.27</c:v>
                </c:pt>
                <c:pt idx="23">
                  <c:v>0.28000000000000003</c:v>
                </c:pt>
                <c:pt idx="24">
                  <c:v>0.28999999999999998</c:v>
                </c:pt>
                <c:pt idx="25">
                  <c:v>0.3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  <c:pt idx="31">
                  <c:v>0.36</c:v>
                </c:pt>
                <c:pt idx="32">
                  <c:v>0.37</c:v>
                </c:pt>
                <c:pt idx="33">
                  <c:v>0.38</c:v>
                </c:pt>
                <c:pt idx="34">
                  <c:v>0.39</c:v>
                </c:pt>
                <c:pt idx="35">
                  <c:v>0.4</c:v>
                </c:pt>
                <c:pt idx="36">
                  <c:v>0.41</c:v>
                </c:pt>
                <c:pt idx="37">
                  <c:v>0.42</c:v>
                </c:pt>
                <c:pt idx="38">
                  <c:v>0.43</c:v>
                </c:pt>
                <c:pt idx="39">
                  <c:v>0.44</c:v>
                </c:pt>
                <c:pt idx="40">
                  <c:v>0.45</c:v>
                </c:pt>
                <c:pt idx="41">
                  <c:v>0.46</c:v>
                </c:pt>
                <c:pt idx="42">
                  <c:v>0.47</c:v>
                </c:pt>
                <c:pt idx="43">
                  <c:v>0.48</c:v>
                </c:pt>
                <c:pt idx="44">
                  <c:v>0.49</c:v>
                </c:pt>
                <c:pt idx="45">
                  <c:v>0.5</c:v>
                </c:pt>
                <c:pt idx="46">
                  <c:v>0.51</c:v>
                </c:pt>
                <c:pt idx="47">
                  <c:v>0.52</c:v>
                </c:pt>
                <c:pt idx="48">
                  <c:v>0.53</c:v>
                </c:pt>
                <c:pt idx="49">
                  <c:v>0.54</c:v>
                </c:pt>
                <c:pt idx="50">
                  <c:v>0.55000000000000004</c:v>
                </c:pt>
                <c:pt idx="51">
                  <c:v>0.56000000000000005</c:v>
                </c:pt>
                <c:pt idx="52">
                  <c:v>0.56999999999999995</c:v>
                </c:pt>
                <c:pt idx="53">
                  <c:v>0.57999999999999996</c:v>
                </c:pt>
                <c:pt idx="54">
                  <c:v>0.59</c:v>
                </c:pt>
                <c:pt idx="55">
                  <c:v>0.6</c:v>
                </c:pt>
                <c:pt idx="56">
                  <c:v>0.61</c:v>
                </c:pt>
                <c:pt idx="57">
                  <c:v>0.62</c:v>
                </c:pt>
                <c:pt idx="58">
                  <c:v>0.63</c:v>
                </c:pt>
                <c:pt idx="59">
                  <c:v>0.64</c:v>
                </c:pt>
                <c:pt idx="60">
                  <c:v>0.65</c:v>
                </c:pt>
                <c:pt idx="61">
                  <c:v>0.66</c:v>
                </c:pt>
                <c:pt idx="62">
                  <c:v>0.67</c:v>
                </c:pt>
                <c:pt idx="63">
                  <c:v>0.68</c:v>
                </c:pt>
                <c:pt idx="64">
                  <c:v>0.69</c:v>
                </c:pt>
                <c:pt idx="65">
                  <c:v>0.7</c:v>
                </c:pt>
                <c:pt idx="66">
                  <c:v>0.71</c:v>
                </c:pt>
                <c:pt idx="67">
                  <c:v>0.72</c:v>
                </c:pt>
                <c:pt idx="68">
                  <c:v>0.73</c:v>
                </c:pt>
                <c:pt idx="69">
                  <c:v>0.74</c:v>
                </c:pt>
                <c:pt idx="70">
                  <c:v>0.75</c:v>
                </c:pt>
                <c:pt idx="71">
                  <c:v>0.76</c:v>
                </c:pt>
                <c:pt idx="72">
                  <c:v>0.77</c:v>
                </c:pt>
                <c:pt idx="73">
                  <c:v>0.78</c:v>
                </c:pt>
                <c:pt idx="74">
                  <c:v>0.79</c:v>
                </c:pt>
                <c:pt idx="75">
                  <c:v>0.8</c:v>
                </c:pt>
                <c:pt idx="76">
                  <c:v>0.81</c:v>
                </c:pt>
                <c:pt idx="77">
                  <c:v>0.82</c:v>
                </c:pt>
                <c:pt idx="78">
                  <c:v>0.83</c:v>
                </c:pt>
                <c:pt idx="79">
                  <c:v>0.84</c:v>
                </c:pt>
                <c:pt idx="80">
                  <c:v>0.85</c:v>
                </c:pt>
                <c:pt idx="81">
                  <c:v>0.86</c:v>
                </c:pt>
                <c:pt idx="82">
                  <c:v>0.87</c:v>
                </c:pt>
                <c:pt idx="83">
                  <c:v>0.88</c:v>
                </c:pt>
                <c:pt idx="84">
                  <c:v>0.89</c:v>
                </c:pt>
                <c:pt idx="85">
                  <c:v>0.9</c:v>
                </c:pt>
                <c:pt idx="86">
                  <c:v>0.91</c:v>
                </c:pt>
                <c:pt idx="87">
                  <c:v>0.92</c:v>
                </c:pt>
                <c:pt idx="88">
                  <c:v>0.93</c:v>
                </c:pt>
                <c:pt idx="89">
                  <c:v>0.94</c:v>
                </c:pt>
                <c:pt idx="90">
                  <c:v>0.95</c:v>
                </c:pt>
              </c:numCache>
            </c:numRef>
          </c:cat>
          <c:val>
            <c:numRef>
              <c:f>'Threshold Impact'!$B$26:$B$116</c:f>
              <c:numCache>
                <c:formatCode>0.0%</c:formatCode>
                <c:ptCount val="91"/>
                <c:pt idx="0">
                  <c:v>0.69736842105263153</c:v>
                </c:pt>
                <c:pt idx="1">
                  <c:v>0.71052631578947367</c:v>
                </c:pt>
                <c:pt idx="2">
                  <c:v>0.71052631578947367</c:v>
                </c:pt>
                <c:pt idx="3">
                  <c:v>0.71052631578947367</c:v>
                </c:pt>
                <c:pt idx="4">
                  <c:v>0.68421052631578949</c:v>
                </c:pt>
                <c:pt idx="5">
                  <c:v>0.68421052631578949</c:v>
                </c:pt>
                <c:pt idx="6">
                  <c:v>0.67105263157894735</c:v>
                </c:pt>
                <c:pt idx="7">
                  <c:v>0.67105263157894735</c:v>
                </c:pt>
                <c:pt idx="8">
                  <c:v>0.60526315789473684</c:v>
                </c:pt>
                <c:pt idx="9">
                  <c:v>0.60526315789473684</c:v>
                </c:pt>
                <c:pt idx="10">
                  <c:v>0.60526315789473684</c:v>
                </c:pt>
                <c:pt idx="11">
                  <c:v>0.60526315789473684</c:v>
                </c:pt>
                <c:pt idx="12">
                  <c:v>0.59210526315789469</c:v>
                </c:pt>
                <c:pt idx="13">
                  <c:v>0.59210526315789469</c:v>
                </c:pt>
                <c:pt idx="14">
                  <c:v>0.59210526315789469</c:v>
                </c:pt>
                <c:pt idx="15">
                  <c:v>0.59210526315789469</c:v>
                </c:pt>
                <c:pt idx="16">
                  <c:v>0.57894736842105265</c:v>
                </c:pt>
                <c:pt idx="17">
                  <c:v>0.57894736842105265</c:v>
                </c:pt>
                <c:pt idx="18">
                  <c:v>0.56578947368421051</c:v>
                </c:pt>
                <c:pt idx="19">
                  <c:v>0.56578947368421051</c:v>
                </c:pt>
                <c:pt idx="20">
                  <c:v>0.55263157894736847</c:v>
                </c:pt>
                <c:pt idx="21">
                  <c:v>0.55263157894736847</c:v>
                </c:pt>
                <c:pt idx="22">
                  <c:v>0.55263157894736847</c:v>
                </c:pt>
                <c:pt idx="23">
                  <c:v>0.55263157894736847</c:v>
                </c:pt>
                <c:pt idx="24">
                  <c:v>0.53947368421052633</c:v>
                </c:pt>
                <c:pt idx="25">
                  <c:v>0.53947368421052633</c:v>
                </c:pt>
                <c:pt idx="26">
                  <c:v>0.51315789473684215</c:v>
                </c:pt>
                <c:pt idx="27">
                  <c:v>0.51315789473684215</c:v>
                </c:pt>
                <c:pt idx="28">
                  <c:v>0.47368421052631576</c:v>
                </c:pt>
                <c:pt idx="29">
                  <c:v>0.47368421052631576</c:v>
                </c:pt>
                <c:pt idx="30">
                  <c:v>0.47368421052631576</c:v>
                </c:pt>
                <c:pt idx="31">
                  <c:v>0.47368421052631576</c:v>
                </c:pt>
                <c:pt idx="32">
                  <c:v>0.47368421052631576</c:v>
                </c:pt>
                <c:pt idx="33">
                  <c:v>0.47368421052631576</c:v>
                </c:pt>
                <c:pt idx="34">
                  <c:v>0.47368421052631576</c:v>
                </c:pt>
                <c:pt idx="35">
                  <c:v>0.47368421052631576</c:v>
                </c:pt>
                <c:pt idx="36">
                  <c:v>0.47368421052631576</c:v>
                </c:pt>
                <c:pt idx="37">
                  <c:v>0.47368421052631576</c:v>
                </c:pt>
                <c:pt idx="38">
                  <c:v>0.47368421052631576</c:v>
                </c:pt>
                <c:pt idx="39">
                  <c:v>0.47368421052631576</c:v>
                </c:pt>
                <c:pt idx="40">
                  <c:v>0.47368421052631576</c:v>
                </c:pt>
                <c:pt idx="41">
                  <c:v>0.47368421052631576</c:v>
                </c:pt>
                <c:pt idx="42">
                  <c:v>0.47368421052631576</c:v>
                </c:pt>
                <c:pt idx="43">
                  <c:v>0.47368421052631576</c:v>
                </c:pt>
                <c:pt idx="44">
                  <c:v>0.47368421052631576</c:v>
                </c:pt>
                <c:pt idx="45">
                  <c:v>0.47368421052631576</c:v>
                </c:pt>
                <c:pt idx="46">
                  <c:v>0.47368421052631576</c:v>
                </c:pt>
                <c:pt idx="47">
                  <c:v>0.47368421052631576</c:v>
                </c:pt>
                <c:pt idx="48">
                  <c:v>0.47368421052631576</c:v>
                </c:pt>
                <c:pt idx="49">
                  <c:v>0.47368421052631576</c:v>
                </c:pt>
                <c:pt idx="50">
                  <c:v>0.47368421052631576</c:v>
                </c:pt>
                <c:pt idx="51">
                  <c:v>0.47368421052631576</c:v>
                </c:pt>
                <c:pt idx="52">
                  <c:v>0.47368421052631576</c:v>
                </c:pt>
                <c:pt idx="53">
                  <c:v>0.47368421052631576</c:v>
                </c:pt>
                <c:pt idx="54">
                  <c:v>0.46052631578947367</c:v>
                </c:pt>
                <c:pt idx="55">
                  <c:v>0.46052631578947367</c:v>
                </c:pt>
                <c:pt idx="56">
                  <c:v>0.46052631578947367</c:v>
                </c:pt>
                <c:pt idx="57">
                  <c:v>0.46052631578947367</c:v>
                </c:pt>
                <c:pt idx="58">
                  <c:v>0.46052631578947367</c:v>
                </c:pt>
                <c:pt idx="59">
                  <c:v>0.46052631578947367</c:v>
                </c:pt>
                <c:pt idx="60">
                  <c:v>0.46052631578947367</c:v>
                </c:pt>
                <c:pt idx="61">
                  <c:v>0.46052631578947367</c:v>
                </c:pt>
                <c:pt idx="62">
                  <c:v>0.46052631578947367</c:v>
                </c:pt>
                <c:pt idx="63">
                  <c:v>0.46052631578947367</c:v>
                </c:pt>
                <c:pt idx="64">
                  <c:v>0.46052631578947367</c:v>
                </c:pt>
                <c:pt idx="65">
                  <c:v>0.46052631578947367</c:v>
                </c:pt>
                <c:pt idx="66">
                  <c:v>0.46052631578947367</c:v>
                </c:pt>
                <c:pt idx="67">
                  <c:v>0.46052631578947367</c:v>
                </c:pt>
                <c:pt idx="68">
                  <c:v>0.46052631578947367</c:v>
                </c:pt>
                <c:pt idx="69">
                  <c:v>0.46052631578947367</c:v>
                </c:pt>
                <c:pt idx="70">
                  <c:v>0.46052631578947367</c:v>
                </c:pt>
                <c:pt idx="71">
                  <c:v>0.46052631578947367</c:v>
                </c:pt>
                <c:pt idx="72">
                  <c:v>0.44736842105263158</c:v>
                </c:pt>
                <c:pt idx="73">
                  <c:v>0.44736842105263158</c:v>
                </c:pt>
                <c:pt idx="74">
                  <c:v>0.43421052631578949</c:v>
                </c:pt>
                <c:pt idx="75">
                  <c:v>0.43421052631578949</c:v>
                </c:pt>
                <c:pt idx="76">
                  <c:v>0.43421052631578949</c:v>
                </c:pt>
                <c:pt idx="77">
                  <c:v>0.43421052631578949</c:v>
                </c:pt>
                <c:pt idx="78">
                  <c:v>0.43421052631578949</c:v>
                </c:pt>
                <c:pt idx="79">
                  <c:v>0.43421052631578949</c:v>
                </c:pt>
                <c:pt idx="80">
                  <c:v>0.40789473684210525</c:v>
                </c:pt>
                <c:pt idx="81">
                  <c:v>0.40789473684210525</c:v>
                </c:pt>
                <c:pt idx="82">
                  <c:v>0.42105263157894735</c:v>
                </c:pt>
                <c:pt idx="83">
                  <c:v>0.42105263157894735</c:v>
                </c:pt>
                <c:pt idx="84">
                  <c:v>0.42105263157894735</c:v>
                </c:pt>
                <c:pt idx="85">
                  <c:v>0.42105263157894735</c:v>
                </c:pt>
                <c:pt idx="86">
                  <c:v>0.42105263157894735</c:v>
                </c:pt>
                <c:pt idx="87">
                  <c:v>0.42105263157894735</c:v>
                </c:pt>
                <c:pt idx="88">
                  <c:v>0.42105263157894735</c:v>
                </c:pt>
                <c:pt idx="89">
                  <c:v>0.42105263157894735</c:v>
                </c:pt>
                <c:pt idx="90">
                  <c:v>0.42105263157894735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A0-42B5-8857-8B3A69ABFB8D}"/>
            </c:ext>
          </c:extLst>
        </c:ser>
        <c:ser>
          <c:idx val="1"/>
          <c:order val="1"/>
          <c:tx>
            <c:v>F1</c:v>
          </c:tx>
          <c:marker>
            <c:symbol val="none"/>
          </c:marker>
          <c:cat>
            <c:numRef>
              <c:f>'Threshold Impact'!$A$26:$A$116</c:f>
              <c:numCache>
                <c:formatCode>0.00</c:formatCode>
                <c:ptCount val="9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0.19</c:v>
                </c:pt>
                <c:pt idx="15">
                  <c:v>0.2</c:v>
                </c:pt>
                <c:pt idx="16">
                  <c:v>0.21</c:v>
                </c:pt>
                <c:pt idx="17">
                  <c:v>0.22</c:v>
                </c:pt>
                <c:pt idx="18">
                  <c:v>0.23</c:v>
                </c:pt>
                <c:pt idx="19">
                  <c:v>0.24</c:v>
                </c:pt>
                <c:pt idx="20">
                  <c:v>0.25</c:v>
                </c:pt>
                <c:pt idx="21">
                  <c:v>0.26</c:v>
                </c:pt>
                <c:pt idx="22">
                  <c:v>0.27</c:v>
                </c:pt>
                <c:pt idx="23">
                  <c:v>0.28000000000000003</c:v>
                </c:pt>
                <c:pt idx="24">
                  <c:v>0.28999999999999998</c:v>
                </c:pt>
                <c:pt idx="25">
                  <c:v>0.3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  <c:pt idx="31">
                  <c:v>0.36</c:v>
                </c:pt>
                <c:pt idx="32">
                  <c:v>0.37</c:v>
                </c:pt>
                <c:pt idx="33">
                  <c:v>0.38</c:v>
                </c:pt>
                <c:pt idx="34">
                  <c:v>0.39</c:v>
                </c:pt>
                <c:pt idx="35">
                  <c:v>0.4</c:v>
                </c:pt>
                <c:pt idx="36">
                  <c:v>0.41</c:v>
                </c:pt>
                <c:pt idx="37">
                  <c:v>0.42</c:v>
                </c:pt>
                <c:pt idx="38">
                  <c:v>0.43</c:v>
                </c:pt>
                <c:pt idx="39">
                  <c:v>0.44</c:v>
                </c:pt>
                <c:pt idx="40">
                  <c:v>0.45</c:v>
                </c:pt>
                <c:pt idx="41">
                  <c:v>0.46</c:v>
                </c:pt>
                <c:pt idx="42">
                  <c:v>0.47</c:v>
                </c:pt>
                <c:pt idx="43">
                  <c:v>0.48</c:v>
                </c:pt>
                <c:pt idx="44">
                  <c:v>0.49</c:v>
                </c:pt>
                <c:pt idx="45">
                  <c:v>0.5</c:v>
                </c:pt>
                <c:pt idx="46">
                  <c:v>0.51</c:v>
                </c:pt>
                <c:pt idx="47">
                  <c:v>0.52</c:v>
                </c:pt>
                <c:pt idx="48">
                  <c:v>0.53</c:v>
                </c:pt>
                <c:pt idx="49">
                  <c:v>0.54</c:v>
                </c:pt>
                <c:pt idx="50">
                  <c:v>0.55000000000000004</c:v>
                </c:pt>
                <c:pt idx="51">
                  <c:v>0.56000000000000005</c:v>
                </c:pt>
                <c:pt idx="52">
                  <c:v>0.56999999999999995</c:v>
                </c:pt>
                <c:pt idx="53">
                  <c:v>0.57999999999999996</c:v>
                </c:pt>
                <c:pt idx="54">
                  <c:v>0.59</c:v>
                </c:pt>
                <c:pt idx="55">
                  <c:v>0.6</c:v>
                </c:pt>
                <c:pt idx="56">
                  <c:v>0.61</c:v>
                </c:pt>
                <c:pt idx="57">
                  <c:v>0.62</c:v>
                </c:pt>
                <c:pt idx="58">
                  <c:v>0.63</c:v>
                </c:pt>
                <c:pt idx="59">
                  <c:v>0.64</c:v>
                </c:pt>
                <c:pt idx="60">
                  <c:v>0.65</c:v>
                </c:pt>
                <c:pt idx="61">
                  <c:v>0.66</c:v>
                </c:pt>
                <c:pt idx="62">
                  <c:v>0.67</c:v>
                </c:pt>
                <c:pt idx="63">
                  <c:v>0.68</c:v>
                </c:pt>
                <c:pt idx="64">
                  <c:v>0.69</c:v>
                </c:pt>
                <c:pt idx="65">
                  <c:v>0.7</c:v>
                </c:pt>
                <c:pt idx="66">
                  <c:v>0.71</c:v>
                </c:pt>
                <c:pt idx="67">
                  <c:v>0.72</c:v>
                </c:pt>
                <c:pt idx="68">
                  <c:v>0.73</c:v>
                </c:pt>
                <c:pt idx="69">
                  <c:v>0.74</c:v>
                </c:pt>
                <c:pt idx="70">
                  <c:v>0.75</c:v>
                </c:pt>
                <c:pt idx="71">
                  <c:v>0.76</c:v>
                </c:pt>
                <c:pt idx="72">
                  <c:v>0.77</c:v>
                </c:pt>
                <c:pt idx="73">
                  <c:v>0.78</c:v>
                </c:pt>
                <c:pt idx="74">
                  <c:v>0.79</c:v>
                </c:pt>
                <c:pt idx="75">
                  <c:v>0.8</c:v>
                </c:pt>
                <c:pt idx="76">
                  <c:v>0.81</c:v>
                </c:pt>
                <c:pt idx="77">
                  <c:v>0.82</c:v>
                </c:pt>
                <c:pt idx="78">
                  <c:v>0.83</c:v>
                </c:pt>
                <c:pt idx="79">
                  <c:v>0.84</c:v>
                </c:pt>
                <c:pt idx="80">
                  <c:v>0.85</c:v>
                </c:pt>
                <c:pt idx="81">
                  <c:v>0.86</c:v>
                </c:pt>
                <c:pt idx="82">
                  <c:v>0.87</c:v>
                </c:pt>
                <c:pt idx="83">
                  <c:v>0.88</c:v>
                </c:pt>
                <c:pt idx="84">
                  <c:v>0.89</c:v>
                </c:pt>
                <c:pt idx="85">
                  <c:v>0.9</c:v>
                </c:pt>
                <c:pt idx="86">
                  <c:v>0.91</c:v>
                </c:pt>
                <c:pt idx="87">
                  <c:v>0.92</c:v>
                </c:pt>
                <c:pt idx="88">
                  <c:v>0.93</c:v>
                </c:pt>
                <c:pt idx="89">
                  <c:v>0.94</c:v>
                </c:pt>
                <c:pt idx="90">
                  <c:v>0.95</c:v>
                </c:pt>
              </c:numCache>
            </c:numRef>
          </c:cat>
          <c:val>
            <c:numRef>
              <c:f>'Threshold Impact'!$C$26:$C$116</c:f>
              <c:numCache>
                <c:formatCode>0.0%</c:formatCode>
                <c:ptCount val="91"/>
                <c:pt idx="0">
                  <c:v>0.76767676767676762</c:v>
                </c:pt>
                <c:pt idx="1">
                  <c:v>0.77551020408163263</c:v>
                </c:pt>
                <c:pt idx="2">
                  <c:v>0.77083333333333337</c:v>
                </c:pt>
                <c:pt idx="3">
                  <c:v>0.77083333333333337</c:v>
                </c:pt>
                <c:pt idx="4">
                  <c:v>0.7</c:v>
                </c:pt>
                <c:pt idx="5">
                  <c:v>0.7</c:v>
                </c:pt>
                <c:pt idx="6">
                  <c:v>0.68354430379746833</c:v>
                </c:pt>
                <c:pt idx="7">
                  <c:v>0.68354430379746833</c:v>
                </c:pt>
                <c:pt idx="8">
                  <c:v>0.59459459459459463</c:v>
                </c:pt>
                <c:pt idx="9">
                  <c:v>0.59459459459459463</c:v>
                </c:pt>
                <c:pt idx="10">
                  <c:v>0.59459459459459463</c:v>
                </c:pt>
                <c:pt idx="11">
                  <c:v>0.59459459459459463</c:v>
                </c:pt>
                <c:pt idx="12">
                  <c:v>0.57534246575342463</c:v>
                </c:pt>
                <c:pt idx="13">
                  <c:v>0.57534246575342463</c:v>
                </c:pt>
                <c:pt idx="14">
                  <c:v>0.55072463768115942</c:v>
                </c:pt>
                <c:pt idx="15">
                  <c:v>0.55072463768115942</c:v>
                </c:pt>
                <c:pt idx="16">
                  <c:v>0.52941176470588236</c:v>
                </c:pt>
                <c:pt idx="17">
                  <c:v>0.52941176470588236</c:v>
                </c:pt>
                <c:pt idx="18">
                  <c:v>0.5074626865671642</c:v>
                </c:pt>
                <c:pt idx="19">
                  <c:v>0.5074626865671642</c:v>
                </c:pt>
                <c:pt idx="20">
                  <c:v>0.48484848484848486</c:v>
                </c:pt>
                <c:pt idx="21">
                  <c:v>0.48484848484848486</c:v>
                </c:pt>
                <c:pt idx="22">
                  <c:v>0.48484848484848486</c:v>
                </c:pt>
                <c:pt idx="23">
                  <c:v>0.48484848484848486</c:v>
                </c:pt>
                <c:pt idx="24">
                  <c:v>0.42622950819672129</c:v>
                </c:pt>
                <c:pt idx="25">
                  <c:v>0.42622950819672129</c:v>
                </c:pt>
                <c:pt idx="26">
                  <c:v>0.3728813559322034</c:v>
                </c:pt>
                <c:pt idx="27">
                  <c:v>0.3728813559322034</c:v>
                </c:pt>
                <c:pt idx="28">
                  <c:v>0.2857142857142857</c:v>
                </c:pt>
                <c:pt idx="29">
                  <c:v>0.2857142857142857</c:v>
                </c:pt>
                <c:pt idx="30">
                  <c:v>0.2857142857142857</c:v>
                </c:pt>
                <c:pt idx="31">
                  <c:v>0.2857142857142857</c:v>
                </c:pt>
                <c:pt idx="32">
                  <c:v>0.2857142857142857</c:v>
                </c:pt>
                <c:pt idx="33">
                  <c:v>0.2857142857142857</c:v>
                </c:pt>
                <c:pt idx="34">
                  <c:v>0.25925925925925924</c:v>
                </c:pt>
                <c:pt idx="35">
                  <c:v>0.25925925925925924</c:v>
                </c:pt>
                <c:pt idx="36">
                  <c:v>0.25925925925925924</c:v>
                </c:pt>
                <c:pt idx="37">
                  <c:v>0.25925925925925924</c:v>
                </c:pt>
                <c:pt idx="38">
                  <c:v>0.25925925925925924</c:v>
                </c:pt>
                <c:pt idx="39">
                  <c:v>0.25925925925925924</c:v>
                </c:pt>
                <c:pt idx="40">
                  <c:v>0.25925925925925924</c:v>
                </c:pt>
                <c:pt idx="41">
                  <c:v>0.25925925925925924</c:v>
                </c:pt>
                <c:pt idx="42">
                  <c:v>0.25925925925925924</c:v>
                </c:pt>
                <c:pt idx="43">
                  <c:v>0.25925925925925924</c:v>
                </c:pt>
                <c:pt idx="44">
                  <c:v>0.25925925925925924</c:v>
                </c:pt>
                <c:pt idx="45">
                  <c:v>0.25925925925925924</c:v>
                </c:pt>
                <c:pt idx="46">
                  <c:v>0.25925925925925924</c:v>
                </c:pt>
                <c:pt idx="47">
                  <c:v>0.25925925925925924</c:v>
                </c:pt>
                <c:pt idx="48">
                  <c:v>0.25925925925925924</c:v>
                </c:pt>
                <c:pt idx="49">
                  <c:v>0.25925925925925924</c:v>
                </c:pt>
                <c:pt idx="50">
                  <c:v>0.25925925925925924</c:v>
                </c:pt>
                <c:pt idx="51">
                  <c:v>0.25925925925925924</c:v>
                </c:pt>
                <c:pt idx="52">
                  <c:v>0.25925925925925924</c:v>
                </c:pt>
                <c:pt idx="53">
                  <c:v>0.25925925925925924</c:v>
                </c:pt>
                <c:pt idx="54">
                  <c:v>0.22641509433962265</c:v>
                </c:pt>
                <c:pt idx="55">
                  <c:v>0.22641509433962265</c:v>
                </c:pt>
                <c:pt idx="56">
                  <c:v>0.22641509433962265</c:v>
                </c:pt>
                <c:pt idx="57">
                  <c:v>0.22641509433962265</c:v>
                </c:pt>
                <c:pt idx="58">
                  <c:v>0.22641509433962265</c:v>
                </c:pt>
                <c:pt idx="59">
                  <c:v>0.22641509433962265</c:v>
                </c:pt>
                <c:pt idx="60">
                  <c:v>0.22641509433962265</c:v>
                </c:pt>
                <c:pt idx="61">
                  <c:v>0.22641509433962265</c:v>
                </c:pt>
                <c:pt idx="62">
                  <c:v>0.22641509433962265</c:v>
                </c:pt>
                <c:pt idx="63">
                  <c:v>0.22641509433962265</c:v>
                </c:pt>
                <c:pt idx="64">
                  <c:v>0.22641509433962265</c:v>
                </c:pt>
                <c:pt idx="65">
                  <c:v>0.22641509433962265</c:v>
                </c:pt>
                <c:pt idx="66">
                  <c:v>0.22641509433962265</c:v>
                </c:pt>
                <c:pt idx="67">
                  <c:v>0.22641509433962265</c:v>
                </c:pt>
                <c:pt idx="68">
                  <c:v>0.22641509433962265</c:v>
                </c:pt>
                <c:pt idx="69">
                  <c:v>0.22641509433962265</c:v>
                </c:pt>
                <c:pt idx="70">
                  <c:v>0.22641509433962265</c:v>
                </c:pt>
                <c:pt idx="71">
                  <c:v>0.22641509433962265</c:v>
                </c:pt>
                <c:pt idx="72">
                  <c:v>0.19230769230769232</c:v>
                </c:pt>
                <c:pt idx="73">
                  <c:v>0.19230769230769232</c:v>
                </c:pt>
                <c:pt idx="74">
                  <c:v>0.15686274509803921</c:v>
                </c:pt>
                <c:pt idx="75">
                  <c:v>0.15686274509803921</c:v>
                </c:pt>
                <c:pt idx="76">
                  <c:v>0.15686274509803921</c:v>
                </c:pt>
                <c:pt idx="77">
                  <c:v>0.15686274509803921</c:v>
                </c:pt>
                <c:pt idx="78">
                  <c:v>0.15686274509803921</c:v>
                </c:pt>
                <c:pt idx="79">
                  <c:v>0.15686274509803921</c:v>
                </c:pt>
                <c:pt idx="80">
                  <c:v>8.1632653061224483E-2</c:v>
                </c:pt>
                <c:pt idx="81">
                  <c:v>8.1632653061224483E-2</c:v>
                </c:pt>
                <c:pt idx="82">
                  <c:v>8.3333333333333329E-2</c:v>
                </c:pt>
                <c:pt idx="83">
                  <c:v>8.3333333333333329E-2</c:v>
                </c:pt>
                <c:pt idx="84">
                  <c:v>8.3333333333333329E-2</c:v>
                </c:pt>
                <c:pt idx="85">
                  <c:v>8.3333333333333329E-2</c:v>
                </c:pt>
                <c:pt idx="86">
                  <c:v>8.3333333333333329E-2</c:v>
                </c:pt>
                <c:pt idx="87">
                  <c:v>8.3333333333333329E-2</c:v>
                </c:pt>
                <c:pt idx="88">
                  <c:v>8.3333333333333329E-2</c:v>
                </c:pt>
                <c:pt idx="89">
                  <c:v>8.3333333333333329E-2</c:v>
                </c:pt>
                <c:pt idx="90">
                  <c:v>8.3333333333333329E-2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A0-42B5-8857-8B3A69AB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Best GPT: Accuracy and F1 across gold definitions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'Gold &amp; Kyle Sensitivity'!$M$6:$M$9</c:f>
              <c:strCache>
                <c:ptCount val="4"/>
                <c:pt idx="0">
                  <c:v>New gold</c:v>
                </c:pt>
                <c:pt idx="1">
                  <c:v>New gold — exclude Kyle-only</c:v>
                </c:pt>
                <c:pt idx="2">
                  <c:v>Old gold</c:v>
                </c:pt>
                <c:pt idx="3">
                  <c:v>Old gold — exclude Kyle-only</c:v>
                </c:pt>
              </c:strCache>
            </c:strRef>
          </c:cat>
          <c:val>
            <c:numRef>
              <c:f>'Gold &amp; Kyle Sensitivity'!$N$6:$N$9</c:f>
              <c:numCache>
                <c:formatCode>0.0%</c:formatCode>
                <c:ptCount val="4"/>
                <c:pt idx="0">
                  <c:v>0.71052631578947367</c:v>
                </c:pt>
                <c:pt idx="1">
                  <c:v>0.73529411764705888</c:v>
                </c:pt>
                <c:pt idx="2">
                  <c:v>0.73684210526315785</c:v>
                </c:pt>
                <c:pt idx="3">
                  <c:v>0.76470588235294112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C-452F-8B11-1598EC0803CA}"/>
            </c:ext>
          </c:extLst>
        </c:ser>
        <c:ser>
          <c:idx val="1"/>
          <c:order val="1"/>
          <c:tx>
            <c:v>F1</c:v>
          </c:tx>
          <c:invertIfNegative val="1"/>
          <c:cat>
            <c:strRef>
              <c:f>'Gold &amp; Kyle Sensitivity'!$M$6:$M$9</c:f>
              <c:strCache>
                <c:ptCount val="4"/>
                <c:pt idx="0">
                  <c:v>New gold</c:v>
                </c:pt>
                <c:pt idx="1">
                  <c:v>New gold — exclude Kyle-only</c:v>
                </c:pt>
                <c:pt idx="2">
                  <c:v>Old gold</c:v>
                </c:pt>
                <c:pt idx="3">
                  <c:v>Old gold — exclude Kyle-only</c:v>
                </c:pt>
              </c:strCache>
            </c:strRef>
          </c:cat>
          <c:val>
            <c:numRef>
              <c:f>'Gold &amp; Kyle Sensitivity'!$O$6:$O$9</c:f>
              <c:numCache>
                <c:formatCode>0.0%</c:formatCode>
                <c:ptCount val="4"/>
                <c:pt idx="0">
                  <c:v>0.77551020408163263</c:v>
                </c:pt>
                <c:pt idx="1">
                  <c:v>0.8</c:v>
                </c:pt>
                <c:pt idx="2">
                  <c:v>0.81132075471698106</c:v>
                </c:pt>
                <c:pt idx="3">
                  <c:v>0.83673469387755106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C-452F-8B11-1598EC080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Best GPT Accuracy and F1 by document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'By Document'!$Q$6:$Q$10</c:f>
              <c:strCache>
                <c:ptCount val="5"/>
                <c:pt idx="0">
                  <c:v>EPA</c:v>
                </c:pt>
                <c:pt idx="1">
                  <c:v>ERP Report</c:v>
                </c:pt>
                <c:pt idx="2">
                  <c:v>GAO</c:v>
                </c:pt>
                <c:pt idx="3">
                  <c:v>Hurricane Katrina</c:v>
                </c:pt>
                <c:pt idx="4">
                  <c:v>PAR</c:v>
                </c:pt>
              </c:strCache>
            </c:strRef>
          </c:cat>
          <c:val>
            <c:numRef>
              <c:f>'By Document'!$R$6:$R$10</c:f>
              <c:numCache>
                <c:formatCode>0.0%</c:formatCode>
                <c:ptCount val="5"/>
                <c:pt idx="0">
                  <c:v>0.54545454545454541</c:v>
                </c:pt>
                <c:pt idx="1">
                  <c:v>0.7857142857142857</c:v>
                </c:pt>
                <c:pt idx="2">
                  <c:v>0.7142857142857143</c:v>
                </c:pt>
                <c:pt idx="3">
                  <c:v>0.81818181818181823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0-4984-A198-107281635062}"/>
            </c:ext>
          </c:extLst>
        </c:ser>
        <c:ser>
          <c:idx val="1"/>
          <c:order val="1"/>
          <c:tx>
            <c:v>F1</c:v>
          </c:tx>
          <c:invertIfNegative val="1"/>
          <c:cat>
            <c:strRef>
              <c:f>'By Document'!$Q$6:$Q$10</c:f>
              <c:strCache>
                <c:ptCount val="5"/>
                <c:pt idx="0">
                  <c:v>EPA</c:v>
                </c:pt>
                <c:pt idx="1">
                  <c:v>ERP Report</c:v>
                </c:pt>
                <c:pt idx="2">
                  <c:v>GAO</c:v>
                </c:pt>
                <c:pt idx="3">
                  <c:v>Hurricane Katrina</c:v>
                </c:pt>
                <c:pt idx="4">
                  <c:v>PAR</c:v>
                </c:pt>
              </c:strCache>
            </c:strRef>
          </c:cat>
          <c:val>
            <c:numRef>
              <c:f>'By Document'!$S$6:$S$10</c:f>
              <c:numCache>
                <c:formatCode>0.0%</c:formatCode>
                <c:ptCount val="5"/>
                <c:pt idx="0">
                  <c:v>0.2857142857142857</c:v>
                </c:pt>
                <c:pt idx="1">
                  <c:v>0.86956521739130432</c:v>
                </c:pt>
                <c:pt idx="2">
                  <c:v>0.83333333333333337</c:v>
                </c:pt>
                <c:pt idx="3">
                  <c:v>0.83333333333333326</c:v>
                </c:pt>
                <c:pt idx="4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0-4984-A198-10728163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Best GPT Accuracy and F1 by original labeler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'By Labeler'!$M$6:$M$9</c:f>
              <c:strCache>
                <c:ptCount val="4"/>
                <c:pt idx="0">
                  <c:v>Anmol</c:v>
                </c:pt>
                <c:pt idx="1">
                  <c:v>Prerana</c:v>
                </c:pt>
                <c:pt idx="2">
                  <c:v>Kyle</c:v>
                </c:pt>
                <c:pt idx="3">
                  <c:v>Pooled coder decisions</c:v>
                </c:pt>
              </c:strCache>
            </c:strRef>
          </c:cat>
          <c:val>
            <c:numRef>
              <c:f>'By Labeler'!$N$6:$N$9</c:f>
              <c:numCache>
                <c:formatCode>0.0%</c:formatCode>
                <c:ptCount val="4"/>
                <c:pt idx="0">
                  <c:v>0.77358490566037741</c:v>
                </c:pt>
                <c:pt idx="1">
                  <c:v>0.61111111111111116</c:v>
                </c:pt>
                <c:pt idx="2">
                  <c:v>0.82352941176470584</c:v>
                </c:pt>
                <c:pt idx="3">
                  <c:v>0.77049180327868849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A-4C7E-BEBB-90F7D84F5434}"/>
            </c:ext>
          </c:extLst>
        </c:ser>
        <c:ser>
          <c:idx val="1"/>
          <c:order val="1"/>
          <c:tx>
            <c:v>F1</c:v>
          </c:tx>
          <c:invertIfNegative val="1"/>
          <c:cat>
            <c:strRef>
              <c:f>'By Labeler'!$M$6:$M$9</c:f>
              <c:strCache>
                <c:ptCount val="4"/>
                <c:pt idx="0">
                  <c:v>Anmol</c:v>
                </c:pt>
                <c:pt idx="1">
                  <c:v>Prerana</c:v>
                </c:pt>
                <c:pt idx="2">
                  <c:v>Kyle</c:v>
                </c:pt>
                <c:pt idx="3">
                  <c:v>Pooled coder decisions</c:v>
                </c:pt>
              </c:strCache>
            </c:strRef>
          </c:cat>
          <c:val>
            <c:numRef>
              <c:f>'By Labeler'!$O$6:$O$9</c:f>
              <c:numCache>
                <c:formatCode>0.0%</c:formatCode>
                <c:ptCount val="4"/>
                <c:pt idx="0">
                  <c:v>0.85365853658536583</c:v>
                </c:pt>
                <c:pt idx="1">
                  <c:v>0.53333333333333333</c:v>
                </c:pt>
                <c:pt idx="2">
                  <c:v>0.89411764705882346</c:v>
                </c:pt>
                <c:pt idx="3">
                  <c:v>0.84615384615384615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A-4C7E-BEBB-90F7D84F5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24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12" workbookViewId="0">
      <selection activeCell="D29" sqref="D29"/>
    </sheetView>
  </sheetViews>
  <sheetFormatPr defaultRowHeight="14"/>
  <cols>
    <col min="1" max="1" width="42" customWidth="1"/>
    <col min="2" max="2" width="16" customWidth="1"/>
    <col min="3" max="7" width="14" customWidth="1"/>
    <col min="8" max="8" width="8" customWidth="1"/>
    <col min="9" max="10" width="18" customWidth="1"/>
    <col min="11" max="12" width="14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6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6">
      <c r="A5" s="19" t="s">
        <v>2</v>
      </c>
      <c r="B5" s="19"/>
      <c r="C5" s="19"/>
      <c r="E5" s="19" t="s">
        <v>3</v>
      </c>
      <c r="F5" s="19"/>
      <c r="G5" s="19" t="s">
        <v>4</v>
      </c>
      <c r="H5" s="19"/>
      <c r="I5" s="19" t="s">
        <v>5</v>
      </c>
      <c r="J5" s="19"/>
      <c r="K5" s="19" t="s">
        <v>6</v>
      </c>
      <c r="L5" s="19"/>
    </row>
    <row r="6" spans="1:16">
      <c r="A6" s="2" t="s">
        <v>7</v>
      </c>
      <c r="B6" s="3" t="s">
        <v>8</v>
      </c>
      <c r="C6" s="3"/>
      <c r="E6" s="20">
        <v>0.77551020408163263</v>
      </c>
      <c r="F6" s="21"/>
      <c r="G6" s="20">
        <v>0.71052631578947367</v>
      </c>
      <c r="H6" s="21"/>
      <c r="I6" s="20">
        <v>0.71666666666666667</v>
      </c>
      <c r="J6" s="21"/>
      <c r="K6" s="20">
        <v>0.10182599355531685</v>
      </c>
      <c r="L6" s="21"/>
    </row>
    <row r="7" spans="1:16" ht="42">
      <c r="A7" s="2" t="s">
        <v>9</v>
      </c>
      <c r="B7" s="3" t="s">
        <v>10</v>
      </c>
      <c r="C7" s="3"/>
      <c r="E7" s="21"/>
      <c r="F7" s="21"/>
      <c r="G7" s="21"/>
      <c r="H7" s="21"/>
      <c r="I7" s="21"/>
      <c r="J7" s="21"/>
      <c r="K7" s="21"/>
      <c r="L7" s="21"/>
    </row>
    <row r="8" spans="1:16">
      <c r="A8" s="2" t="s">
        <v>11</v>
      </c>
      <c r="B8" s="3" t="s">
        <v>12</v>
      </c>
      <c r="C8" s="3"/>
      <c r="E8" s="18" t="s">
        <v>13</v>
      </c>
      <c r="F8" s="18"/>
      <c r="G8" s="18" t="s">
        <v>13</v>
      </c>
      <c r="H8" s="18"/>
      <c r="I8" s="18" t="s">
        <v>13</v>
      </c>
      <c r="J8" s="18"/>
      <c r="K8" s="18" t="s">
        <v>14</v>
      </c>
      <c r="L8" s="18"/>
    </row>
    <row r="9" spans="1:16">
      <c r="A9" s="2" t="s">
        <v>15</v>
      </c>
      <c r="B9" s="4">
        <v>0.06</v>
      </c>
      <c r="C9" s="3"/>
    </row>
    <row r="10" spans="1:16">
      <c r="A10" s="2" t="s">
        <v>16</v>
      </c>
      <c r="B10" s="3" t="s">
        <v>17</v>
      </c>
      <c r="C10" s="3"/>
    </row>
    <row r="12" spans="1:16">
      <c r="A12" s="19" t="s">
        <v>18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6" ht="26">
      <c r="A13" s="5" t="s">
        <v>19</v>
      </c>
      <c r="B13" s="5" t="s">
        <v>20</v>
      </c>
      <c r="C13" s="5" t="s">
        <v>4</v>
      </c>
      <c r="D13" s="5" t="s">
        <v>3</v>
      </c>
      <c r="E13" s="5" t="s">
        <v>5</v>
      </c>
      <c r="F13" s="5" t="s">
        <v>21</v>
      </c>
      <c r="G13" s="5" t="s">
        <v>22</v>
      </c>
      <c r="H13" s="5" t="s">
        <v>23</v>
      </c>
      <c r="I13" s="5" t="s">
        <v>24</v>
      </c>
      <c r="J13" s="5" t="s">
        <v>25</v>
      </c>
      <c r="N13" s="5" t="s">
        <v>19</v>
      </c>
      <c r="O13" s="5" t="s">
        <v>4</v>
      </c>
      <c r="P13" s="5" t="s">
        <v>3</v>
      </c>
    </row>
    <row r="14" spans="1:16">
      <c r="A14" t="s">
        <v>26</v>
      </c>
      <c r="B14" s="7">
        <v>0.5</v>
      </c>
      <c r="C14" s="6">
        <v>0.52631578947368418</v>
      </c>
      <c r="D14" s="6">
        <v>0.41935483870967744</v>
      </c>
      <c r="E14" s="6">
        <v>0.58949275362318831</v>
      </c>
      <c r="F14" s="6">
        <v>0.28260869565217389</v>
      </c>
      <c r="G14" s="6">
        <v>0.8125</v>
      </c>
      <c r="H14">
        <v>76</v>
      </c>
      <c r="I14" s="6">
        <f>C14-$C$14</f>
        <v>0</v>
      </c>
      <c r="J14" s="6">
        <f>D14-$D$14</f>
        <v>0</v>
      </c>
      <c r="N14" t="s">
        <v>27</v>
      </c>
      <c r="O14" s="6">
        <v>0.52631578947368418</v>
      </c>
      <c r="P14" s="6">
        <v>0.41935483870967744</v>
      </c>
    </row>
    <row r="15" spans="1:16">
      <c r="A15" t="s">
        <v>28</v>
      </c>
      <c r="B15" s="7">
        <v>0.08</v>
      </c>
      <c r="C15" s="6">
        <v>0.59210526315789469</v>
      </c>
      <c r="D15" s="6">
        <v>0.67368421052631577</v>
      </c>
      <c r="E15" s="6">
        <v>0.58949275362318831</v>
      </c>
      <c r="F15" s="6">
        <v>0.69565217391304346</v>
      </c>
      <c r="G15" s="6">
        <v>0.65306122448979587</v>
      </c>
      <c r="H15">
        <v>76</v>
      </c>
      <c r="I15" s="6">
        <f>C15-$C$14</f>
        <v>6.5789473684210509E-2</v>
      </c>
      <c r="J15" s="6">
        <f>D15-$D$14</f>
        <v>0.25432937181663834</v>
      </c>
      <c r="N15" t="s">
        <v>29</v>
      </c>
      <c r="O15" s="6">
        <v>0.59210526315789469</v>
      </c>
      <c r="P15" s="6">
        <v>0.67368421052631577</v>
      </c>
    </row>
    <row r="16" spans="1:16">
      <c r="A16" t="s">
        <v>30</v>
      </c>
      <c r="B16" s="7">
        <v>0.5</v>
      </c>
      <c r="C16" s="6">
        <v>0.47368421052631576</v>
      </c>
      <c r="D16" s="6">
        <v>0.25925925925925924</v>
      </c>
      <c r="E16" s="6">
        <v>0.71666666666666667</v>
      </c>
      <c r="F16" s="6">
        <v>0.15217391304347827</v>
      </c>
      <c r="G16" s="6">
        <v>0.875</v>
      </c>
      <c r="H16">
        <v>76</v>
      </c>
      <c r="I16" s="6">
        <f>C16-$C$14</f>
        <v>-5.2631578947368418E-2</v>
      </c>
      <c r="J16" s="6">
        <f>D16-$D$14</f>
        <v>-0.16009557945041819</v>
      </c>
      <c r="N16" t="s">
        <v>31</v>
      </c>
      <c r="O16" s="6">
        <v>0.47368421052631576</v>
      </c>
      <c r="P16" s="6">
        <v>0.25925925925925924</v>
      </c>
    </row>
    <row r="17" spans="1:16" ht="28">
      <c r="A17" s="8" t="s">
        <v>32</v>
      </c>
      <c r="B17" s="9">
        <v>0.06</v>
      </c>
      <c r="C17" s="10">
        <v>0.71052631578947367</v>
      </c>
      <c r="D17" s="10">
        <v>0.77551020408163263</v>
      </c>
      <c r="E17" s="10">
        <v>0.71666666666666667</v>
      </c>
      <c r="F17" s="10">
        <v>0.82608695652173914</v>
      </c>
      <c r="G17" s="10">
        <v>0.73076923076923073</v>
      </c>
      <c r="H17" s="8">
        <v>76</v>
      </c>
      <c r="I17" s="10">
        <f>C17-$C$14</f>
        <v>0.18421052631578949</v>
      </c>
      <c r="J17" s="10">
        <f>D17-$D$14</f>
        <v>0.35615536537195519</v>
      </c>
      <c r="N17" t="s">
        <v>33</v>
      </c>
      <c r="O17" s="6">
        <v>0.71052631578947367</v>
      </c>
      <c r="P17" s="6">
        <v>0.77551020408163263</v>
      </c>
    </row>
    <row r="18" spans="1:16" ht="28">
      <c r="A18" s="1" t="s">
        <v>34</v>
      </c>
      <c r="B18" s="11">
        <v>0.12</v>
      </c>
      <c r="C18" s="12">
        <v>0.70666666666666667</v>
      </c>
      <c r="D18" s="12">
        <v>0.78846153846153844</v>
      </c>
      <c r="E18" s="12">
        <v>0.74703703703703705</v>
      </c>
      <c r="F18" s="12">
        <v>0.91111111111111109</v>
      </c>
      <c r="G18" s="12">
        <v>0.69491525423728817</v>
      </c>
      <c r="H18" s="1">
        <v>75</v>
      </c>
      <c r="I18" s="12">
        <f>C18-$C$14</f>
        <v>0.18035087719298248</v>
      </c>
      <c r="J18" s="12">
        <f>D18-$D$14</f>
        <v>0.369106699751861</v>
      </c>
      <c r="N18" t="s">
        <v>35</v>
      </c>
      <c r="O18" s="6">
        <v>0.70666666666666667</v>
      </c>
      <c r="P18" s="6">
        <v>0.78846153846153844</v>
      </c>
    </row>
    <row r="21" spans="1:16">
      <c r="A21" s="19" t="s">
        <v>36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6">
      <c r="A22" s="2" t="s">
        <v>37</v>
      </c>
      <c r="B22" s="2" t="s">
        <v>38</v>
      </c>
      <c r="C22" s="22" t="s">
        <v>39</v>
      </c>
      <c r="D22" s="22"/>
    </row>
    <row r="23" spans="1:16">
      <c r="A23" s="16" t="s">
        <v>40</v>
      </c>
      <c r="B23" s="3" t="s">
        <v>13</v>
      </c>
      <c r="C23" s="23" t="s">
        <v>41</v>
      </c>
      <c r="D23" s="23"/>
    </row>
    <row r="24" spans="1:16" ht="28">
      <c r="A24" s="16" t="s">
        <v>42</v>
      </c>
      <c r="B24" s="3" t="s">
        <v>43</v>
      </c>
      <c r="C24" s="23" t="s">
        <v>44</v>
      </c>
      <c r="D24" s="23"/>
    </row>
    <row r="25" spans="1:16">
      <c r="A25" s="16" t="s">
        <v>45</v>
      </c>
      <c r="B25" s="3" t="s">
        <v>46</v>
      </c>
      <c r="C25" s="23" t="s">
        <v>47</v>
      </c>
      <c r="D25" s="23"/>
    </row>
    <row r="26" spans="1:16">
      <c r="A26" s="16" t="s">
        <v>48</v>
      </c>
      <c r="B26" s="3" t="s">
        <v>49</v>
      </c>
      <c r="C26" s="23" t="s">
        <v>50</v>
      </c>
      <c r="D26" s="23"/>
    </row>
    <row r="27" spans="1:16">
      <c r="A27" s="16" t="s">
        <v>51</v>
      </c>
      <c r="B27" s="3" t="s">
        <v>52</v>
      </c>
      <c r="C27" s="23" t="s">
        <v>53</v>
      </c>
      <c r="D27" s="23"/>
    </row>
    <row r="28" spans="1:16">
      <c r="A28" s="16" t="s">
        <v>54</v>
      </c>
      <c r="B28" s="3" t="s">
        <v>55</v>
      </c>
      <c r="C28" s="23" t="s">
        <v>56</v>
      </c>
      <c r="D28" s="23"/>
    </row>
  </sheetData>
  <mergeCells count="24">
    <mergeCell ref="C24:D24"/>
    <mergeCell ref="C25:D25"/>
    <mergeCell ref="C26:D26"/>
    <mergeCell ref="C27:D27"/>
    <mergeCell ref="C28:D28"/>
    <mergeCell ref="K8:L8"/>
    <mergeCell ref="A12:L12"/>
    <mergeCell ref="A21:L21"/>
    <mergeCell ref="C22:D22"/>
    <mergeCell ref="C23:D23"/>
    <mergeCell ref="E8:F8"/>
    <mergeCell ref="G5:H5"/>
    <mergeCell ref="G6:H7"/>
    <mergeCell ref="G8:H8"/>
    <mergeCell ref="I5:J5"/>
    <mergeCell ref="I6:J7"/>
    <mergeCell ref="I8:J8"/>
    <mergeCell ref="A1:L2"/>
    <mergeCell ref="A3:L3"/>
    <mergeCell ref="A5:C5"/>
    <mergeCell ref="E5:F5"/>
    <mergeCell ref="E6:F7"/>
    <mergeCell ref="K5:L5"/>
    <mergeCell ref="K6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/>
  </sheetViews>
  <sheetFormatPr defaultRowHeight="14"/>
  <cols>
    <col min="1" max="1" width="7" customWidth="1"/>
    <col min="2" max="2" width="22" customWidth="1"/>
    <col min="3" max="3" width="40" customWidth="1"/>
    <col min="4" max="6" width="10" customWidth="1"/>
    <col min="7" max="11" width="11" customWidth="1"/>
    <col min="12" max="12" width="10" customWidth="1"/>
    <col min="13" max="13" width="7" customWidth="1"/>
  </cols>
  <sheetData>
    <row r="1" spans="1:13">
      <c r="A1" s="17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8" t="s">
        <v>58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spans="1:13">
      <c r="A5" s="5" t="s">
        <v>59</v>
      </c>
      <c r="B5" s="5" t="s">
        <v>7</v>
      </c>
      <c r="C5" s="5" t="s">
        <v>60</v>
      </c>
      <c r="D5" s="5" t="s">
        <v>61</v>
      </c>
      <c r="E5" s="5" t="s">
        <v>62</v>
      </c>
      <c r="F5" s="5" t="s">
        <v>20</v>
      </c>
      <c r="G5" s="5" t="s">
        <v>4</v>
      </c>
      <c r="H5" s="5" t="s">
        <v>3</v>
      </c>
      <c r="I5" s="5" t="s">
        <v>5</v>
      </c>
      <c r="J5" s="5" t="s">
        <v>21</v>
      </c>
      <c r="K5" s="5" t="s">
        <v>22</v>
      </c>
      <c r="L5" s="5" t="s">
        <v>63</v>
      </c>
      <c r="M5" s="5" t="s">
        <v>23</v>
      </c>
    </row>
    <row r="6" spans="1:13">
      <c r="A6" s="8">
        <v>1</v>
      </c>
      <c r="B6" s="8" t="s">
        <v>8</v>
      </c>
      <c r="C6" s="8" t="s">
        <v>64</v>
      </c>
      <c r="D6" s="8" t="s">
        <v>65</v>
      </c>
      <c r="E6" s="8" t="s">
        <v>65</v>
      </c>
      <c r="F6" s="9">
        <v>0.06</v>
      </c>
      <c r="G6" s="10">
        <v>0.71052631578947367</v>
      </c>
      <c r="H6" s="10">
        <v>0.77551020408163263</v>
      </c>
      <c r="I6" s="10">
        <v>0.71666666666666667</v>
      </c>
      <c r="J6" s="10">
        <v>0.82608695652173914</v>
      </c>
      <c r="K6" s="10">
        <v>0.73076923076923073</v>
      </c>
      <c r="L6" s="10">
        <v>1</v>
      </c>
      <c r="M6" s="8">
        <v>76</v>
      </c>
    </row>
    <row r="7" spans="1:13">
      <c r="A7" s="3">
        <v>2</v>
      </c>
      <c r="B7" s="3" t="s">
        <v>66</v>
      </c>
      <c r="C7" s="3" t="s">
        <v>67</v>
      </c>
      <c r="D7" s="3" t="s">
        <v>65</v>
      </c>
      <c r="E7" s="3" t="s">
        <v>68</v>
      </c>
      <c r="F7" s="4">
        <v>0.2</v>
      </c>
      <c r="G7" s="13">
        <v>0.69736842105263153</v>
      </c>
      <c r="H7" s="13">
        <v>0.75789473684210529</v>
      </c>
      <c r="I7" s="13">
        <v>0.66521739130434787</v>
      </c>
      <c r="J7" s="13">
        <v>0.78260869565217395</v>
      </c>
      <c r="K7" s="13">
        <v>0.73469387755102045</v>
      </c>
      <c r="L7" s="13">
        <v>1</v>
      </c>
      <c r="M7" s="3">
        <v>76</v>
      </c>
    </row>
    <row r="8" spans="1:13">
      <c r="A8" s="3">
        <v>3</v>
      </c>
      <c r="B8" s="3" t="s">
        <v>66</v>
      </c>
      <c r="C8" s="3" t="s">
        <v>64</v>
      </c>
      <c r="D8" s="3" t="s">
        <v>65</v>
      </c>
      <c r="E8" s="3" t="s">
        <v>65</v>
      </c>
      <c r="F8" s="4">
        <v>0.15</v>
      </c>
      <c r="G8" s="13">
        <v>0.67567567567567566</v>
      </c>
      <c r="H8" s="13">
        <v>0.75510204081632648</v>
      </c>
      <c r="I8" s="13">
        <v>0.67499999999999982</v>
      </c>
      <c r="J8" s="13">
        <v>0.84090909090909094</v>
      </c>
      <c r="K8" s="13">
        <v>0.68518518518518523</v>
      </c>
      <c r="L8" s="13">
        <v>0.97368421052631582</v>
      </c>
      <c r="M8" s="3">
        <v>74</v>
      </c>
    </row>
    <row r="9" spans="1:13">
      <c r="A9" s="3">
        <v>4</v>
      </c>
      <c r="B9" s="3" t="s">
        <v>66</v>
      </c>
      <c r="C9" s="3" t="s">
        <v>69</v>
      </c>
      <c r="D9" s="3" t="s">
        <v>68</v>
      </c>
      <c r="E9" s="3" t="s">
        <v>65</v>
      </c>
      <c r="F9" s="4">
        <v>0.15</v>
      </c>
      <c r="G9" s="13">
        <v>0.65333333333333332</v>
      </c>
      <c r="H9" s="13">
        <v>0.75471698113207553</v>
      </c>
      <c r="I9" s="13">
        <v>0.72148148148148161</v>
      </c>
      <c r="J9" s="13">
        <v>0.88888888888888884</v>
      </c>
      <c r="K9" s="13">
        <v>0.65573770491803274</v>
      </c>
      <c r="L9" s="13">
        <v>0.98684210526315785</v>
      </c>
      <c r="M9" s="3">
        <v>75</v>
      </c>
    </row>
    <row r="10" spans="1:13">
      <c r="A10" s="3">
        <v>5</v>
      </c>
      <c r="B10" s="3" t="s">
        <v>70</v>
      </c>
      <c r="C10" s="3" t="s">
        <v>67</v>
      </c>
      <c r="D10" s="3" t="s">
        <v>65</v>
      </c>
      <c r="E10" s="3" t="s">
        <v>68</v>
      </c>
      <c r="F10" s="4">
        <v>0.05</v>
      </c>
      <c r="G10" s="13">
        <v>0.60526315789473684</v>
      </c>
      <c r="H10" s="13">
        <v>0.75409836065573765</v>
      </c>
      <c r="I10" s="13">
        <v>0.67644927536231902</v>
      </c>
      <c r="J10" s="13">
        <v>1</v>
      </c>
      <c r="K10" s="13">
        <v>0.60526315789473684</v>
      </c>
      <c r="L10" s="13">
        <v>1</v>
      </c>
      <c r="M10" s="3">
        <v>76</v>
      </c>
    </row>
    <row r="11" spans="1:13">
      <c r="A11" s="3">
        <v>6</v>
      </c>
      <c r="B11" s="3" t="s">
        <v>70</v>
      </c>
      <c r="C11" s="3" t="s">
        <v>69</v>
      </c>
      <c r="D11" s="3" t="s">
        <v>68</v>
      </c>
      <c r="E11" s="3" t="s">
        <v>65</v>
      </c>
      <c r="F11" s="4">
        <v>0.05</v>
      </c>
      <c r="G11" s="13">
        <v>0.60526315789473684</v>
      </c>
      <c r="H11" s="13">
        <v>0.75409836065573765</v>
      </c>
      <c r="I11" s="13">
        <v>0.67028985507246386</v>
      </c>
      <c r="J11" s="13">
        <v>1</v>
      </c>
      <c r="K11" s="13">
        <v>0.60526315789473684</v>
      </c>
      <c r="L11" s="13">
        <v>1</v>
      </c>
      <c r="M11" s="3">
        <v>76</v>
      </c>
    </row>
    <row r="12" spans="1:13">
      <c r="A12" s="3">
        <v>7</v>
      </c>
      <c r="B12" s="3" t="s">
        <v>70</v>
      </c>
      <c r="C12" s="3" t="s">
        <v>64</v>
      </c>
      <c r="D12" s="3" t="s">
        <v>65</v>
      </c>
      <c r="E12" s="3" t="s">
        <v>65</v>
      </c>
      <c r="F12" s="4">
        <v>0.05</v>
      </c>
      <c r="G12" s="13">
        <v>0.60526315789473684</v>
      </c>
      <c r="H12" s="13">
        <v>0.75409836065573765</v>
      </c>
      <c r="I12" s="13">
        <v>0.66630434782608694</v>
      </c>
      <c r="J12" s="13">
        <v>1</v>
      </c>
      <c r="K12" s="13">
        <v>0.60526315789473684</v>
      </c>
      <c r="L12" s="13">
        <v>1</v>
      </c>
      <c r="M12" s="3">
        <v>76</v>
      </c>
    </row>
    <row r="13" spans="1:13">
      <c r="A13" s="3">
        <v>8</v>
      </c>
      <c r="B13" s="3" t="s">
        <v>70</v>
      </c>
      <c r="C13" s="3" t="s">
        <v>71</v>
      </c>
      <c r="D13" s="3" t="s">
        <v>68</v>
      </c>
      <c r="E13" s="3" t="s">
        <v>68</v>
      </c>
      <c r="F13" s="4">
        <v>0.05</v>
      </c>
      <c r="G13" s="13">
        <v>0.60526315789473684</v>
      </c>
      <c r="H13" s="13">
        <v>0.75409836065573765</v>
      </c>
      <c r="I13" s="13">
        <v>0.6634057971014492</v>
      </c>
      <c r="J13" s="13">
        <v>1</v>
      </c>
      <c r="K13" s="13">
        <v>0.60526315789473684</v>
      </c>
      <c r="L13" s="13">
        <v>1</v>
      </c>
      <c r="M13" s="3">
        <v>76</v>
      </c>
    </row>
    <row r="14" spans="1:13">
      <c r="A14" s="3">
        <v>9</v>
      </c>
      <c r="B14" s="3" t="s">
        <v>70</v>
      </c>
      <c r="C14" s="3" t="s">
        <v>72</v>
      </c>
      <c r="D14" s="3" t="s">
        <v>73</v>
      </c>
      <c r="E14" s="3" t="s">
        <v>73</v>
      </c>
      <c r="F14" s="4">
        <v>0.12</v>
      </c>
      <c r="G14" s="13">
        <v>0.60526315789473684</v>
      </c>
      <c r="H14" s="13">
        <v>0.75409836065573765</v>
      </c>
      <c r="I14" s="13">
        <v>0.66231884057971002</v>
      </c>
      <c r="J14" s="13">
        <v>1</v>
      </c>
      <c r="K14" s="13">
        <v>0.60526315789473684</v>
      </c>
      <c r="L14" s="13">
        <v>1</v>
      </c>
      <c r="M14" s="3">
        <v>76</v>
      </c>
    </row>
    <row r="15" spans="1:13">
      <c r="A15" s="3">
        <v>10</v>
      </c>
      <c r="B15" s="3" t="s">
        <v>66</v>
      </c>
      <c r="C15" s="3" t="s">
        <v>71</v>
      </c>
      <c r="D15" s="3" t="s">
        <v>68</v>
      </c>
      <c r="E15" s="3" t="s">
        <v>68</v>
      </c>
      <c r="F15" s="4">
        <v>0.15</v>
      </c>
      <c r="G15" s="13">
        <v>0.66666666666666663</v>
      </c>
      <c r="H15" s="13">
        <v>0.75247524752475248</v>
      </c>
      <c r="I15" s="13">
        <v>0.68444444444444441</v>
      </c>
      <c r="J15" s="13">
        <v>0.84444444444444444</v>
      </c>
      <c r="K15" s="13">
        <v>0.6785714285714286</v>
      </c>
      <c r="L15" s="13">
        <v>0.98684210526315785</v>
      </c>
      <c r="M15" s="3">
        <v>75</v>
      </c>
    </row>
    <row r="16" spans="1:13">
      <c r="A16" s="3">
        <v>11</v>
      </c>
      <c r="B16" s="3" t="s">
        <v>66</v>
      </c>
      <c r="C16" s="3" t="s">
        <v>72</v>
      </c>
      <c r="D16" s="3" t="s">
        <v>73</v>
      </c>
      <c r="E16" s="3" t="s">
        <v>73</v>
      </c>
      <c r="F16" s="4">
        <v>0.05</v>
      </c>
      <c r="G16" s="13">
        <v>0.59210526315789469</v>
      </c>
      <c r="H16" s="13">
        <v>0.74380165289256195</v>
      </c>
      <c r="I16" s="13">
        <v>0.58804347826086956</v>
      </c>
      <c r="J16" s="13">
        <v>0.97826086956521741</v>
      </c>
      <c r="K16" s="13">
        <v>0.6</v>
      </c>
      <c r="L16" s="13">
        <v>1</v>
      </c>
      <c r="M16" s="3">
        <v>76</v>
      </c>
    </row>
    <row r="17" spans="1:13">
      <c r="A17" s="3">
        <v>12</v>
      </c>
      <c r="B17" s="3" t="s">
        <v>8</v>
      </c>
      <c r="C17" s="3" t="s">
        <v>69</v>
      </c>
      <c r="D17" s="3" t="s">
        <v>68</v>
      </c>
      <c r="E17" s="3" t="s">
        <v>65</v>
      </c>
      <c r="F17" s="4">
        <v>0.06</v>
      </c>
      <c r="G17" s="13">
        <v>0.64473684210526316</v>
      </c>
      <c r="H17" s="13">
        <v>0.70967741935483875</v>
      </c>
      <c r="I17" s="13">
        <v>0.67971014492753623</v>
      </c>
      <c r="J17" s="13">
        <v>0.71739130434782605</v>
      </c>
      <c r="K17" s="13">
        <v>0.7021276595744681</v>
      </c>
      <c r="L17" s="13">
        <v>1</v>
      </c>
      <c r="M17" s="3">
        <v>76</v>
      </c>
    </row>
    <row r="18" spans="1:13">
      <c r="A18" s="3">
        <v>13</v>
      </c>
      <c r="B18" s="3" t="s">
        <v>8</v>
      </c>
      <c r="C18" s="3" t="s">
        <v>71</v>
      </c>
      <c r="D18" s="3" t="s">
        <v>68</v>
      </c>
      <c r="E18" s="3" t="s">
        <v>68</v>
      </c>
      <c r="F18" s="4">
        <v>0.06</v>
      </c>
      <c r="G18" s="13">
        <v>0.59210526315789469</v>
      </c>
      <c r="H18" s="13">
        <v>0.69306930693069302</v>
      </c>
      <c r="I18" s="13">
        <v>0.62137681159420288</v>
      </c>
      <c r="J18" s="13">
        <v>0.76086956521739135</v>
      </c>
      <c r="K18" s="13">
        <v>0.63636363636363635</v>
      </c>
      <c r="L18" s="13">
        <v>1</v>
      </c>
      <c r="M18" s="3">
        <v>76</v>
      </c>
    </row>
    <row r="19" spans="1:13">
      <c r="A19" s="3">
        <v>14</v>
      </c>
      <c r="B19" s="3" t="s">
        <v>8</v>
      </c>
      <c r="C19" s="3" t="s">
        <v>67</v>
      </c>
      <c r="D19" s="3" t="s">
        <v>65</v>
      </c>
      <c r="E19" s="3" t="s">
        <v>68</v>
      </c>
      <c r="F19" s="4">
        <v>0.18</v>
      </c>
      <c r="G19" s="13">
        <v>0.63157894736842102</v>
      </c>
      <c r="H19" s="13">
        <v>0.67441860465116277</v>
      </c>
      <c r="I19" s="13">
        <v>0.61304347826086947</v>
      </c>
      <c r="J19" s="13">
        <v>0.63043478260869568</v>
      </c>
      <c r="K19" s="13">
        <v>0.72499999999999998</v>
      </c>
      <c r="L19" s="13">
        <v>1</v>
      </c>
      <c r="M19" s="3">
        <v>76</v>
      </c>
    </row>
    <row r="20" spans="1:13">
      <c r="A20" s="3">
        <v>15</v>
      </c>
      <c r="B20" s="3" t="s">
        <v>8</v>
      </c>
      <c r="C20" s="3" t="s">
        <v>72</v>
      </c>
      <c r="D20" s="3" t="s">
        <v>73</v>
      </c>
      <c r="E20" s="3" t="s">
        <v>73</v>
      </c>
      <c r="F20" s="4">
        <v>0.08</v>
      </c>
      <c r="G20" s="13">
        <v>0.59210526315789469</v>
      </c>
      <c r="H20" s="13">
        <v>0.67368421052631577</v>
      </c>
      <c r="I20" s="13">
        <v>0.58949275362318831</v>
      </c>
      <c r="J20" s="13">
        <v>0.69565217391304346</v>
      </c>
      <c r="K20" s="13">
        <v>0.65306122448979587</v>
      </c>
      <c r="L20" s="13">
        <v>1</v>
      </c>
      <c r="M20" s="3">
        <v>76</v>
      </c>
    </row>
  </sheetData>
  <mergeCells count="2">
    <mergeCell ref="A1:M2"/>
    <mergeCell ref="A3:M3"/>
  </mergeCells>
  <conditionalFormatting sqref="G6:H2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6"/>
  <sheetViews>
    <sheetView workbookViewId="0"/>
  </sheetViews>
  <sheetFormatPr defaultRowHeight="14"/>
  <cols>
    <col min="1" max="1" width="22" customWidth="1"/>
    <col min="2" max="2" width="42" customWidth="1"/>
    <col min="3" max="4" width="16" customWidth="1"/>
    <col min="5" max="8" width="14" customWidth="1"/>
    <col min="9" max="10" width="13" customWidth="1"/>
  </cols>
  <sheetData>
    <row r="1" spans="1:10">
      <c r="A1" s="17" t="s">
        <v>74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8" t="s">
        <v>75</v>
      </c>
      <c r="B3" s="18"/>
      <c r="C3" s="18"/>
      <c r="D3" s="18"/>
      <c r="E3" s="18"/>
      <c r="F3" s="18"/>
      <c r="G3" s="18"/>
      <c r="H3" s="18"/>
      <c r="I3" s="18"/>
      <c r="J3" s="18"/>
    </row>
    <row r="5" spans="1:10" ht="26">
      <c r="A5" s="5" t="s">
        <v>7</v>
      </c>
      <c r="B5" s="5" t="s">
        <v>9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81</v>
      </c>
      <c r="I5" s="5" t="s">
        <v>82</v>
      </c>
      <c r="J5" s="5" t="s">
        <v>5</v>
      </c>
    </row>
    <row r="6" spans="1:10">
      <c r="A6" s="8" t="s">
        <v>8</v>
      </c>
      <c r="B6" s="8" t="s">
        <v>64</v>
      </c>
      <c r="C6" s="10">
        <v>0.47368421052631576</v>
      </c>
      <c r="D6" s="10">
        <v>0.71052631578947367</v>
      </c>
      <c r="E6" s="10">
        <f t="shared" ref="E6:E20" si="0">D6-C6</f>
        <v>0.23684210526315791</v>
      </c>
      <c r="F6" s="10">
        <v>0.25925925925925924</v>
      </c>
      <c r="G6" s="10">
        <v>0.77551020408163263</v>
      </c>
      <c r="H6" s="10">
        <f t="shared" ref="H6:H20" si="1">G6-F6</f>
        <v>0.51625094482237333</v>
      </c>
      <c r="I6" s="9">
        <v>0.06</v>
      </c>
      <c r="J6" s="10">
        <v>0.71666666666666667</v>
      </c>
    </row>
    <row r="7" spans="1:10">
      <c r="A7" t="s">
        <v>66</v>
      </c>
      <c r="B7" t="s">
        <v>67</v>
      </c>
      <c r="C7" s="6">
        <v>0.52631578947368418</v>
      </c>
      <c r="D7" s="6">
        <v>0.69736842105263153</v>
      </c>
      <c r="E7" s="6">
        <f t="shared" si="0"/>
        <v>0.17105263157894735</v>
      </c>
      <c r="F7" s="6">
        <v>0.45454545454545453</v>
      </c>
      <c r="G7" s="6">
        <v>0.75789473684210529</v>
      </c>
      <c r="H7" s="6">
        <f t="shared" si="1"/>
        <v>0.30334928229665076</v>
      </c>
      <c r="I7" s="7">
        <v>0.2</v>
      </c>
      <c r="J7" s="6">
        <v>0.66521739130434787</v>
      </c>
    </row>
    <row r="8" spans="1:10">
      <c r="A8" t="s">
        <v>66</v>
      </c>
      <c r="B8" t="s">
        <v>64</v>
      </c>
      <c r="C8" s="6">
        <v>0.51351351351351349</v>
      </c>
      <c r="D8" s="6">
        <v>0.67567567567567566</v>
      </c>
      <c r="E8" s="6">
        <f t="shared" si="0"/>
        <v>0.16216216216216217</v>
      </c>
      <c r="F8" s="6">
        <v>0.37931034482758619</v>
      </c>
      <c r="G8" s="6">
        <v>0.75510204081632648</v>
      </c>
      <c r="H8" s="6">
        <f t="shared" si="1"/>
        <v>0.37579169598874029</v>
      </c>
      <c r="I8" s="7">
        <v>0.15</v>
      </c>
      <c r="J8" s="6">
        <v>0.67499999999999982</v>
      </c>
    </row>
    <row r="9" spans="1:10">
      <c r="A9" t="s">
        <v>66</v>
      </c>
      <c r="B9" t="s">
        <v>69</v>
      </c>
      <c r="C9" s="6">
        <v>0.54666666666666663</v>
      </c>
      <c r="D9" s="6">
        <v>0.65333333333333332</v>
      </c>
      <c r="E9" s="6">
        <f t="shared" si="0"/>
        <v>0.10666666666666669</v>
      </c>
      <c r="F9" s="6">
        <v>0.41379310344827586</v>
      </c>
      <c r="G9" s="6">
        <v>0.75471698113207553</v>
      </c>
      <c r="H9" s="6">
        <f t="shared" si="1"/>
        <v>0.34092387768379967</v>
      </c>
      <c r="I9" s="7">
        <v>0.15</v>
      </c>
      <c r="J9" s="6">
        <v>0.72148148148148161</v>
      </c>
    </row>
    <row r="10" spans="1:10">
      <c r="A10" t="s">
        <v>70</v>
      </c>
      <c r="B10" t="s">
        <v>71</v>
      </c>
      <c r="C10" s="6">
        <v>0.61842105263157898</v>
      </c>
      <c r="D10" s="6">
        <v>0.60526315789473684</v>
      </c>
      <c r="E10" s="6">
        <f t="shared" si="0"/>
        <v>-1.3157894736842146E-2</v>
      </c>
      <c r="F10" s="6">
        <v>0.57971014492753625</v>
      </c>
      <c r="G10" s="6">
        <v>0.75409836065573765</v>
      </c>
      <c r="H10" s="6">
        <f t="shared" si="1"/>
        <v>0.1743882157282014</v>
      </c>
      <c r="I10" s="7">
        <v>0.05</v>
      </c>
      <c r="J10" s="6">
        <v>0.6634057971014492</v>
      </c>
    </row>
    <row r="11" spans="1:10">
      <c r="A11" t="s">
        <v>70</v>
      </c>
      <c r="B11" t="s">
        <v>69</v>
      </c>
      <c r="C11" s="6">
        <v>0.60526315789473684</v>
      </c>
      <c r="D11" s="6">
        <v>0.60526315789473684</v>
      </c>
      <c r="E11" s="6">
        <f t="shared" si="0"/>
        <v>0</v>
      </c>
      <c r="F11" s="6">
        <v>0.54545454545454541</v>
      </c>
      <c r="G11" s="6">
        <v>0.75409836065573765</v>
      </c>
      <c r="H11" s="6">
        <f t="shared" si="1"/>
        <v>0.20864381520119224</v>
      </c>
      <c r="I11" s="7">
        <v>0.05</v>
      </c>
      <c r="J11" s="6">
        <v>0.67028985507246386</v>
      </c>
    </row>
    <row r="12" spans="1:10">
      <c r="A12" t="s">
        <v>70</v>
      </c>
      <c r="B12" t="s">
        <v>67</v>
      </c>
      <c r="C12" s="6">
        <v>0.63157894736842102</v>
      </c>
      <c r="D12" s="6">
        <v>0.60526315789473684</v>
      </c>
      <c r="E12" s="6">
        <f t="shared" si="0"/>
        <v>-2.6315789473684181E-2</v>
      </c>
      <c r="F12" s="6">
        <v>0.6216216216216216</v>
      </c>
      <c r="G12" s="6">
        <v>0.75409836065573765</v>
      </c>
      <c r="H12" s="6">
        <f t="shared" si="1"/>
        <v>0.13247673903411605</v>
      </c>
      <c r="I12" s="7">
        <v>0.05</v>
      </c>
      <c r="J12" s="6">
        <v>0.67644927536231902</v>
      </c>
    </row>
    <row r="13" spans="1:10">
      <c r="A13" t="s">
        <v>70</v>
      </c>
      <c r="B13" t="s">
        <v>64</v>
      </c>
      <c r="C13" s="6">
        <v>0.61842105263157898</v>
      </c>
      <c r="D13" s="6">
        <v>0.60526315789473684</v>
      </c>
      <c r="E13" s="6">
        <f t="shared" si="0"/>
        <v>-1.3157894736842146E-2</v>
      </c>
      <c r="F13" s="6">
        <v>0.61333333333333329</v>
      </c>
      <c r="G13" s="6">
        <v>0.75409836065573765</v>
      </c>
      <c r="H13" s="6">
        <f t="shared" si="1"/>
        <v>0.14076502732240437</v>
      </c>
      <c r="I13" s="7">
        <v>0.05</v>
      </c>
      <c r="J13" s="6">
        <v>0.66630434782608694</v>
      </c>
    </row>
    <row r="14" spans="1:10">
      <c r="A14" t="s">
        <v>70</v>
      </c>
      <c r="B14" t="s">
        <v>72</v>
      </c>
      <c r="C14" s="6">
        <v>0.64473684210526316</v>
      </c>
      <c r="D14" s="6">
        <v>0.60526315789473684</v>
      </c>
      <c r="E14" s="6">
        <f t="shared" si="0"/>
        <v>-3.9473684210526327E-2</v>
      </c>
      <c r="F14" s="6">
        <v>0.64935064935064934</v>
      </c>
      <c r="G14" s="6">
        <v>0.75409836065573765</v>
      </c>
      <c r="H14" s="6">
        <f t="shared" si="1"/>
        <v>0.10474771130508831</v>
      </c>
      <c r="I14" s="7">
        <v>0.12</v>
      </c>
      <c r="J14" s="6">
        <v>0.66231884057971002</v>
      </c>
    </row>
    <row r="15" spans="1:10">
      <c r="A15" t="s">
        <v>66</v>
      </c>
      <c r="B15" t="s">
        <v>71</v>
      </c>
      <c r="C15" s="6">
        <v>0.56000000000000005</v>
      </c>
      <c r="D15" s="6">
        <v>0.66666666666666663</v>
      </c>
      <c r="E15" s="6">
        <f t="shared" si="0"/>
        <v>0.10666666666666658</v>
      </c>
      <c r="F15" s="6">
        <v>0.47619047619047616</v>
      </c>
      <c r="G15" s="6">
        <v>0.75247524752475248</v>
      </c>
      <c r="H15" s="6">
        <f t="shared" si="1"/>
        <v>0.27628477133427631</v>
      </c>
      <c r="I15" s="7">
        <v>0.15</v>
      </c>
      <c r="J15" s="6">
        <v>0.68444444444444441</v>
      </c>
    </row>
    <row r="16" spans="1:10">
      <c r="A16" t="s">
        <v>66</v>
      </c>
      <c r="B16" t="s">
        <v>72</v>
      </c>
      <c r="C16" s="6">
        <v>0.51315789473684215</v>
      </c>
      <c r="D16" s="6">
        <v>0.59210526315789469</v>
      </c>
      <c r="E16" s="6">
        <f t="shared" si="0"/>
        <v>7.8947368421052544E-2</v>
      </c>
      <c r="F16" s="6">
        <v>0.32727272727272727</v>
      </c>
      <c r="G16" s="6">
        <v>0.74380165289256195</v>
      </c>
      <c r="H16" s="6">
        <f t="shared" si="1"/>
        <v>0.41652892561983468</v>
      </c>
      <c r="I16" s="7">
        <v>0.05</v>
      </c>
      <c r="J16" s="6">
        <v>0.58804347826086956</v>
      </c>
    </row>
    <row r="17" spans="1:10">
      <c r="A17" t="s">
        <v>8</v>
      </c>
      <c r="B17" t="s">
        <v>69</v>
      </c>
      <c r="C17" s="6">
        <v>0.51315789473684215</v>
      </c>
      <c r="D17" s="6">
        <v>0.64473684210526316</v>
      </c>
      <c r="E17" s="6">
        <f t="shared" si="0"/>
        <v>0.13157894736842102</v>
      </c>
      <c r="F17" s="6">
        <v>0.32727272727272727</v>
      </c>
      <c r="G17" s="6">
        <v>0.70967741935483875</v>
      </c>
      <c r="H17" s="6">
        <f t="shared" si="1"/>
        <v>0.38240469208211147</v>
      </c>
      <c r="I17" s="7">
        <v>0.06</v>
      </c>
      <c r="J17" s="6">
        <v>0.67971014492753623</v>
      </c>
    </row>
    <row r="18" spans="1:10">
      <c r="A18" t="s">
        <v>8</v>
      </c>
      <c r="B18" t="s">
        <v>71</v>
      </c>
      <c r="C18" s="6">
        <v>0.48684210526315791</v>
      </c>
      <c r="D18" s="6">
        <v>0.59210526315789469</v>
      </c>
      <c r="E18" s="6">
        <f t="shared" si="0"/>
        <v>0.10526315789473678</v>
      </c>
      <c r="F18" s="6">
        <v>0.29090909090909089</v>
      </c>
      <c r="G18" s="6">
        <v>0.69306930693069302</v>
      </c>
      <c r="H18" s="6">
        <f t="shared" si="1"/>
        <v>0.40216021602160212</v>
      </c>
      <c r="I18" s="7">
        <v>0.06</v>
      </c>
      <c r="J18" s="6">
        <v>0.62137681159420288</v>
      </c>
    </row>
    <row r="19" spans="1:10">
      <c r="A19" t="s">
        <v>8</v>
      </c>
      <c r="B19" t="s">
        <v>67</v>
      </c>
      <c r="C19" s="6">
        <v>0.48684210526315791</v>
      </c>
      <c r="D19" s="6">
        <v>0.63157894736842102</v>
      </c>
      <c r="E19" s="6">
        <f t="shared" si="0"/>
        <v>0.14473684210526311</v>
      </c>
      <c r="F19" s="6">
        <v>0.29090909090909089</v>
      </c>
      <c r="G19" s="6">
        <v>0.67441860465116277</v>
      </c>
      <c r="H19" s="6">
        <f t="shared" si="1"/>
        <v>0.38350951374207187</v>
      </c>
      <c r="I19" s="7">
        <v>0.18</v>
      </c>
      <c r="J19" s="6">
        <v>0.61304347826086947</v>
      </c>
    </row>
    <row r="20" spans="1:10">
      <c r="A20" t="s">
        <v>8</v>
      </c>
      <c r="B20" t="s">
        <v>72</v>
      </c>
      <c r="C20" s="6">
        <v>0.52631578947368418</v>
      </c>
      <c r="D20" s="6">
        <v>0.59210526315789469</v>
      </c>
      <c r="E20" s="6">
        <f t="shared" si="0"/>
        <v>6.5789473684210509E-2</v>
      </c>
      <c r="F20" s="6">
        <v>0.41935483870967744</v>
      </c>
      <c r="G20" s="6">
        <v>0.67368421052631577</v>
      </c>
      <c r="H20" s="6">
        <f t="shared" si="1"/>
        <v>0.25432937181663834</v>
      </c>
      <c r="I20" s="7">
        <v>0.08</v>
      </c>
      <c r="J20" s="6">
        <v>0.58949275362318831</v>
      </c>
    </row>
    <row r="24" spans="1:10">
      <c r="A24" s="19" t="s">
        <v>83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>
      <c r="A25" s="2" t="s">
        <v>20</v>
      </c>
      <c r="B25" s="2" t="s">
        <v>4</v>
      </c>
      <c r="C25" s="2" t="s">
        <v>3</v>
      </c>
    </row>
    <row r="26" spans="1:10">
      <c r="A26" s="7">
        <v>0.05</v>
      </c>
      <c r="B26" s="6">
        <v>0.69736842105263153</v>
      </c>
      <c r="C26" s="6">
        <v>0.76767676767676762</v>
      </c>
    </row>
    <row r="27" spans="1:10">
      <c r="A27" s="7">
        <v>0.06</v>
      </c>
      <c r="B27" s="6">
        <v>0.71052631578947367</v>
      </c>
      <c r="C27" s="6">
        <v>0.77551020408163263</v>
      </c>
    </row>
    <row r="28" spans="1:10">
      <c r="A28" s="7">
        <v>7.0000000000000007E-2</v>
      </c>
      <c r="B28" s="6">
        <v>0.71052631578947367</v>
      </c>
      <c r="C28" s="6">
        <v>0.77083333333333337</v>
      </c>
    </row>
    <row r="29" spans="1:10">
      <c r="A29" s="7">
        <v>0.08</v>
      </c>
      <c r="B29" s="6">
        <v>0.71052631578947367</v>
      </c>
      <c r="C29" s="6">
        <v>0.77083333333333337</v>
      </c>
    </row>
    <row r="30" spans="1:10">
      <c r="A30" s="7">
        <v>0.09</v>
      </c>
      <c r="B30" s="6">
        <v>0.68421052631578949</v>
      </c>
      <c r="C30" s="6">
        <v>0.7</v>
      </c>
    </row>
    <row r="31" spans="1:10">
      <c r="A31" s="7">
        <v>0.1</v>
      </c>
      <c r="B31" s="6">
        <v>0.68421052631578949</v>
      </c>
      <c r="C31" s="6">
        <v>0.7</v>
      </c>
    </row>
    <row r="32" spans="1:10">
      <c r="A32" s="7">
        <v>0.11</v>
      </c>
      <c r="B32" s="6">
        <v>0.67105263157894735</v>
      </c>
      <c r="C32" s="6">
        <v>0.68354430379746833</v>
      </c>
    </row>
    <row r="33" spans="1:3">
      <c r="A33" s="7">
        <v>0.12</v>
      </c>
      <c r="B33" s="6">
        <v>0.67105263157894735</v>
      </c>
      <c r="C33" s="6">
        <v>0.68354430379746833</v>
      </c>
    </row>
    <row r="34" spans="1:3">
      <c r="A34" s="7">
        <v>0.13</v>
      </c>
      <c r="B34" s="6">
        <v>0.60526315789473684</v>
      </c>
      <c r="C34" s="6">
        <v>0.59459459459459463</v>
      </c>
    </row>
    <row r="35" spans="1:3">
      <c r="A35" s="7">
        <v>0.14000000000000001</v>
      </c>
      <c r="B35" s="6">
        <v>0.60526315789473684</v>
      </c>
      <c r="C35" s="6">
        <v>0.59459459459459463</v>
      </c>
    </row>
    <row r="36" spans="1:3">
      <c r="A36" s="7">
        <v>0.15</v>
      </c>
      <c r="B36" s="6">
        <v>0.60526315789473684</v>
      </c>
      <c r="C36" s="6">
        <v>0.59459459459459463</v>
      </c>
    </row>
    <row r="37" spans="1:3">
      <c r="A37" s="7">
        <v>0.16</v>
      </c>
      <c r="B37" s="6">
        <v>0.60526315789473684</v>
      </c>
      <c r="C37" s="6">
        <v>0.59459459459459463</v>
      </c>
    </row>
    <row r="38" spans="1:3">
      <c r="A38" s="7">
        <v>0.17</v>
      </c>
      <c r="B38" s="6">
        <v>0.59210526315789469</v>
      </c>
      <c r="C38" s="6">
        <v>0.57534246575342463</v>
      </c>
    </row>
    <row r="39" spans="1:3">
      <c r="A39" s="7">
        <v>0.18</v>
      </c>
      <c r="B39" s="6">
        <v>0.59210526315789469</v>
      </c>
      <c r="C39" s="6">
        <v>0.57534246575342463</v>
      </c>
    </row>
    <row r="40" spans="1:3">
      <c r="A40" s="7">
        <v>0.19</v>
      </c>
      <c r="B40" s="6">
        <v>0.59210526315789469</v>
      </c>
      <c r="C40" s="6">
        <v>0.55072463768115942</v>
      </c>
    </row>
    <row r="41" spans="1:3">
      <c r="A41" s="7">
        <v>0.2</v>
      </c>
      <c r="B41" s="6">
        <v>0.59210526315789469</v>
      </c>
      <c r="C41" s="6">
        <v>0.55072463768115942</v>
      </c>
    </row>
    <row r="42" spans="1:3">
      <c r="A42" s="7">
        <v>0.21</v>
      </c>
      <c r="B42" s="6">
        <v>0.57894736842105265</v>
      </c>
      <c r="C42" s="6">
        <v>0.52941176470588236</v>
      </c>
    </row>
    <row r="43" spans="1:3">
      <c r="A43" s="7">
        <v>0.22</v>
      </c>
      <c r="B43" s="6">
        <v>0.57894736842105265</v>
      </c>
      <c r="C43" s="6">
        <v>0.52941176470588236</v>
      </c>
    </row>
    <row r="44" spans="1:3">
      <c r="A44" s="7">
        <v>0.23</v>
      </c>
      <c r="B44" s="6">
        <v>0.56578947368421051</v>
      </c>
      <c r="C44" s="6">
        <v>0.5074626865671642</v>
      </c>
    </row>
    <row r="45" spans="1:3">
      <c r="A45" s="7">
        <v>0.24</v>
      </c>
      <c r="B45" s="6">
        <v>0.56578947368421051</v>
      </c>
      <c r="C45" s="6">
        <v>0.5074626865671642</v>
      </c>
    </row>
    <row r="46" spans="1:3">
      <c r="A46" s="7">
        <v>0.25</v>
      </c>
      <c r="B46" s="6">
        <v>0.55263157894736847</v>
      </c>
      <c r="C46" s="6">
        <v>0.48484848484848486</v>
      </c>
    </row>
    <row r="47" spans="1:3">
      <c r="A47" s="7">
        <v>0.26</v>
      </c>
      <c r="B47" s="6">
        <v>0.55263157894736847</v>
      </c>
      <c r="C47" s="6">
        <v>0.48484848484848486</v>
      </c>
    </row>
    <row r="48" spans="1:3">
      <c r="A48" s="7">
        <v>0.27</v>
      </c>
      <c r="B48" s="6">
        <v>0.55263157894736847</v>
      </c>
      <c r="C48" s="6">
        <v>0.48484848484848486</v>
      </c>
    </row>
    <row r="49" spans="1:3">
      <c r="A49" s="7">
        <v>0.28000000000000003</v>
      </c>
      <c r="B49" s="6">
        <v>0.55263157894736847</v>
      </c>
      <c r="C49" s="6">
        <v>0.48484848484848486</v>
      </c>
    </row>
    <row r="50" spans="1:3">
      <c r="A50" s="7">
        <v>0.28999999999999998</v>
      </c>
      <c r="B50" s="6">
        <v>0.53947368421052633</v>
      </c>
      <c r="C50" s="6">
        <v>0.42622950819672129</v>
      </c>
    </row>
    <row r="51" spans="1:3">
      <c r="A51" s="7">
        <v>0.3</v>
      </c>
      <c r="B51" s="6">
        <v>0.53947368421052633</v>
      </c>
      <c r="C51" s="6">
        <v>0.42622950819672129</v>
      </c>
    </row>
    <row r="52" spans="1:3">
      <c r="A52" s="7">
        <v>0.31</v>
      </c>
      <c r="B52" s="6">
        <v>0.51315789473684215</v>
      </c>
      <c r="C52" s="6">
        <v>0.3728813559322034</v>
      </c>
    </row>
    <row r="53" spans="1:3">
      <c r="A53" s="7">
        <v>0.32</v>
      </c>
      <c r="B53" s="6">
        <v>0.51315789473684215</v>
      </c>
      <c r="C53" s="6">
        <v>0.3728813559322034</v>
      </c>
    </row>
    <row r="54" spans="1:3">
      <c r="A54" s="7">
        <v>0.33</v>
      </c>
      <c r="B54" s="6">
        <v>0.47368421052631576</v>
      </c>
      <c r="C54" s="6">
        <v>0.2857142857142857</v>
      </c>
    </row>
    <row r="55" spans="1:3">
      <c r="A55" s="7">
        <v>0.34</v>
      </c>
      <c r="B55" s="6">
        <v>0.47368421052631576</v>
      </c>
      <c r="C55" s="6">
        <v>0.2857142857142857</v>
      </c>
    </row>
    <row r="56" spans="1:3">
      <c r="A56" s="7">
        <v>0.35</v>
      </c>
      <c r="B56" s="6">
        <v>0.47368421052631576</v>
      </c>
      <c r="C56" s="6">
        <v>0.2857142857142857</v>
      </c>
    </row>
    <row r="57" spans="1:3">
      <c r="A57" s="7">
        <v>0.36</v>
      </c>
      <c r="B57" s="6">
        <v>0.47368421052631576</v>
      </c>
      <c r="C57" s="6">
        <v>0.2857142857142857</v>
      </c>
    </row>
    <row r="58" spans="1:3">
      <c r="A58" s="7">
        <v>0.37</v>
      </c>
      <c r="B58" s="6">
        <v>0.47368421052631576</v>
      </c>
      <c r="C58" s="6">
        <v>0.2857142857142857</v>
      </c>
    </row>
    <row r="59" spans="1:3">
      <c r="A59" s="7">
        <v>0.38</v>
      </c>
      <c r="B59" s="6">
        <v>0.47368421052631576</v>
      </c>
      <c r="C59" s="6">
        <v>0.2857142857142857</v>
      </c>
    </row>
    <row r="60" spans="1:3">
      <c r="A60" s="7">
        <v>0.39</v>
      </c>
      <c r="B60" s="6">
        <v>0.47368421052631576</v>
      </c>
      <c r="C60" s="6">
        <v>0.25925925925925924</v>
      </c>
    </row>
    <row r="61" spans="1:3">
      <c r="A61" s="7">
        <v>0.4</v>
      </c>
      <c r="B61" s="6">
        <v>0.47368421052631576</v>
      </c>
      <c r="C61" s="6">
        <v>0.25925925925925924</v>
      </c>
    </row>
    <row r="62" spans="1:3">
      <c r="A62" s="7">
        <v>0.41</v>
      </c>
      <c r="B62" s="6">
        <v>0.47368421052631576</v>
      </c>
      <c r="C62" s="6">
        <v>0.25925925925925924</v>
      </c>
    </row>
    <row r="63" spans="1:3">
      <c r="A63" s="7">
        <v>0.42</v>
      </c>
      <c r="B63" s="6">
        <v>0.47368421052631576</v>
      </c>
      <c r="C63" s="6">
        <v>0.25925925925925924</v>
      </c>
    </row>
    <row r="64" spans="1:3">
      <c r="A64" s="7">
        <v>0.43</v>
      </c>
      <c r="B64" s="6">
        <v>0.47368421052631576</v>
      </c>
      <c r="C64" s="6">
        <v>0.25925925925925924</v>
      </c>
    </row>
    <row r="65" spans="1:3">
      <c r="A65" s="7">
        <v>0.44</v>
      </c>
      <c r="B65" s="6">
        <v>0.47368421052631576</v>
      </c>
      <c r="C65" s="6">
        <v>0.25925925925925924</v>
      </c>
    </row>
    <row r="66" spans="1:3">
      <c r="A66" s="7">
        <v>0.45</v>
      </c>
      <c r="B66" s="6">
        <v>0.47368421052631576</v>
      </c>
      <c r="C66" s="6">
        <v>0.25925925925925924</v>
      </c>
    </row>
    <row r="67" spans="1:3">
      <c r="A67" s="7">
        <v>0.46</v>
      </c>
      <c r="B67" s="6">
        <v>0.47368421052631576</v>
      </c>
      <c r="C67" s="6">
        <v>0.25925925925925924</v>
      </c>
    </row>
    <row r="68" spans="1:3">
      <c r="A68" s="7">
        <v>0.47</v>
      </c>
      <c r="B68" s="6">
        <v>0.47368421052631576</v>
      </c>
      <c r="C68" s="6">
        <v>0.25925925925925924</v>
      </c>
    </row>
    <row r="69" spans="1:3">
      <c r="A69" s="7">
        <v>0.48</v>
      </c>
      <c r="B69" s="6">
        <v>0.47368421052631576</v>
      </c>
      <c r="C69" s="6">
        <v>0.25925925925925924</v>
      </c>
    </row>
    <row r="70" spans="1:3">
      <c r="A70" s="7">
        <v>0.49</v>
      </c>
      <c r="B70" s="6">
        <v>0.47368421052631576</v>
      </c>
      <c r="C70" s="6">
        <v>0.25925925925925924</v>
      </c>
    </row>
    <row r="71" spans="1:3">
      <c r="A71" s="7">
        <v>0.5</v>
      </c>
      <c r="B71" s="6">
        <v>0.47368421052631576</v>
      </c>
      <c r="C71" s="6">
        <v>0.25925925925925924</v>
      </c>
    </row>
    <row r="72" spans="1:3">
      <c r="A72" s="7">
        <v>0.51</v>
      </c>
      <c r="B72" s="6">
        <v>0.47368421052631576</v>
      </c>
      <c r="C72" s="6">
        <v>0.25925925925925924</v>
      </c>
    </row>
    <row r="73" spans="1:3">
      <c r="A73" s="7">
        <v>0.52</v>
      </c>
      <c r="B73" s="6">
        <v>0.47368421052631576</v>
      </c>
      <c r="C73" s="6">
        <v>0.25925925925925924</v>
      </c>
    </row>
    <row r="74" spans="1:3">
      <c r="A74" s="7">
        <v>0.53</v>
      </c>
      <c r="B74" s="6">
        <v>0.47368421052631576</v>
      </c>
      <c r="C74" s="6">
        <v>0.25925925925925924</v>
      </c>
    </row>
    <row r="75" spans="1:3">
      <c r="A75" s="7">
        <v>0.54</v>
      </c>
      <c r="B75" s="6">
        <v>0.47368421052631576</v>
      </c>
      <c r="C75" s="6">
        <v>0.25925925925925924</v>
      </c>
    </row>
    <row r="76" spans="1:3">
      <c r="A76" s="7">
        <v>0.55000000000000004</v>
      </c>
      <c r="B76" s="6">
        <v>0.47368421052631576</v>
      </c>
      <c r="C76" s="6">
        <v>0.25925925925925924</v>
      </c>
    </row>
    <row r="77" spans="1:3">
      <c r="A77" s="7">
        <v>0.56000000000000005</v>
      </c>
      <c r="B77" s="6">
        <v>0.47368421052631576</v>
      </c>
      <c r="C77" s="6">
        <v>0.25925925925925924</v>
      </c>
    </row>
    <row r="78" spans="1:3">
      <c r="A78" s="7">
        <v>0.56999999999999995</v>
      </c>
      <c r="B78" s="6">
        <v>0.47368421052631576</v>
      </c>
      <c r="C78" s="6">
        <v>0.25925925925925924</v>
      </c>
    </row>
    <row r="79" spans="1:3">
      <c r="A79" s="7">
        <v>0.57999999999999996</v>
      </c>
      <c r="B79" s="6">
        <v>0.47368421052631576</v>
      </c>
      <c r="C79" s="6">
        <v>0.25925925925925924</v>
      </c>
    </row>
    <row r="80" spans="1:3">
      <c r="A80" s="7">
        <v>0.59</v>
      </c>
      <c r="B80" s="6">
        <v>0.46052631578947367</v>
      </c>
      <c r="C80" s="6">
        <v>0.22641509433962265</v>
      </c>
    </row>
    <row r="81" spans="1:3">
      <c r="A81" s="7">
        <v>0.6</v>
      </c>
      <c r="B81" s="6">
        <v>0.46052631578947367</v>
      </c>
      <c r="C81" s="6">
        <v>0.22641509433962265</v>
      </c>
    </row>
    <row r="82" spans="1:3">
      <c r="A82" s="7">
        <v>0.61</v>
      </c>
      <c r="B82" s="6">
        <v>0.46052631578947367</v>
      </c>
      <c r="C82" s="6">
        <v>0.22641509433962265</v>
      </c>
    </row>
    <row r="83" spans="1:3">
      <c r="A83" s="7">
        <v>0.62</v>
      </c>
      <c r="B83" s="6">
        <v>0.46052631578947367</v>
      </c>
      <c r="C83" s="6">
        <v>0.22641509433962265</v>
      </c>
    </row>
    <row r="84" spans="1:3">
      <c r="A84" s="7">
        <v>0.63</v>
      </c>
      <c r="B84" s="6">
        <v>0.46052631578947367</v>
      </c>
      <c r="C84" s="6">
        <v>0.22641509433962265</v>
      </c>
    </row>
    <row r="85" spans="1:3">
      <c r="A85" s="7">
        <v>0.64</v>
      </c>
      <c r="B85" s="6">
        <v>0.46052631578947367</v>
      </c>
      <c r="C85" s="6">
        <v>0.22641509433962265</v>
      </c>
    </row>
    <row r="86" spans="1:3">
      <c r="A86" s="7">
        <v>0.65</v>
      </c>
      <c r="B86" s="6">
        <v>0.46052631578947367</v>
      </c>
      <c r="C86" s="6">
        <v>0.22641509433962265</v>
      </c>
    </row>
    <row r="87" spans="1:3">
      <c r="A87" s="7">
        <v>0.66</v>
      </c>
      <c r="B87" s="6">
        <v>0.46052631578947367</v>
      </c>
      <c r="C87" s="6">
        <v>0.22641509433962265</v>
      </c>
    </row>
    <row r="88" spans="1:3">
      <c r="A88" s="7">
        <v>0.67</v>
      </c>
      <c r="B88" s="6">
        <v>0.46052631578947367</v>
      </c>
      <c r="C88" s="6">
        <v>0.22641509433962265</v>
      </c>
    </row>
    <row r="89" spans="1:3">
      <c r="A89" s="7">
        <v>0.68</v>
      </c>
      <c r="B89" s="6">
        <v>0.46052631578947367</v>
      </c>
      <c r="C89" s="6">
        <v>0.22641509433962265</v>
      </c>
    </row>
    <row r="90" spans="1:3">
      <c r="A90" s="7">
        <v>0.69</v>
      </c>
      <c r="B90" s="6">
        <v>0.46052631578947367</v>
      </c>
      <c r="C90" s="6">
        <v>0.22641509433962265</v>
      </c>
    </row>
    <row r="91" spans="1:3">
      <c r="A91" s="7">
        <v>0.7</v>
      </c>
      <c r="B91" s="6">
        <v>0.46052631578947367</v>
      </c>
      <c r="C91" s="6">
        <v>0.22641509433962265</v>
      </c>
    </row>
    <row r="92" spans="1:3">
      <c r="A92" s="7">
        <v>0.71</v>
      </c>
      <c r="B92" s="6">
        <v>0.46052631578947367</v>
      </c>
      <c r="C92" s="6">
        <v>0.22641509433962265</v>
      </c>
    </row>
    <row r="93" spans="1:3">
      <c r="A93" s="7">
        <v>0.72</v>
      </c>
      <c r="B93" s="6">
        <v>0.46052631578947367</v>
      </c>
      <c r="C93" s="6">
        <v>0.22641509433962265</v>
      </c>
    </row>
    <row r="94" spans="1:3">
      <c r="A94" s="7">
        <v>0.73</v>
      </c>
      <c r="B94" s="6">
        <v>0.46052631578947367</v>
      </c>
      <c r="C94" s="6">
        <v>0.22641509433962265</v>
      </c>
    </row>
    <row r="95" spans="1:3">
      <c r="A95" s="7">
        <v>0.74</v>
      </c>
      <c r="B95" s="6">
        <v>0.46052631578947367</v>
      </c>
      <c r="C95" s="6">
        <v>0.22641509433962265</v>
      </c>
    </row>
    <row r="96" spans="1:3">
      <c r="A96" s="7">
        <v>0.75</v>
      </c>
      <c r="B96" s="6">
        <v>0.46052631578947367</v>
      </c>
      <c r="C96" s="6">
        <v>0.22641509433962265</v>
      </c>
    </row>
    <row r="97" spans="1:3">
      <c r="A97" s="7">
        <v>0.76</v>
      </c>
      <c r="B97" s="6">
        <v>0.46052631578947367</v>
      </c>
      <c r="C97" s="6">
        <v>0.22641509433962265</v>
      </c>
    </row>
    <row r="98" spans="1:3">
      <c r="A98" s="7">
        <v>0.77</v>
      </c>
      <c r="B98" s="6">
        <v>0.44736842105263158</v>
      </c>
      <c r="C98" s="6">
        <v>0.19230769230769232</v>
      </c>
    </row>
    <row r="99" spans="1:3">
      <c r="A99" s="7">
        <v>0.78</v>
      </c>
      <c r="B99" s="6">
        <v>0.44736842105263158</v>
      </c>
      <c r="C99" s="6">
        <v>0.19230769230769232</v>
      </c>
    </row>
    <row r="100" spans="1:3">
      <c r="A100" s="7">
        <v>0.79</v>
      </c>
      <c r="B100" s="6">
        <v>0.43421052631578949</v>
      </c>
      <c r="C100" s="6">
        <v>0.15686274509803921</v>
      </c>
    </row>
    <row r="101" spans="1:3">
      <c r="A101" s="7">
        <v>0.8</v>
      </c>
      <c r="B101" s="6">
        <v>0.43421052631578949</v>
      </c>
      <c r="C101" s="6">
        <v>0.15686274509803921</v>
      </c>
    </row>
    <row r="102" spans="1:3">
      <c r="A102" s="7">
        <v>0.81</v>
      </c>
      <c r="B102" s="6">
        <v>0.43421052631578949</v>
      </c>
      <c r="C102" s="6">
        <v>0.15686274509803921</v>
      </c>
    </row>
    <row r="103" spans="1:3">
      <c r="A103" s="7">
        <v>0.82</v>
      </c>
      <c r="B103" s="6">
        <v>0.43421052631578949</v>
      </c>
      <c r="C103" s="6">
        <v>0.15686274509803921</v>
      </c>
    </row>
    <row r="104" spans="1:3">
      <c r="A104" s="7">
        <v>0.83</v>
      </c>
      <c r="B104" s="6">
        <v>0.43421052631578949</v>
      </c>
      <c r="C104" s="6">
        <v>0.15686274509803921</v>
      </c>
    </row>
    <row r="105" spans="1:3">
      <c r="A105" s="7">
        <v>0.84</v>
      </c>
      <c r="B105" s="6">
        <v>0.43421052631578949</v>
      </c>
      <c r="C105" s="6">
        <v>0.15686274509803921</v>
      </c>
    </row>
    <row r="106" spans="1:3">
      <c r="A106" s="7">
        <v>0.85</v>
      </c>
      <c r="B106" s="6">
        <v>0.40789473684210525</v>
      </c>
      <c r="C106" s="6">
        <v>8.1632653061224483E-2</v>
      </c>
    </row>
    <row r="107" spans="1:3">
      <c r="A107" s="7">
        <v>0.86</v>
      </c>
      <c r="B107" s="6">
        <v>0.40789473684210525</v>
      </c>
      <c r="C107" s="6">
        <v>8.1632653061224483E-2</v>
      </c>
    </row>
    <row r="108" spans="1:3">
      <c r="A108" s="7">
        <v>0.87</v>
      </c>
      <c r="B108" s="6">
        <v>0.42105263157894735</v>
      </c>
      <c r="C108" s="6">
        <v>8.3333333333333329E-2</v>
      </c>
    </row>
    <row r="109" spans="1:3">
      <c r="A109" s="7">
        <v>0.88</v>
      </c>
      <c r="B109" s="6">
        <v>0.42105263157894735</v>
      </c>
      <c r="C109" s="6">
        <v>8.3333333333333329E-2</v>
      </c>
    </row>
    <row r="110" spans="1:3">
      <c r="A110" s="7">
        <v>0.89</v>
      </c>
      <c r="B110" s="6">
        <v>0.42105263157894735</v>
      </c>
      <c r="C110" s="6">
        <v>8.3333333333333329E-2</v>
      </c>
    </row>
    <row r="111" spans="1:3">
      <c r="A111" s="7">
        <v>0.9</v>
      </c>
      <c r="B111" s="6">
        <v>0.42105263157894735</v>
      </c>
      <c r="C111" s="6">
        <v>8.3333333333333329E-2</v>
      </c>
    </row>
    <row r="112" spans="1:3">
      <c r="A112" s="7">
        <v>0.91</v>
      </c>
      <c r="B112" s="6">
        <v>0.42105263157894735</v>
      </c>
      <c r="C112" s="6">
        <v>8.3333333333333329E-2</v>
      </c>
    </row>
    <row r="113" spans="1:3">
      <c r="A113" s="7">
        <v>0.92</v>
      </c>
      <c r="B113" s="6">
        <v>0.42105263157894735</v>
      </c>
      <c r="C113" s="6">
        <v>8.3333333333333329E-2</v>
      </c>
    </row>
    <row r="114" spans="1:3">
      <c r="A114" s="7">
        <v>0.93</v>
      </c>
      <c r="B114" s="6">
        <v>0.42105263157894735</v>
      </c>
      <c r="C114" s="6">
        <v>8.3333333333333329E-2</v>
      </c>
    </row>
    <row r="115" spans="1:3">
      <c r="A115" s="7">
        <v>0.94</v>
      </c>
      <c r="B115" s="6">
        <v>0.42105263157894735</v>
      </c>
      <c r="C115" s="6">
        <v>8.3333333333333329E-2</v>
      </c>
    </row>
    <row r="116" spans="1:3">
      <c r="A116" s="7">
        <v>0.95</v>
      </c>
      <c r="B116" s="6">
        <v>0.42105263157894735</v>
      </c>
      <c r="C116" s="6">
        <v>8.3333333333333329E-2</v>
      </c>
    </row>
  </sheetData>
  <mergeCells count="3">
    <mergeCell ref="A1:J2"/>
    <mergeCell ref="A3:J3"/>
    <mergeCell ref="A24:J24"/>
  </mergeCells>
  <conditionalFormatting sqref="E6:E2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6:H20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workbookViewId="0"/>
  </sheetViews>
  <sheetFormatPr defaultRowHeight="14"/>
  <cols>
    <col min="1" max="1" width="42" customWidth="1"/>
    <col min="2" max="2" width="22" customWidth="1"/>
    <col min="3" max="3" width="15" customWidth="1"/>
    <col min="4" max="5" width="30" customWidth="1"/>
    <col min="6" max="7" width="13" customWidth="1"/>
    <col min="8" max="9" width="15" customWidth="1"/>
    <col min="10" max="11" width="13" customWidth="1"/>
  </cols>
  <sheetData>
    <row r="1" spans="1:11">
      <c r="A1" s="17" t="s">
        <v>84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18" t="s">
        <v>85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1" ht="26">
      <c r="A5" s="5" t="s">
        <v>86</v>
      </c>
      <c r="B5" s="5" t="s">
        <v>7</v>
      </c>
      <c r="C5" s="5" t="s">
        <v>87</v>
      </c>
      <c r="D5" s="5" t="s">
        <v>88</v>
      </c>
      <c r="E5" s="5" t="s">
        <v>89</v>
      </c>
      <c r="F5" s="5" t="s">
        <v>78</v>
      </c>
      <c r="G5" s="5" t="s">
        <v>81</v>
      </c>
      <c r="H5" s="5" t="s">
        <v>90</v>
      </c>
      <c r="I5" s="5" t="s">
        <v>91</v>
      </c>
      <c r="J5" s="5" t="s">
        <v>92</v>
      </c>
      <c r="K5" s="5" t="s">
        <v>93</v>
      </c>
    </row>
    <row r="6" spans="1:11">
      <c r="A6" s="3" t="s">
        <v>94</v>
      </c>
      <c r="B6" s="3" t="s">
        <v>70</v>
      </c>
      <c r="C6" s="3" t="s">
        <v>95</v>
      </c>
      <c r="D6" s="3" t="s">
        <v>64</v>
      </c>
      <c r="E6" s="3" t="s">
        <v>96</v>
      </c>
      <c r="F6" s="13">
        <v>-1.3157894736842035E-2</v>
      </c>
      <c r="G6" s="13">
        <v>-8.2882882882883147E-3</v>
      </c>
      <c r="H6" s="13">
        <v>0.61842105263157898</v>
      </c>
      <c r="I6" s="13">
        <v>0.63157894736842102</v>
      </c>
      <c r="J6" s="13">
        <v>0.61333333333333329</v>
      </c>
      <c r="K6" s="13">
        <v>0.6216216216216216</v>
      </c>
    </row>
    <row r="7" spans="1:11">
      <c r="A7" s="3" t="s">
        <v>94</v>
      </c>
      <c r="B7" s="3" t="s">
        <v>8</v>
      </c>
      <c r="C7" s="3" t="s">
        <v>95</v>
      </c>
      <c r="D7" s="3" t="s">
        <v>64</v>
      </c>
      <c r="E7" s="3" t="s">
        <v>96</v>
      </c>
      <c r="F7" s="13">
        <v>-1.3157894736842146E-2</v>
      </c>
      <c r="G7" s="13">
        <v>-3.164983164983165E-2</v>
      </c>
      <c r="H7" s="13">
        <v>0.47368421052631576</v>
      </c>
      <c r="I7" s="13">
        <v>0.48684210526315791</v>
      </c>
      <c r="J7" s="13">
        <v>0.25925925925925924</v>
      </c>
      <c r="K7" s="13">
        <v>0.29090909090909089</v>
      </c>
    </row>
    <row r="8" spans="1:11">
      <c r="A8" s="3" t="s">
        <v>94</v>
      </c>
      <c r="B8" s="3" t="s">
        <v>66</v>
      </c>
      <c r="C8" s="3" t="s">
        <v>95</v>
      </c>
      <c r="D8" s="3" t="s">
        <v>64</v>
      </c>
      <c r="E8" s="3" t="s">
        <v>96</v>
      </c>
      <c r="F8" s="13">
        <v>-1.2802275960170695E-2</v>
      </c>
      <c r="G8" s="13">
        <v>-7.5235109717868343E-2</v>
      </c>
      <c r="H8" s="13">
        <v>0.51351351351351349</v>
      </c>
      <c r="I8" s="13">
        <v>0.52631578947368418</v>
      </c>
      <c r="J8" s="13">
        <v>0.37931034482758619</v>
      </c>
      <c r="K8" s="13">
        <v>0.45454545454545453</v>
      </c>
    </row>
    <row r="9" spans="1:11">
      <c r="A9" s="3" t="s">
        <v>94</v>
      </c>
      <c r="B9" s="3" t="s">
        <v>70</v>
      </c>
      <c r="C9" s="3" t="s">
        <v>97</v>
      </c>
      <c r="D9" s="3" t="s">
        <v>64</v>
      </c>
      <c r="E9" s="3" t="s">
        <v>96</v>
      </c>
      <c r="F9" s="13">
        <v>0</v>
      </c>
      <c r="G9" s="13">
        <v>0</v>
      </c>
      <c r="H9" s="13">
        <v>0.60526315789473684</v>
      </c>
      <c r="I9" s="13">
        <v>0.60526315789473684</v>
      </c>
      <c r="J9" s="13">
        <v>0.75409836065573765</v>
      </c>
      <c r="K9" s="13">
        <v>0.75409836065573765</v>
      </c>
    </row>
    <row r="10" spans="1:11">
      <c r="A10" s="3" t="s">
        <v>94</v>
      </c>
      <c r="B10" s="3" t="s">
        <v>8</v>
      </c>
      <c r="C10" s="3" t="s">
        <v>97</v>
      </c>
      <c r="D10" s="3" t="s">
        <v>64</v>
      </c>
      <c r="E10" s="3" t="s">
        <v>96</v>
      </c>
      <c r="F10" s="13">
        <v>7.8947368421052655E-2</v>
      </c>
      <c r="G10" s="13">
        <v>0.10109159943046986</v>
      </c>
      <c r="H10" s="13">
        <v>0.71052631578947367</v>
      </c>
      <c r="I10" s="13">
        <v>0.63157894736842102</v>
      </c>
      <c r="J10" s="13">
        <v>0.77551020408163263</v>
      </c>
      <c r="K10" s="13">
        <v>0.67441860465116277</v>
      </c>
    </row>
    <row r="11" spans="1:11">
      <c r="A11" s="3" t="s">
        <v>94</v>
      </c>
      <c r="B11" s="3" t="s">
        <v>66</v>
      </c>
      <c r="C11" s="3" t="s">
        <v>97</v>
      </c>
      <c r="D11" s="3" t="s">
        <v>64</v>
      </c>
      <c r="E11" s="3" t="s">
        <v>96</v>
      </c>
      <c r="F11" s="13">
        <v>-2.1692745376955869E-2</v>
      </c>
      <c r="G11" s="13">
        <v>-2.7926960257788069E-3</v>
      </c>
      <c r="H11" s="13">
        <v>0.67567567567567566</v>
      </c>
      <c r="I11" s="13">
        <v>0.69736842105263153</v>
      </c>
      <c r="J11" s="13">
        <v>0.75510204081632648</v>
      </c>
      <c r="K11" s="13">
        <v>0.75789473684210529</v>
      </c>
    </row>
    <row r="12" spans="1:11">
      <c r="A12" s="3" t="s">
        <v>98</v>
      </c>
      <c r="B12" s="3" t="s">
        <v>70</v>
      </c>
      <c r="C12" s="3" t="s">
        <v>95</v>
      </c>
      <c r="D12" s="3" t="s">
        <v>64</v>
      </c>
      <c r="E12" s="3" t="s">
        <v>99</v>
      </c>
      <c r="F12" s="13">
        <v>1.3157894736842146E-2</v>
      </c>
      <c r="G12" s="13">
        <v>6.7878787878787872E-2</v>
      </c>
      <c r="H12" s="13">
        <v>0.61842105263157898</v>
      </c>
      <c r="I12" s="13">
        <v>0.60526315789473684</v>
      </c>
      <c r="J12" s="13">
        <v>0.61333333333333329</v>
      </c>
      <c r="K12" s="13">
        <v>0.54545454545454541</v>
      </c>
    </row>
    <row r="13" spans="1:11">
      <c r="A13" s="3" t="s">
        <v>98</v>
      </c>
      <c r="B13" s="3" t="s">
        <v>8</v>
      </c>
      <c r="C13" s="3" t="s">
        <v>95</v>
      </c>
      <c r="D13" s="3" t="s">
        <v>64</v>
      </c>
      <c r="E13" s="3" t="s">
        <v>99</v>
      </c>
      <c r="F13" s="13">
        <v>-3.9473684210526383E-2</v>
      </c>
      <c r="G13" s="13">
        <v>-6.8013468013468026E-2</v>
      </c>
      <c r="H13" s="13">
        <v>0.47368421052631576</v>
      </c>
      <c r="I13" s="13">
        <v>0.51315789473684215</v>
      </c>
      <c r="J13" s="13">
        <v>0.25925925925925924</v>
      </c>
      <c r="K13" s="13">
        <v>0.32727272727272727</v>
      </c>
    </row>
    <row r="14" spans="1:11">
      <c r="A14" s="3" t="s">
        <v>98</v>
      </c>
      <c r="B14" s="3" t="s">
        <v>66</v>
      </c>
      <c r="C14" s="3" t="s">
        <v>95</v>
      </c>
      <c r="D14" s="3" t="s">
        <v>64</v>
      </c>
      <c r="E14" s="3" t="s">
        <v>99</v>
      </c>
      <c r="F14" s="13">
        <v>-3.3153153153153148E-2</v>
      </c>
      <c r="G14" s="13">
        <v>-3.4482758620689669E-2</v>
      </c>
      <c r="H14" s="13">
        <v>0.51351351351351349</v>
      </c>
      <c r="I14" s="13">
        <v>0.54666666666666663</v>
      </c>
      <c r="J14" s="13">
        <v>0.37931034482758619</v>
      </c>
      <c r="K14" s="13">
        <v>0.41379310344827586</v>
      </c>
    </row>
    <row r="15" spans="1:11">
      <c r="A15" s="3" t="s">
        <v>98</v>
      </c>
      <c r="B15" s="3" t="s">
        <v>70</v>
      </c>
      <c r="C15" s="3" t="s">
        <v>97</v>
      </c>
      <c r="D15" s="3" t="s">
        <v>64</v>
      </c>
      <c r="E15" s="3" t="s">
        <v>99</v>
      </c>
      <c r="F15" s="13">
        <v>0</v>
      </c>
      <c r="G15" s="13">
        <v>0</v>
      </c>
      <c r="H15" s="13">
        <v>0.60526315789473684</v>
      </c>
      <c r="I15" s="13">
        <v>0.60526315789473684</v>
      </c>
      <c r="J15" s="13">
        <v>0.75409836065573765</v>
      </c>
      <c r="K15" s="13">
        <v>0.75409836065573765</v>
      </c>
    </row>
    <row r="16" spans="1:11">
      <c r="A16" s="3" t="s">
        <v>98</v>
      </c>
      <c r="B16" s="3" t="s">
        <v>8</v>
      </c>
      <c r="C16" s="3" t="s">
        <v>97</v>
      </c>
      <c r="D16" s="3" t="s">
        <v>64</v>
      </c>
      <c r="E16" s="3" t="s">
        <v>99</v>
      </c>
      <c r="F16" s="13">
        <v>6.5789473684210509E-2</v>
      </c>
      <c r="G16" s="13">
        <v>6.583278472679388E-2</v>
      </c>
      <c r="H16" s="13">
        <v>0.71052631578947367</v>
      </c>
      <c r="I16" s="13">
        <v>0.64473684210526316</v>
      </c>
      <c r="J16" s="13">
        <v>0.77551020408163263</v>
      </c>
      <c r="K16" s="13">
        <v>0.70967741935483875</v>
      </c>
    </row>
    <row r="17" spans="1:11">
      <c r="A17" s="3" t="s">
        <v>98</v>
      </c>
      <c r="B17" s="3" t="s">
        <v>66</v>
      </c>
      <c r="C17" s="3" t="s">
        <v>97</v>
      </c>
      <c r="D17" s="3" t="s">
        <v>64</v>
      </c>
      <c r="E17" s="3" t="s">
        <v>99</v>
      </c>
      <c r="F17" s="13">
        <v>2.2342342342342336E-2</v>
      </c>
      <c r="G17" s="13">
        <v>3.850596842509546E-4</v>
      </c>
      <c r="H17" s="13">
        <v>0.67567567567567566</v>
      </c>
      <c r="I17" s="13">
        <v>0.65333333333333332</v>
      </c>
      <c r="J17" s="13">
        <v>0.75510204081632648</v>
      </c>
      <c r="K17" s="13">
        <v>0.75471698113207553</v>
      </c>
    </row>
    <row r="18" spans="1:11">
      <c r="A18" s="3" t="s">
        <v>100</v>
      </c>
      <c r="B18" s="3" t="s">
        <v>70</v>
      </c>
      <c r="C18" s="3" t="s">
        <v>95</v>
      </c>
      <c r="D18" s="3" t="s">
        <v>96</v>
      </c>
      <c r="E18" s="3" t="s">
        <v>101</v>
      </c>
      <c r="F18" s="13">
        <v>1.3157894736842035E-2</v>
      </c>
      <c r="G18" s="13">
        <v>4.1911476694085348E-2</v>
      </c>
      <c r="H18" s="13">
        <v>0.63157894736842102</v>
      </c>
      <c r="I18" s="13">
        <v>0.61842105263157898</v>
      </c>
      <c r="J18" s="13">
        <v>0.6216216216216216</v>
      </c>
      <c r="K18" s="13">
        <v>0.57971014492753625</v>
      </c>
    </row>
    <row r="19" spans="1:11">
      <c r="A19" s="3" t="s">
        <v>100</v>
      </c>
      <c r="B19" s="3" t="s">
        <v>8</v>
      </c>
      <c r="C19" s="3" t="s">
        <v>95</v>
      </c>
      <c r="D19" s="3" t="s">
        <v>96</v>
      </c>
      <c r="E19" s="3" t="s">
        <v>101</v>
      </c>
      <c r="F19" s="13">
        <v>0</v>
      </c>
      <c r="G19" s="13">
        <v>0</v>
      </c>
      <c r="H19" s="13">
        <v>0.48684210526315791</v>
      </c>
      <c r="I19" s="13">
        <v>0.48684210526315791</v>
      </c>
      <c r="J19" s="13">
        <v>0.29090909090909089</v>
      </c>
      <c r="K19" s="13">
        <v>0.29090909090909089</v>
      </c>
    </row>
    <row r="20" spans="1:11">
      <c r="A20" s="3" t="s">
        <v>100</v>
      </c>
      <c r="B20" s="3" t="s">
        <v>66</v>
      </c>
      <c r="C20" s="3" t="s">
        <v>95</v>
      </c>
      <c r="D20" s="3" t="s">
        <v>96</v>
      </c>
      <c r="E20" s="3" t="s">
        <v>101</v>
      </c>
      <c r="F20" s="13">
        <v>-3.3684210526315872E-2</v>
      </c>
      <c r="G20" s="13">
        <v>-2.1645021645021634E-2</v>
      </c>
      <c r="H20" s="13">
        <v>0.52631578947368418</v>
      </c>
      <c r="I20" s="13">
        <v>0.56000000000000005</v>
      </c>
      <c r="J20" s="13">
        <v>0.45454545454545453</v>
      </c>
      <c r="K20" s="13">
        <v>0.47619047619047616</v>
      </c>
    </row>
    <row r="21" spans="1:11">
      <c r="A21" s="3" t="s">
        <v>100</v>
      </c>
      <c r="B21" s="3" t="s">
        <v>70</v>
      </c>
      <c r="C21" s="3" t="s">
        <v>97</v>
      </c>
      <c r="D21" s="3" t="s">
        <v>96</v>
      </c>
      <c r="E21" s="3" t="s">
        <v>101</v>
      </c>
      <c r="F21" s="13">
        <v>0</v>
      </c>
      <c r="G21" s="13">
        <v>0</v>
      </c>
      <c r="H21" s="13">
        <v>0.60526315789473684</v>
      </c>
      <c r="I21" s="13">
        <v>0.60526315789473684</v>
      </c>
      <c r="J21" s="13">
        <v>0.75409836065573765</v>
      </c>
      <c r="K21" s="13">
        <v>0.75409836065573765</v>
      </c>
    </row>
    <row r="22" spans="1:11">
      <c r="A22" s="3" t="s">
        <v>100</v>
      </c>
      <c r="B22" s="3" t="s">
        <v>8</v>
      </c>
      <c r="C22" s="3" t="s">
        <v>97</v>
      </c>
      <c r="D22" s="3" t="s">
        <v>96</v>
      </c>
      <c r="E22" s="3" t="s">
        <v>101</v>
      </c>
      <c r="F22" s="13">
        <v>3.9473684210526327E-2</v>
      </c>
      <c r="G22" s="13">
        <v>-1.8650702279530251E-2</v>
      </c>
      <c r="H22" s="13">
        <v>0.63157894736842102</v>
      </c>
      <c r="I22" s="13">
        <v>0.59210526315789469</v>
      </c>
      <c r="J22" s="13">
        <v>0.67441860465116277</v>
      </c>
      <c r="K22" s="13">
        <v>0.69306930693069302</v>
      </c>
    </row>
    <row r="23" spans="1:11">
      <c r="A23" s="3" t="s">
        <v>100</v>
      </c>
      <c r="B23" s="3" t="s">
        <v>66</v>
      </c>
      <c r="C23" s="3" t="s">
        <v>97</v>
      </c>
      <c r="D23" s="3" t="s">
        <v>96</v>
      </c>
      <c r="E23" s="3" t="s">
        <v>101</v>
      </c>
      <c r="F23" s="13">
        <v>3.0701754385964897E-2</v>
      </c>
      <c r="G23" s="13">
        <v>5.4194893173528103E-3</v>
      </c>
      <c r="H23" s="13">
        <v>0.69736842105263153</v>
      </c>
      <c r="I23" s="13">
        <v>0.66666666666666663</v>
      </c>
      <c r="J23" s="13">
        <v>0.75789473684210529</v>
      </c>
      <c r="K23" s="13">
        <v>0.75247524752475248</v>
      </c>
    </row>
    <row r="24" spans="1:11" ht="28">
      <c r="A24" s="3" t="s">
        <v>102</v>
      </c>
      <c r="B24" s="3" t="s">
        <v>70</v>
      </c>
      <c r="C24" s="3" t="s">
        <v>95</v>
      </c>
      <c r="D24" s="3" t="s">
        <v>64</v>
      </c>
      <c r="E24" s="3" t="s">
        <v>103</v>
      </c>
      <c r="F24" s="13">
        <v>-2.6315789473684181E-2</v>
      </c>
      <c r="G24" s="13">
        <v>-3.6017316017316059E-2</v>
      </c>
      <c r="H24" s="13">
        <v>0.61842105263157898</v>
      </c>
      <c r="I24" s="13">
        <v>0.64473684210526316</v>
      </c>
      <c r="J24" s="13">
        <v>0.61333333333333329</v>
      </c>
      <c r="K24" s="13">
        <v>0.64935064935064934</v>
      </c>
    </row>
    <row r="25" spans="1:11" ht="28">
      <c r="A25" s="3" t="s">
        <v>102</v>
      </c>
      <c r="B25" s="3" t="s">
        <v>8</v>
      </c>
      <c r="C25" s="3" t="s">
        <v>95</v>
      </c>
      <c r="D25" s="3" t="s">
        <v>64</v>
      </c>
      <c r="E25" s="3" t="s">
        <v>103</v>
      </c>
      <c r="F25" s="13">
        <v>-5.2631578947368418E-2</v>
      </c>
      <c r="G25" s="13">
        <v>-0.16009557945041819</v>
      </c>
      <c r="H25" s="13">
        <v>0.47368421052631576</v>
      </c>
      <c r="I25" s="13">
        <v>0.52631578947368418</v>
      </c>
      <c r="J25" s="13">
        <v>0.25925925925925924</v>
      </c>
      <c r="K25" s="13">
        <v>0.41935483870967744</v>
      </c>
    </row>
    <row r="26" spans="1:11" ht="28">
      <c r="A26" s="3" t="s">
        <v>102</v>
      </c>
      <c r="B26" s="3" t="s">
        <v>66</v>
      </c>
      <c r="C26" s="3" t="s">
        <v>95</v>
      </c>
      <c r="D26" s="3" t="s">
        <v>64</v>
      </c>
      <c r="E26" s="3" t="s">
        <v>103</v>
      </c>
      <c r="F26" s="13">
        <v>3.5561877667134034E-4</v>
      </c>
      <c r="G26" s="13">
        <v>5.2037617554858917E-2</v>
      </c>
      <c r="H26" s="13">
        <v>0.51351351351351349</v>
      </c>
      <c r="I26" s="13">
        <v>0.51315789473684215</v>
      </c>
      <c r="J26" s="13">
        <v>0.37931034482758619</v>
      </c>
      <c r="K26" s="13">
        <v>0.32727272727272727</v>
      </c>
    </row>
    <row r="27" spans="1:11" ht="28">
      <c r="A27" s="3" t="s">
        <v>102</v>
      </c>
      <c r="B27" s="3" t="s">
        <v>70</v>
      </c>
      <c r="C27" s="3" t="s">
        <v>97</v>
      </c>
      <c r="D27" s="3" t="s">
        <v>64</v>
      </c>
      <c r="E27" s="3" t="s">
        <v>103</v>
      </c>
      <c r="F27" s="13">
        <v>0</v>
      </c>
      <c r="G27" s="13">
        <v>0</v>
      </c>
      <c r="H27" s="13">
        <v>0.60526315789473684</v>
      </c>
      <c r="I27" s="13">
        <v>0.60526315789473684</v>
      </c>
      <c r="J27" s="13">
        <v>0.75409836065573765</v>
      </c>
      <c r="K27" s="13">
        <v>0.75409836065573765</v>
      </c>
    </row>
    <row r="28" spans="1:11" ht="28">
      <c r="A28" s="3" t="s">
        <v>102</v>
      </c>
      <c r="B28" s="3" t="s">
        <v>8</v>
      </c>
      <c r="C28" s="3" t="s">
        <v>97</v>
      </c>
      <c r="D28" s="3" t="s">
        <v>64</v>
      </c>
      <c r="E28" s="3" t="s">
        <v>103</v>
      </c>
      <c r="F28" s="13">
        <v>0.11842105263157898</v>
      </c>
      <c r="G28" s="13">
        <v>0.10182599355531685</v>
      </c>
      <c r="H28" s="13">
        <v>0.71052631578947367</v>
      </c>
      <c r="I28" s="13">
        <v>0.59210526315789469</v>
      </c>
      <c r="J28" s="13">
        <v>0.77551020408163263</v>
      </c>
      <c r="K28" s="13">
        <v>0.67368421052631577</v>
      </c>
    </row>
    <row r="29" spans="1:11" ht="28">
      <c r="A29" s="3" t="s">
        <v>102</v>
      </c>
      <c r="B29" s="3" t="s">
        <v>66</v>
      </c>
      <c r="C29" s="3" t="s">
        <v>97</v>
      </c>
      <c r="D29" s="3" t="s">
        <v>64</v>
      </c>
      <c r="E29" s="3" t="s">
        <v>103</v>
      </c>
      <c r="F29" s="13">
        <v>8.3570412517780968E-2</v>
      </c>
      <c r="G29" s="13">
        <v>1.1300387923764532E-2</v>
      </c>
      <c r="H29" s="13">
        <v>0.67567567567567566</v>
      </c>
      <c r="I29" s="13">
        <v>0.59210526315789469</v>
      </c>
      <c r="J29" s="13">
        <v>0.75510204081632648</v>
      </c>
      <c r="K29" s="13">
        <v>0.74380165289256195</v>
      </c>
    </row>
  </sheetData>
  <mergeCells count="2">
    <mergeCell ref="A1:K2"/>
    <mergeCell ref="A3:K3"/>
  </mergeCells>
  <conditionalFormatting sqref="F6:G2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workbookViewId="0"/>
  </sheetViews>
  <sheetFormatPr defaultRowHeight="14"/>
  <cols>
    <col min="1" max="1" width="32" customWidth="1"/>
    <col min="2" max="2" width="8" customWidth="1"/>
    <col min="3" max="3" width="11" customWidth="1"/>
    <col min="4" max="4" width="14" customWidth="1"/>
    <col min="5" max="6" width="12" customWidth="1"/>
    <col min="7" max="7" width="16" customWidth="1"/>
    <col min="8" max="9" width="14" customWidth="1"/>
    <col min="10" max="10" width="13" customWidth="1"/>
    <col min="11" max="11" width="12" customWidth="1"/>
  </cols>
  <sheetData>
    <row r="1" spans="1:15">
      <c r="A1" s="17" t="s">
        <v>104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5">
      <c r="A3" s="18" t="s">
        <v>105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5" ht="26">
      <c r="A5" s="5" t="s">
        <v>16</v>
      </c>
      <c r="B5" s="5" t="s">
        <v>23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78</v>
      </c>
      <c r="K5" s="5" t="s">
        <v>81</v>
      </c>
      <c r="M5" s="5" t="s">
        <v>16</v>
      </c>
      <c r="N5" s="5" t="s">
        <v>4</v>
      </c>
      <c r="O5" s="5" t="s">
        <v>3</v>
      </c>
    </row>
    <row r="6" spans="1:15">
      <c r="A6" s="8" t="s">
        <v>113</v>
      </c>
      <c r="B6" s="8">
        <v>76</v>
      </c>
      <c r="C6" s="8">
        <v>46</v>
      </c>
      <c r="D6" s="10">
        <v>0.71052631578947367</v>
      </c>
      <c r="E6" s="10">
        <v>0.77551020408163263</v>
      </c>
      <c r="F6" s="10">
        <v>0.71666666666666667</v>
      </c>
      <c r="G6" s="10">
        <v>0.59210526315789469</v>
      </c>
      <c r="H6" s="10">
        <v>0.67368421052631577</v>
      </c>
      <c r="I6" s="10">
        <v>0.58949275362318843</v>
      </c>
      <c r="J6" s="10">
        <f t="shared" ref="J6:K9" si="0">D6-G6</f>
        <v>0.11842105263157898</v>
      </c>
      <c r="K6" s="10">
        <f t="shared" si="0"/>
        <v>0.10182599355531685</v>
      </c>
      <c r="M6" t="s">
        <v>113</v>
      </c>
      <c r="N6" s="6">
        <v>0.71052631578947367</v>
      </c>
      <c r="O6" s="6">
        <v>0.77551020408163263</v>
      </c>
    </row>
    <row r="7" spans="1:15">
      <c r="A7" t="s">
        <v>114</v>
      </c>
      <c r="B7">
        <v>68</v>
      </c>
      <c r="C7">
        <v>41</v>
      </c>
      <c r="D7" s="6">
        <v>0.73529411764705888</v>
      </c>
      <c r="E7" s="6">
        <v>0.8</v>
      </c>
      <c r="F7" s="6">
        <v>0.75338753387533874</v>
      </c>
      <c r="G7" s="6">
        <v>0.58823529411764708</v>
      </c>
      <c r="H7" s="6">
        <v>0.68181818181818188</v>
      </c>
      <c r="I7" s="6">
        <v>0.59846431797651312</v>
      </c>
      <c r="J7" s="6">
        <f t="shared" si="0"/>
        <v>0.1470588235294118</v>
      </c>
      <c r="K7" s="6">
        <f t="shared" si="0"/>
        <v>0.11818181818181817</v>
      </c>
      <c r="M7" t="s">
        <v>114</v>
      </c>
      <c r="N7" s="6">
        <v>0.73529411764705888</v>
      </c>
      <c r="O7" s="6">
        <v>0.8</v>
      </c>
    </row>
    <row r="8" spans="1:15">
      <c r="A8" t="s">
        <v>115</v>
      </c>
      <c r="B8">
        <v>76</v>
      </c>
      <c r="C8">
        <v>54</v>
      </c>
      <c r="D8" s="6">
        <v>0.73684210526315785</v>
      </c>
      <c r="E8" s="6">
        <v>0.81132075471698106</v>
      </c>
      <c r="F8" s="6">
        <v>0.69065656565656564</v>
      </c>
      <c r="G8" s="6">
        <v>0.67105263157894735</v>
      </c>
      <c r="H8" s="6">
        <v>0.75728155339805825</v>
      </c>
      <c r="I8" s="6">
        <v>0.640993265993266</v>
      </c>
      <c r="J8" s="6">
        <f t="shared" si="0"/>
        <v>6.5789473684210509E-2</v>
      </c>
      <c r="K8" s="6">
        <f t="shared" si="0"/>
        <v>5.4039201318922814E-2</v>
      </c>
      <c r="M8" t="s">
        <v>115</v>
      </c>
      <c r="N8" s="6">
        <v>0.73684210526315785</v>
      </c>
      <c r="O8" s="6">
        <v>0.81132075471698106</v>
      </c>
    </row>
    <row r="9" spans="1:15">
      <c r="A9" t="s">
        <v>116</v>
      </c>
      <c r="B9">
        <v>68</v>
      </c>
      <c r="C9">
        <v>49</v>
      </c>
      <c r="D9" s="6">
        <v>0.76470588235294112</v>
      </c>
      <c r="E9" s="6">
        <v>0.83673469387755106</v>
      </c>
      <c r="F9" s="6">
        <v>0.71106337271750808</v>
      </c>
      <c r="G9" s="6">
        <v>0.67647058823529416</v>
      </c>
      <c r="H9" s="6">
        <v>0.77083333333333326</v>
      </c>
      <c r="I9" s="6">
        <v>0.64500537056928031</v>
      </c>
      <c r="J9" s="6">
        <f t="shared" si="0"/>
        <v>8.8235294117646967E-2</v>
      </c>
      <c r="K9" s="6">
        <f t="shared" si="0"/>
        <v>6.5901360544217802E-2</v>
      </c>
      <c r="M9" t="s">
        <v>116</v>
      </c>
      <c r="N9" s="6">
        <v>0.76470588235294112</v>
      </c>
      <c r="O9" s="6">
        <v>0.83673469387755106</v>
      </c>
    </row>
  </sheetData>
  <mergeCells count="2">
    <mergeCell ref="A1:K2"/>
    <mergeCell ref="A3:K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"/>
  <sheetViews>
    <sheetView workbookViewId="0"/>
  </sheetViews>
  <sheetFormatPr defaultRowHeight="14"/>
  <cols>
    <col min="1" max="1" width="24" customWidth="1"/>
    <col min="2" max="2" width="7" customWidth="1"/>
    <col min="3" max="3" width="10" customWidth="1"/>
    <col min="4" max="4" width="14" customWidth="1"/>
    <col min="5" max="6" width="12" customWidth="1"/>
    <col min="7" max="7" width="16" customWidth="1"/>
    <col min="8" max="9" width="14" customWidth="1"/>
    <col min="10" max="10" width="13" customWidth="1"/>
    <col min="11" max="11" width="12" customWidth="1"/>
    <col min="12" max="15" width="7" customWidth="1"/>
  </cols>
  <sheetData>
    <row r="1" spans="1:19">
      <c r="A1" s="17" t="s">
        <v>117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9">
      <c r="A3" s="18" t="s">
        <v>118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19" ht="26">
      <c r="A5" s="5" t="s">
        <v>119</v>
      </c>
      <c r="B5" s="5" t="s">
        <v>23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78</v>
      </c>
      <c r="K5" s="5" t="s">
        <v>81</v>
      </c>
      <c r="L5" s="5" t="s">
        <v>120</v>
      </c>
      <c r="M5" s="5" t="s">
        <v>121</v>
      </c>
      <c r="N5" s="5" t="s">
        <v>122</v>
      </c>
      <c r="O5" s="5" t="s">
        <v>123</v>
      </c>
      <c r="Q5" s="5" t="s">
        <v>119</v>
      </c>
      <c r="R5" s="5" t="s">
        <v>4</v>
      </c>
      <c r="S5" s="5" t="s">
        <v>3</v>
      </c>
    </row>
    <row r="6" spans="1:19">
      <c r="A6" s="14" t="s">
        <v>124</v>
      </c>
      <c r="B6" s="14">
        <v>22</v>
      </c>
      <c r="C6" s="14">
        <v>5</v>
      </c>
      <c r="D6" s="15">
        <v>0.54545454545454541</v>
      </c>
      <c r="E6" s="15">
        <v>0.2857142857142857</v>
      </c>
      <c r="F6" s="15">
        <v>0.40588235294117647</v>
      </c>
      <c r="G6" s="15">
        <v>0.36363636363636365</v>
      </c>
      <c r="H6" s="15">
        <v>0.22222222222222221</v>
      </c>
      <c r="I6" s="15">
        <v>0.50588235294117645</v>
      </c>
      <c r="J6" s="15">
        <f t="shared" ref="J6:K10" si="0">D6-G6</f>
        <v>0.18181818181818177</v>
      </c>
      <c r="K6" s="15">
        <f t="shared" si="0"/>
        <v>6.3492063492063489E-2</v>
      </c>
      <c r="L6" s="14">
        <v>2</v>
      </c>
      <c r="M6" s="14">
        <v>7</v>
      </c>
      <c r="N6" s="14">
        <v>3</v>
      </c>
      <c r="O6" s="14">
        <v>10</v>
      </c>
      <c r="Q6" t="s">
        <v>124</v>
      </c>
      <c r="R6" s="6">
        <v>0.54545454545454541</v>
      </c>
      <c r="S6" s="6">
        <v>0.2857142857142857</v>
      </c>
    </row>
    <row r="7" spans="1:19">
      <c r="A7" t="s">
        <v>125</v>
      </c>
      <c r="B7">
        <v>28</v>
      </c>
      <c r="C7">
        <v>22</v>
      </c>
      <c r="D7" s="6">
        <v>0.7857142857142857</v>
      </c>
      <c r="E7" s="6">
        <v>0.86956521739130432</v>
      </c>
      <c r="F7" s="6">
        <v>0.38257575757575757</v>
      </c>
      <c r="G7" s="6">
        <v>0.6071428571428571</v>
      </c>
      <c r="H7" s="6">
        <v>0.71794871794871795</v>
      </c>
      <c r="I7" s="6">
        <v>0.50378787878787878</v>
      </c>
      <c r="J7" s="6">
        <f t="shared" si="0"/>
        <v>0.1785714285714286</v>
      </c>
      <c r="K7" s="6">
        <f t="shared" si="0"/>
        <v>0.15161649944258637</v>
      </c>
      <c r="L7">
        <v>20</v>
      </c>
      <c r="M7">
        <v>4</v>
      </c>
      <c r="N7">
        <v>2</v>
      </c>
      <c r="O7">
        <v>2</v>
      </c>
      <c r="Q7" t="s">
        <v>125</v>
      </c>
      <c r="R7" s="6">
        <v>0.7857142857142857</v>
      </c>
      <c r="S7" s="6">
        <v>0.86956521739130432</v>
      </c>
    </row>
    <row r="8" spans="1:19">
      <c r="A8" t="s">
        <v>126</v>
      </c>
      <c r="B8">
        <v>7</v>
      </c>
      <c r="C8">
        <v>6</v>
      </c>
      <c r="D8" s="6">
        <v>0.7142857142857143</v>
      </c>
      <c r="E8" s="6">
        <v>0.83333333333333337</v>
      </c>
      <c r="F8" s="6">
        <v>0.66666666666666663</v>
      </c>
      <c r="G8" s="6">
        <v>0.7142857142857143</v>
      </c>
      <c r="H8" s="6">
        <v>0.8</v>
      </c>
      <c r="I8" s="6">
        <v>0.66666666666666663</v>
      </c>
      <c r="J8" s="6">
        <f t="shared" si="0"/>
        <v>0</v>
      </c>
      <c r="K8" s="6">
        <f t="shared" si="0"/>
        <v>3.3333333333333326E-2</v>
      </c>
      <c r="L8">
        <v>5</v>
      </c>
      <c r="M8">
        <v>1</v>
      </c>
      <c r="N8">
        <v>1</v>
      </c>
      <c r="O8">
        <v>0</v>
      </c>
      <c r="Q8" t="s">
        <v>126</v>
      </c>
      <c r="R8" s="6">
        <v>0.7142857142857143</v>
      </c>
      <c r="S8" s="6">
        <v>0.83333333333333337</v>
      </c>
    </row>
    <row r="9" spans="1:19">
      <c r="A9" t="s">
        <v>127</v>
      </c>
      <c r="B9">
        <v>11</v>
      </c>
      <c r="C9">
        <v>5</v>
      </c>
      <c r="D9" s="6">
        <v>0.81818181818181823</v>
      </c>
      <c r="E9" s="6">
        <v>0.83333333333333326</v>
      </c>
      <c r="F9" s="6">
        <v>1</v>
      </c>
      <c r="G9" s="6">
        <v>0.72727272727272729</v>
      </c>
      <c r="H9" s="6">
        <v>0.76923076923076927</v>
      </c>
      <c r="I9" s="6">
        <v>1</v>
      </c>
      <c r="J9" s="6">
        <f t="shared" si="0"/>
        <v>9.0909090909090939E-2</v>
      </c>
      <c r="K9" s="6">
        <f t="shared" si="0"/>
        <v>6.4102564102563986E-2</v>
      </c>
      <c r="L9">
        <v>5</v>
      </c>
      <c r="M9">
        <v>2</v>
      </c>
      <c r="N9">
        <v>0</v>
      </c>
      <c r="O9">
        <v>4</v>
      </c>
      <c r="Q9" t="s">
        <v>127</v>
      </c>
      <c r="R9" s="6">
        <v>0.81818181818181823</v>
      </c>
      <c r="S9" s="6">
        <v>0.83333333333333326</v>
      </c>
    </row>
    <row r="10" spans="1:19">
      <c r="A10" t="s">
        <v>128</v>
      </c>
      <c r="B10">
        <v>8</v>
      </c>
      <c r="C10">
        <v>8</v>
      </c>
      <c r="D10" s="6">
        <v>0.75</v>
      </c>
      <c r="E10" s="6">
        <v>0.8571428571428571</v>
      </c>
      <c r="F10" s="6"/>
      <c r="G10" s="6">
        <v>0.875</v>
      </c>
      <c r="H10" s="6">
        <v>0.93333333333333335</v>
      </c>
      <c r="I10" s="6"/>
      <c r="J10" s="6">
        <f t="shared" si="0"/>
        <v>-0.125</v>
      </c>
      <c r="K10" s="6">
        <f t="shared" si="0"/>
        <v>-7.6190476190476253E-2</v>
      </c>
      <c r="L10">
        <v>6</v>
      </c>
      <c r="M10">
        <v>0</v>
      </c>
      <c r="N10">
        <v>2</v>
      </c>
      <c r="O10">
        <v>0</v>
      </c>
      <c r="Q10" t="s">
        <v>128</v>
      </c>
      <c r="R10" s="6">
        <v>0.75</v>
      </c>
      <c r="S10" s="6">
        <v>0.8571428571428571</v>
      </c>
    </row>
  </sheetData>
  <mergeCells count="2">
    <mergeCell ref="A1:O2"/>
    <mergeCell ref="A3:O3"/>
  </mergeCells>
  <conditionalFormatting sqref="J6:K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/>
  </sheetViews>
  <sheetFormatPr defaultRowHeight="14"/>
  <cols>
    <col min="1" max="1" width="26" customWidth="1"/>
    <col min="2" max="2" width="8" customWidth="1"/>
    <col min="3" max="3" width="10" customWidth="1"/>
    <col min="4" max="4" width="14" customWidth="1"/>
    <col min="5" max="6" width="12" customWidth="1"/>
    <col min="7" max="7" width="16" customWidth="1"/>
    <col min="8" max="9" width="14" customWidth="1"/>
    <col min="10" max="10" width="13" customWidth="1"/>
    <col min="11" max="11" width="12" customWidth="1"/>
  </cols>
  <sheetData>
    <row r="1" spans="1:1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5">
      <c r="A3" s="18" t="s">
        <v>130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5" spans="1:15">
      <c r="A5" s="5" t="s">
        <v>131</v>
      </c>
      <c r="B5" s="5" t="s">
        <v>23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78</v>
      </c>
      <c r="K5" s="5" t="s">
        <v>81</v>
      </c>
      <c r="M5" s="5" t="s">
        <v>131</v>
      </c>
      <c r="N5" s="5" t="s">
        <v>4</v>
      </c>
      <c r="O5" s="5" t="s">
        <v>3</v>
      </c>
    </row>
    <row r="6" spans="1:15">
      <c r="A6" t="s">
        <v>132</v>
      </c>
      <c r="B6">
        <v>53</v>
      </c>
      <c r="C6">
        <v>39</v>
      </c>
      <c r="D6" s="6">
        <v>0.77358490566037741</v>
      </c>
      <c r="E6" s="6">
        <v>0.85365853658536583</v>
      </c>
      <c r="F6" s="6">
        <v>0.68681318681318682</v>
      </c>
      <c r="G6" s="6">
        <v>0.64150943396226412</v>
      </c>
      <c r="H6" s="6">
        <v>0.75324675324675339</v>
      </c>
      <c r="I6" s="6">
        <v>0.60897435897435892</v>
      </c>
      <c r="J6" s="6">
        <f t="shared" ref="J6:K9" si="0">D6-G6</f>
        <v>0.13207547169811329</v>
      </c>
      <c r="K6" s="6">
        <f t="shared" si="0"/>
        <v>0.10041178333861245</v>
      </c>
      <c r="M6" t="s">
        <v>132</v>
      </c>
      <c r="N6" s="6">
        <v>0.77358490566037741</v>
      </c>
      <c r="O6" s="6">
        <v>0.85365853658536583</v>
      </c>
    </row>
    <row r="7" spans="1:15">
      <c r="A7" t="s">
        <v>133</v>
      </c>
      <c r="B7">
        <v>18</v>
      </c>
      <c r="C7">
        <v>5</v>
      </c>
      <c r="D7" s="6">
        <v>0.61111111111111116</v>
      </c>
      <c r="E7" s="6">
        <v>0.53333333333333333</v>
      </c>
      <c r="F7" s="6">
        <v>0.83846153846153848</v>
      </c>
      <c r="G7" s="6">
        <v>0.44444444444444442</v>
      </c>
      <c r="H7" s="6">
        <v>0.44444444444444442</v>
      </c>
      <c r="I7" s="6">
        <v>0.84615384615384615</v>
      </c>
      <c r="J7" s="6">
        <f t="shared" si="0"/>
        <v>0.16666666666666674</v>
      </c>
      <c r="K7" s="6">
        <f t="shared" si="0"/>
        <v>8.8888888888888906E-2</v>
      </c>
      <c r="M7" t="s">
        <v>133</v>
      </c>
      <c r="N7" s="6">
        <v>0.61111111111111116</v>
      </c>
      <c r="O7" s="6">
        <v>0.53333333333333333</v>
      </c>
    </row>
    <row r="8" spans="1:15">
      <c r="A8" t="s">
        <v>134</v>
      </c>
      <c r="B8">
        <v>51</v>
      </c>
      <c r="C8">
        <v>46</v>
      </c>
      <c r="D8" s="6">
        <v>0.82352941176470584</v>
      </c>
      <c r="E8" s="6">
        <v>0.89411764705882346</v>
      </c>
      <c r="F8" s="6">
        <v>0.84565217391304348</v>
      </c>
      <c r="G8" s="6">
        <v>0.68627450980392157</v>
      </c>
      <c r="H8" s="6">
        <v>0.79487179487179493</v>
      </c>
      <c r="I8" s="6">
        <v>0.68478260869565222</v>
      </c>
      <c r="J8" s="6">
        <f t="shared" si="0"/>
        <v>0.13725490196078427</v>
      </c>
      <c r="K8" s="6">
        <f t="shared" si="0"/>
        <v>9.9245852187028527E-2</v>
      </c>
      <c r="M8" t="s">
        <v>134</v>
      </c>
      <c r="N8" s="6">
        <v>0.82352941176470584</v>
      </c>
      <c r="O8" s="6">
        <v>0.89411764705882346</v>
      </c>
    </row>
    <row r="9" spans="1:15">
      <c r="A9" t="s">
        <v>135</v>
      </c>
      <c r="B9">
        <v>122</v>
      </c>
      <c r="C9">
        <v>90</v>
      </c>
      <c r="D9" s="6">
        <v>0.77049180327868849</v>
      </c>
      <c r="E9" s="6">
        <v>0.84615384615384615</v>
      </c>
      <c r="F9" s="6">
        <v>0.74565972222222221</v>
      </c>
      <c r="G9" s="6">
        <v>0.63114754098360659</v>
      </c>
      <c r="H9" s="6">
        <v>0.73988439306358389</v>
      </c>
      <c r="I9" s="6">
        <v>0.58819444444444446</v>
      </c>
      <c r="J9" s="6">
        <f t="shared" si="0"/>
        <v>0.1393442622950819</v>
      </c>
      <c r="K9" s="6">
        <f t="shared" si="0"/>
        <v>0.10626945309026226</v>
      </c>
      <c r="M9" t="s">
        <v>135</v>
      </c>
      <c r="N9" s="6">
        <v>0.77049180327868849</v>
      </c>
      <c r="O9" s="6">
        <v>0.84615384615384615</v>
      </c>
    </row>
  </sheetData>
  <mergeCells count="2">
    <mergeCell ref="A1:K2"/>
    <mergeCell ref="A3:K3"/>
  </mergeCells>
  <conditionalFormatting sqref="J6:K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workbookViewId="0"/>
  </sheetViews>
  <sheetFormatPr defaultRowHeight="14"/>
  <cols>
    <col min="1" max="1" width="27" customWidth="1"/>
    <col min="2" max="2" width="38" customWidth="1"/>
    <col min="3" max="5" width="12" customWidth="1"/>
    <col min="6" max="6" width="10" customWidth="1"/>
    <col min="7" max="11" width="11" customWidth="1"/>
    <col min="12" max="12" width="10" customWidth="1"/>
    <col min="13" max="13" width="7" customWidth="1"/>
  </cols>
  <sheetData>
    <row r="1" spans="1:13">
      <c r="A1" s="17" t="s">
        <v>136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8" t="s">
        <v>137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spans="1:13">
      <c r="A5" s="5" t="s">
        <v>52</v>
      </c>
      <c r="B5" s="5" t="s">
        <v>9</v>
      </c>
      <c r="C5" s="5" t="s">
        <v>138</v>
      </c>
      <c r="D5" s="5" t="s">
        <v>139</v>
      </c>
      <c r="E5" s="5" t="s">
        <v>140</v>
      </c>
      <c r="F5" s="5" t="s">
        <v>20</v>
      </c>
      <c r="G5" s="5" t="s">
        <v>4</v>
      </c>
      <c r="H5" s="5" t="s">
        <v>3</v>
      </c>
      <c r="I5" s="5" t="s">
        <v>5</v>
      </c>
      <c r="J5" s="5" t="s">
        <v>21</v>
      </c>
      <c r="K5" s="5" t="s">
        <v>22</v>
      </c>
      <c r="L5" s="5" t="s">
        <v>63</v>
      </c>
      <c r="M5" s="5" t="s">
        <v>23</v>
      </c>
    </row>
    <row r="6" spans="1:13">
      <c r="A6" s="8" t="s">
        <v>141</v>
      </c>
      <c r="B6" s="8" t="s">
        <v>69</v>
      </c>
      <c r="C6" s="10">
        <v>0.25</v>
      </c>
      <c r="D6" s="10">
        <v>0.15</v>
      </c>
      <c r="E6" s="10">
        <v>0.6</v>
      </c>
      <c r="F6" s="9">
        <v>0.12</v>
      </c>
      <c r="G6" s="10">
        <v>0.70666666666666667</v>
      </c>
      <c r="H6" s="10">
        <v>0.78846153846153844</v>
      </c>
      <c r="I6" s="10">
        <v>0.74703703703703705</v>
      </c>
      <c r="J6" s="10">
        <v>0.91111111111111109</v>
      </c>
      <c r="K6" s="10">
        <v>0.69491525423728817</v>
      </c>
      <c r="L6" s="10">
        <v>0.98684210526315785</v>
      </c>
      <c r="M6" s="8">
        <v>75</v>
      </c>
    </row>
    <row r="7" spans="1:13">
      <c r="A7" s="3" t="s">
        <v>141</v>
      </c>
      <c r="B7" s="3" t="s">
        <v>64</v>
      </c>
      <c r="C7" s="13">
        <v>0.35</v>
      </c>
      <c r="D7" s="13">
        <v>0.15</v>
      </c>
      <c r="E7" s="13">
        <v>0.5</v>
      </c>
      <c r="F7" s="4">
        <v>0.1</v>
      </c>
      <c r="G7" s="13">
        <v>0.70270270270270274</v>
      </c>
      <c r="H7" s="13">
        <v>0.78431372549019607</v>
      </c>
      <c r="I7" s="13">
        <v>0.70909090909090911</v>
      </c>
      <c r="J7" s="13">
        <v>0.90909090909090906</v>
      </c>
      <c r="K7" s="13">
        <v>0.68965517241379315</v>
      </c>
      <c r="L7" s="13">
        <v>0.97368421052631582</v>
      </c>
      <c r="M7" s="3">
        <v>74</v>
      </c>
    </row>
    <row r="8" spans="1:13">
      <c r="A8" s="3" t="s">
        <v>141</v>
      </c>
      <c r="B8" s="3" t="s">
        <v>67</v>
      </c>
      <c r="C8" s="13">
        <v>0</v>
      </c>
      <c r="D8" s="13">
        <v>0.15</v>
      </c>
      <c r="E8" s="13">
        <v>0.85</v>
      </c>
      <c r="F8" s="4">
        <v>0.19</v>
      </c>
      <c r="G8" s="13">
        <v>0.71052631578947367</v>
      </c>
      <c r="H8" s="13">
        <v>0.77083333333333337</v>
      </c>
      <c r="I8" s="13">
        <v>0.67862318840579705</v>
      </c>
      <c r="J8" s="13">
        <v>0.80434782608695654</v>
      </c>
      <c r="K8" s="13">
        <v>0.74</v>
      </c>
      <c r="L8" s="13">
        <v>1</v>
      </c>
      <c r="M8" s="3">
        <v>76</v>
      </c>
    </row>
    <row r="9" spans="1:13">
      <c r="A9" s="3" t="s">
        <v>141</v>
      </c>
      <c r="B9" s="3" t="s">
        <v>71</v>
      </c>
      <c r="C9" s="13">
        <v>0.05</v>
      </c>
      <c r="D9" s="13">
        <v>0.05</v>
      </c>
      <c r="E9" s="13">
        <v>0.9</v>
      </c>
      <c r="F9" s="4">
        <v>0.19</v>
      </c>
      <c r="G9" s="13">
        <v>0.70666666666666667</v>
      </c>
      <c r="H9" s="13">
        <v>0.76595744680851063</v>
      </c>
      <c r="I9" s="13">
        <v>0.69592592592592584</v>
      </c>
      <c r="J9" s="13">
        <v>0.8</v>
      </c>
      <c r="K9" s="13">
        <v>0.73469387755102045</v>
      </c>
      <c r="L9" s="13">
        <v>0.98684210526315785</v>
      </c>
      <c r="M9" s="3">
        <v>75</v>
      </c>
    </row>
    <row r="10" spans="1:13">
      <c r="A10" s="3" t="s">
        <v>141</v>
      </c>
      <c r="B10" s="3" t="s">
        <v>72</v>
      </c>
      <c r="C10" s="13">
        <v>0.25</v>
      </c>
      <c r="D10" s="13">
        <v>0.75</v>
      </c>
      <c r="E10" s="13">
        <v>0</v>
      </c>
      <c r="F10" s="4">
        <v>0.12</v>
      </c>
      <c r="G10" s="13">
        <v>0.64473684210526316</v>
      </c>
      <c r="H10" s="13">
        <v>0.76521739130434785</v>
      </c>
      <c r="I10" s="13">
        <v>0.67608695652173911</v>
      </c>
      <c r="J10" s="13">
        <v>0.95652173913043481</v>
      </c>
      <c r="K10" s="13">
        <v>0.6376811594202898</v>
      </c>
      <c r="L10" s="13">
        <v>1</v>
      </c>
      <c r="M10" s="3">
        <v>76</v>
      </c>
    </row>
    <row r="11" spans="1:13">
      <c r="A11" s="3" t="s">
        <v>142</v>
      </c>
      <c r="B11" s="3" t="s">
        <v>67</v>
      </c>
      <c r="C11" s="13">
        <v>0</v>
      </c>
      <c r="D11" s="13">
        <v>0.15</v>
      </c>
      <c r="E11" s="13">
        <v>0.85</v>
      </c>
      <c r="F11" s="4">
        <v>0.5</v>
      </c>
      <c r="G11" s="13">
        <v>0.56578947368421051</v>
      </c>
      <c r="H11" s="13">
        <v>0.5074626865671642</v>
      </c>
      <c r="I11" s="13">
        <v>0.67137681159420293</v>
      </c>
      <c r="J11" s="13">
        <v>0.36956521739130432</v>
      </c>
      <c r="K11" s="13">
        <v>0.80952380952380953</v>
      </c>
      <c r="L11" s="13">
        <v>1</v>
      </c>
      <c r="M11" s="3">
        <v>76</v>
      </c>
    </row>
    <row r="12" spans="1:13">
      <c r="A12" s="3" t="s">
        <v>142</v>
      </c>
      <c r="B12" s="3" t="s">
        <v>71</v>
      </c>
      <c r="C12" s="13">
        <v>0.05</v>
      </c>
      <c r="D12" s="13">
        <v>0.05</v>
      </c>
      <c r="E12" s="13">
        <v>0.9</v>
      </c>
      <c r="F12" s="4">
        <v>0.5</v>
      </c>
      <c r="G12" s="13">
        <v>0.58666666666666667</v>
      </c>
      <c r="H12" s="13">
        <v>0.49180327868852458</v>
      </c>
      <c r="I12" s="13">
        <v>0.68555555555555547</v>
      </c>
      <c r="J12" s="13">
        <v>0.33333333333333331</v>
      </c>
      <c r="K12" s="13">
        <v>0.9375</v>
      </c>
      <c r="L12" s="13">
        <v>0.98684210526315785</v>
      </c>
      <c r="M12" s="3">
        <v>75</v>
      </c>
    </row>
    <row r="13" spans="1:13">
      <c r="A13" s="3" t="s">
        <v>142</v>
      </c>
      <c r="B13" s="3" t="s">
        <v>69</v>
      </c>
      <c r="C13" s="13">
        <v>0.25</v>
      </c>
      <c r="D13" s="13">
        <v>0.15</v>
      </c>
      <c r="E13" s="13">
        <v>0.6</v>
      </c>
      <c r="F13" s="4">
        <v>0.5</v>
      </c>
      <c r="G13" s="13">
        <v>0.54666666666666663</v>
      </c>
      <c r="H13" s="13">
        <v>0.41379310344827586</v>
      </c>
      <c r="I13" s="13">
        <v>0.73592592592592598</v>
      </c>
      <c r="J13" s="13">
        <v>0.26666666666666666</v>
      </c>
      <c r="K13" s="13">
        <v>0.92307692307692313</v>
      </c>
      <c r="L13" s="13">
        <v>0.98684210526315785</v>
      </c>
      <c r="M13" s="3">
        <v>75</v>
      </c>
    </row>
    <row r="14" spans="1:13">
      <c r="A14" s="3" t="s">
        <v>142</v>
      </c>
      <c r="B14" s="3" t="s">
        <v>72</v>
      </c>
      <c r="C14" s="13">
        <v>0.25</v>
      </c>
      <c r="D14" s="13">
        <v>0.75</v>
      </c>
      <c r="E14" s="13">
        <v>0</v>
      </c>
      <c r="F14" s="4">
        <v>0.5</v>
      </c>
      <c r="G14" s="13">
        <v>0.53947368421052633</v>
      </c>
      <c r="H14" s="13">
        <v>0.40677966101694918</v>
      </c>
      <c r="I14" s="13">
        <v>0.65181159420289858</v>
      </c>
      <c r="J14" s="13">
        <v>0.2608695652173913</v>
      </c>
      <c r="K14" s="13">
        <v>0.92307692307692313</v>
      </c>
      <c r="L14" s="13">
        <v>1</v>
      </c>
      <c r="M14" s="3">
        <v>76</v>
      </c>
    </row>
    <row r="15" spans="1:13">
      <c r="A15" s="3" t="s">
        <v>142</v>
      </c>
      <c r="B15" s="3" t="s">
        <v>64</v>
      </c>
      <c r="C15" s="13">
        <v>0.35</v>
      </c>
      <c r="D15" s="13">
        <v>0.15</v>
      </c>
      <c r="E15" s="13">
        <v>0.5</v>
      </c>
      <c r="F15" s="4">
        <v>0.5</v>
      </c>
      <c r="G15" s="13">
        <v>0.51351351351351349</v>
      </c>
      <c r="H15" s="13">
        <v>0.37931034482758619</v>
      </c>
      <c r="I15" s="13">
        <v>0.69545454545454544</v>
      </c>
      <c r="J15" s="13">
        <v>0.25</v>
      </c>
      <c r="K15" s="13">
        <v>0.7857142857142857</v>
      </c>
      <c r="L15" s="13">
        <v>0.97368421052631582</v>
      </c>
      <c r="M15" s="3">
        <v>74</v>
      </c>
    </row>
    <row r="19" spans="1:13">
      <c r="A19" s="19" t="s">
        <v>143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ht="39">
      <c r="A20" s="5" t="s">
        <v>144</v>
      </c>
      <c r="B20" s="5" t="s">
        <v>35</v>
      </c>
      <c r="C20" s="5" t="s">
        <v>33</v>
      </c>
      <c r="D20" s="5" t="s">
        <v>145</v>
      </c>
    </row>
    <row r="21" spans="1:13">
      <c r="A21" t="s">
        <v>3</v>
      </c>
      <c r="B21" s="6">
        <v>0.78846153846153844</v>
      </c>
      <c r="C21" s="6">
        <v>0.77551020408163263</v>
      </c>
      <c r="D21" s="6">
        <f>B21-C21</f>
        <v>1.295133437990581E-2</v>
      </c>
    </row>
    <row r="22" spans="1:13">
      <c r="A22" t="s">
        <v>4</v>
      </c>
      <c r="B22" s="6">
        <v>0.70666666666666667</v>
      </c>
      <c r="C22" s="6">
        <v>0.71052631578947367</v>
      </c>
      <c r="D22" s="6">
        <f>B22-C22</f>
        <v>-3.8596491228070073E-3</v>
      </c>
    </row>
    <row r="23" spans="1:13">
      <c r="A23" t="s">
        <v>5</v>
      </c>
      <c r="B23" s="6">
        <v>0.74703703703703705</v>
      </c>
      <c r="C23" s="6">
        <v>0.71666666666666667</v>
      </c>
      <c r="D23" s="6">
        <f>B23-C23</f>
        <v>3.0370370370370381E-2</v>
      </c>
    </row>
  </sheetData>
  <mergeCells count="3">
    <mergeCell ref="A1:M2"/>
    <mergeCell ref="A3:M3"/>
    <mergeCell ref="A19:M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workbookViewId="0"/>
  </sheetViews>
  <sheetFormatPr defaultRowHeight="14"/>
  <cols>
    <col min="1" max="1" width="23" customWidth="1"/>
    <col min="2" max="2" width="39" customWidth="1"/>
    <col min="3" max="3" width="10" customWidth="1"/>
    <col min="4" max="5" width="8" customWidth="1"/>
    <col min="6" max="6" width="11" customWidth="1"/>
    <col min="7" max="7" width="16" customWidth="1"/>
    <col min="8" max="8" width="18" customWidth="1"/>
    <col min="9" max="9" width="19" customWidth="1"/>
    <col min="10" max="11" width="14" customWidth="1"/>
    <col min="12" max="12" width="13" customWidth="1"/>
  </cols>
  <sheetData>
    <row r="1" spans="1:12">
      <c r="A1" s="17" t="s">
        <v>146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>
      <c r="A3" s="18" t="s">
        <v>147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26">
      <c r="A5" s="5" t="s">
        <v>7</v>
      </c>
      <c r="B5" s="5" t="s">
        <v>9</v>
      </c>
      <c r="C5" s="5" t="s">
        <v>148</v>
      </c>
      <c r="D5" s="5" t="s">
        <v>149</v>
      </c>
      <c r="E5" s="5" t="s">
        <v>150</v>
      </c>
      <c r="F5" s="5" t="s">
        <v>151</v>
      </c>
      <c r="G5" s="5" t="s">
        <v>152</v>
      </c>
      <c r="H5" s="5" t="s">
        <v>153</v>
      </c>
      <c r="I5" s="5" t="s">
        <v>154</v>
      </c>
      <c r="J5" s="5" t="s">
        <v>155</v>
      </c>
      <c r="K5" s="5" t="s">
        <v>156</v>
      </c>
      <c r="L5" s="5" t="s">
        <v>157</v>
      </c>
    </row>
    <row r="6" spans="1:12">
      <c r="A6" s="3" t="s">
        <v>70</v>
      </c>
      <c r="B6" s="3" t="s">
        <v>71</v>
      </c>
      <c r="C6" s="3">
        <v>76</v>
      </c>
      <c r="D6" s="3">
        <v>76</v>
      </c>
      <c r="E6" s="3">
        <v>0</v>
      </c>
      <c r="F6" s="13">
        <v>1</v>
      </c>
      <c r="G6" s="3">
        <v>0</v>
      </c>
      <c r="H6" s="3">
        <v>4</v>
      </c>
      <c r="I6" s="3">
        <v>0</v>
      </c>
      <c r="J6" s="3">
        <v>225394</v>
      </c>
      <c r="K6" s="3">
        <v>14889</v>
      </c>
      <c r="L6" s="3">
        <v>229.7036401229966</v>
      </c>
    </row>
    <row r="7" spans="1:12">
      <c r="A7" s="3" t="s">
        <v>70</v>
      </c>
      <c r="B7" s="3" t="s">
        <v>69</v>
      </c>
      <c r="C7" s="3">
        <v>76</v>
      </c>
      <c r="D7" s="3">
        <v>76</v>
      </c>
      <c r="E7" s="3">
        <v>0</v>
      </c>
      <c r="F7" s="13">
        <v>1</v>
      </c>
      <c r="G7" s="3">
        <v>0</v>
      </c>
      <c r="H7" s="3">
        <v>6</v>
      </c>
      <c r="I7" s="3">
        <v>0</v>
      </c>
      <c r="J7" s="3">
        <v>241354</v>
      </c>
      <c r="K7" s="3">
        <v>15680</v>
      </c>
      <c r="L7" s="3">
        <v>249.90215523999495</v>
      </c>
    </row>
    <row r="8" spans="1:12">
      <c r="A8" s="3" t="s">
        <v>70</v>
      </c>
      <c r="B8" s="3" t="s">
        <v>67</v>
      </c>
      <c r="C8" s="3">
        <v>76</v>
      </c>
      <c r="D8" s="3">
        <v>76</v>
      </c>
      <c r="E8" s="3">
        <v>0</v>
      </c>
      <c r="F8" s="13">
        <v>1</v>
      </c>
      <c r="G8" s="3">
        <v>0</v>
      </c>
      <c r="H8" s="3">
        <v>4</v>
      </c>
      <c r="I8" s="3">
        <v>0</v>
      </c>
      <c r="J8" s="3">
        <v>260962</v>
      </c>
      <c r="K8" s="3">
        <v>14348</v>
      </c>
      <c r="L8" s="3">
        <v>229.66759093000292</v>
      </c>
    </row>
    <row r="9" spans="1:12">
      <c r="A9" s="3" t="s">
        <v>70</v>
      </c>
      <c r="B9" s="3" t="s">
        <v>64</v>
      </c>
      <c r="C9" s="3">
        <v>76</v>
      </c>
      <c r="D9" s="3">
        <v>76</v>
      </c>
      <c r="E9" s="3">
        <v>0</v>
      </c>
      <c r="F9" s="13">
        <v>1</v>
      </c>
      <c r="G9" s="3">
        <v>0</v>
      </c>
      <c r="H9" s="3">
        <v>9</v>
      </c>
      <c r="I9" s="3">
        <v>0</v>
      </c>
      <c r="J9" s="3">
        <v>276922</v>
      </c>
      <c r="K9" s="3">
        <v>15760</v>
      </c>
      <c r="L9" s="3">
        <v>239.72362737800222</v>
      </c>
    </row>
    <row r="10" spans="1:12">
      <c r="A10" s="3" t="s">
        <v>70</v>
      </c>
      <c r="B10" s="3" t="s">
        <v>72</v>
      </c>
      <c r="C10" s="3">
        <v>76</v>
      </c>
      <c r="D10" s="3">
        <v>76</v>
      </c>
      <c r="E10" s="3">
        <v>0</v>
      </c>
      <c r="F10" s="13">
        <v>1</v>
      </c>
      <c r="G10" s="3">
        <v>0</v>
      </c>
      <c r="H10" s="3">
        <v>4</v>
      </c>
      <c r="I10" s="3">
        <v>0</v>
      </c>
      <c r="J10" s="3">
        <v>63286</v>
      </c>
      <c r="K10" s="3">
        <v>12653</v>
      </c>
      <c r="L10" s="3">
        <v>194.68027594199884</v>
      </c>
    </row>
    <row r="11" spans="1:12">
      <c r="A11" s="3" t="s">
        <v>8</v>
      </c>
      <c r="B11" s="3" t="s">
        <v>71</v>
      </c>
      <c r="C11" s="3">
        <v>76</v>
      </c>
      <c r="D11" s="3">
        <v>76</v>
      </c>
      <c r="E11" s="3">
        <v>0</v>
      </c>
      <c r="F11" s="13">
        <v>1</v>
      </c>
      <c r="G11" s="3">
        <v>0</v>
      </c>
      <c r="H11" s="3">
        <v>5</v>
      </c>
      <c r="I11" s="3">
        <v>0</v>
      </c>
      <c r="J11" s="3">
        <v>177859</v>
      </c>
      <c r="K11" s="3">
        <v>10569</v>
      </c>
      <c r="L11" s="3">
        <v>185.72145542300041</v>
      </c>
    </row>
    <row r="12" spans="1:12">
      <c r="A12" s="3" t="s">
        <v>8</v>
      </c>
      <c r="B12" s="3" t="s">
        <v>69</v>
      </c>
      <c r="C12" s="3">
        <v>76</v>
      </c>
      <c r="D12" s="3">
        <v>76</v>
      </c>
      <c r="E12" s="3">
        <v>0</v>
      </c>
      <c r="F12" s="13">
        <v>1</v>
      </c>
      <c r="G12" s="3">
        <v>0</v>
      </c>
      <c r="H12" s="3">
        <v>2</v>
      </c>
      <c r="I12" s="3">
        <v>0</v>
      </c>
      <c r="J12" s="3">
        <v>192451</v>
      </c>
      <c r="K12" s="3">
        <v>9007</v>
      </c>
      <c r="L12" s="3">
        <v>172.30826985000022</v>
      </c>
    </row>
    <row r="13" spans="1:12">
      <c r="A13" s="3" t="s">
        <v>8</v>
      </c>
      <c r="B13" s="3" t="s">
        <v>67</v>
      </c>
      <c r="C13" s="3">
        <v>76</v>
      </c>
      <c r="D13" s="3">
        <v>76</v>
      </c>
      <c r="E13" s="3">
        <v>0</v>
      </c>
      <c r="F13" s="13">
        <v>1</v>
      </c>
      <c r="G13" s="3">
        <v>0</v>
      </c>
      <c r="H13" s="3">
        <v>4</v>
      </c>
      <c r="I13" s="3">
        <v>0</v>
      </c>
      <c r="J13" s="3">
        <v>208487</v>
      </c>
      <c r="K13" s="3">
        <v>10108</v>
      </c>
      <c r="L13" s="3">
        <v>185.05457739899975</v>
      </c>
    </row>
    <row r="14" spans="1:12">
      <c r="A14" s="3" t="s">
        <v>8</v>
      </c>
      <c r="B14" s="3" t="s">
        <v>64</v>
      </c>
      <c r="C14" s="3">
        <v>76</v>
      </c>
      <c r="D14" s="3">
        <v>76</v>
      </c>
      <c r="E14" s="3">
        <v>0</v>
      </c>
      <c r="F14" s="13">
        <v>1</v>
      </c>
      <c r="G14" s="3">
        <v>0</v>
      </c>
      <c r="H14" s="3">
        <v>4</v>
      </c>
      <c r="I14" s="3">
        <v>0</v>
      </c>
      <c r="J14" s="3">
        <v>223079</v>
      </c>
      <c r="K14" s="3">
        <v>8837</v>
      </c>
      <c r="L14" s="3">
        <v>181.11270359899754</v>
      </c>
    </row>
    <row r="15" spans="1:12">
      <c r="A15" s="3" t="s">
        <v>8</v>
      </c>
      <c r="B15" s="3" t="s">
        <v>72</v>
      </c>
      <c r="C15" s="3">
        <v>76</v>
      </c>
      <c r="D15" s="3">
        <v>76</v>
      </c>
      <c r="E15" s="3">
        <v>0</v>
      </c>
      <c r="F15" s="13">
        <v>1</v>
      </c>
      <c r="G15" s="3">
        <v>0</v>
      </c>
      <c r="H15" s="3">
        <v>2</v>
      </c>
      <c r="I15" s="3">
        <v>0</v>
      </c>
      <c r="J15" s="3">
        <v>39843</v>
      </c>
      <c r="K15" s="3">
        <v>11353</v>
      </c>
      <c r="L15" s="3">
        <v>204.67790908600227</v>
      </c>
    </row>
    <row r="16" spans="1:12">
      <c r="A16" s="3" t="s">
        <v>66</v>
      </c>
      <c r="B16" s="3" t="s">
        <v>71</v>
      </c>
      <c r="C16" s="3">
        <v>76</v>
      </c>
      <c r="D16" s="3">
        <v>75</v>
      </c>
      <c r="E16" s="3">
        <v>1</v>
      </c>
      <c r="F16" s="13">
        <v>0.98684210526315785</v>
      </c>
      <c r="G16" s="3">
        <v>1</v>
      </c>
      <c r="H16" s="3">
        <v>2</v>
      </c>
      <c r="I16" s="3">
        <v>0</v>
      </c>
      <c r="J16" s="3">
        <v>199502</v>
      </c>
      <c r="K16" s="3">
        <v>9695</v>
      </c>
      <c r="L16" s="3">
        <v>666.80417435100162</v>
      </c>
    </row>
    <row r="17" spans="1:12">
      <c r="A17" s="3" t="s">
        <v>66</v>
      </c>
      <c r="B17" s="3" t="s">
        <v>69</v>
      </c>
      <c r="C17" s="3">
        <v>76</v>
      </c>
      <c r="D17" s="3">
        <v>75</v>
      </c>
      <c r="E17" s="3">
        <v>1</v>
      </c>
      <c r="F17" s="13">
        <v>0.98684210526315785</v>
      </c>
      <c r="G17" s="3">
        <v>1</v>
      </c>
      <c r="H17" s="3">
        <v>3</v>
      </c>
      <c r="I17" s="3">
        <v>0</v>
      </c>
      <c r="J17" s="3">
        <v>222762</v>
      </c>
      <c r="K17" s="3">
        <v>9956</v>
      </c>
      <c r="L17" s="3">
        <v>824.42877661699367</v>
      </c>
    </row>
    <row r="18" spans="1:12">
      <c r="A18" s="3" t="s">
        <v>66</v>
      </c>
      <c r="B18" s="3" t="s">
        <v>67</v>
      </c>
      <c r="C18" s="3">
        <v>76</v>
      </c>
      <c r="D18" s="3">
        <v>76</v>
      </c>
      <c r="E18" s="3">
        <v>0</v>
      </c>
      <c r="F18" s="13">
        <v>1</v>
      </c>
      <c r="G18" s="3">
        <v>0</v>
      </c>
      <c r="H18" s="3">
        <v>2</v>
      </c>
      <c r="I18" s="3">
        <v>0</v>
      </c>
      <c r="J18" s="3">
        <v>238985</v>
      </c>
      <c r="K18" s="3">
        <v>10095</v>
      </c>
      <c r="L18" s="3">
        <v>591.02674316800085</v>
      </c>
    </row>
    <row r="19" spans="1:12">
      <c r="A19" s="3" t="s">
        <v>66</v>
      </c>
      <c r="B19" s="3" t="s">
        <v>64</v>
      </c>
      <c r="C19" s="3">
        <v>76</v>
      </c>
      <c r="D19" s="3">
        <v>74</v>
      </c>
      <c r="E19" s="3">
        <v>2</v>
      </c>
      <c r="F19" s="13">
        <v>0.97368421052631582</v>
      </c>
      <c r="G19" s="3">
        <v>2</v>
      </c>
      <c r="H19" s="3">
        <v>4</v>
      </c>
      <c r="I19" s="3">
        <v>0</v>
      </c>
      <c r="J19" s="3">
        <v>264545</v>
      </c>
      <c r="K19" s="3">
        <v>9763</v>
      </c>
      <c r="L19" s="3">
        <v>821.89362193399802</v>
      </c>
    </row>
    <row r="20" spans="1:12">
      <c r="A20" s="3" t="s">
        <v>66</v>
      </c>
      <c r="B20" s="3" t="s">
        <v>72</v>
      </c>
      <c r="C20" s="3">
        <v>76</v>
      </c>
      <c r="D20" s="3">
        <v>76</v>
      </c>
      <c r="E20" s="3">
        <v>0</v>
      </c>
      <c r="F20" s="13">
        <v>1</v>
      </c>
      <c r="G20" s="3">
        <v>0</v>
      </c>
      <c r="H20" s="3">
        <v>3</v>
      </c>
      <c r="I20" s="3">
        <v>0</v>
      </c>
      <c r="J20" s="3">
        <v>31427</v>
      </c>
      <c r="K20" s="3">
        <v>7653</v>
      </c>
      <c r="L20" s="3">
        <v>493.77805896800146</v>
      </c>
    </row>
  </sheetData>
  <mergeCells count="2">
    <mergeCell ref="A1:L2"/>
    <mergeCell ref="A3:L3"/>
  </mergeCells>
  <conditionalFormatting sqref="F6:F2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workbookViewId="0"/>
  </sheetViews>
  <sheetFormatPr defaultRowHeight="14"/>
  <cols>
    <col min="1" max="1" width="26" customWidth="1"/>
    <col min="2" max="2" width="95" customWidth="1"/>
  </cols>
  <sheetData>
    <row r="1" spans="1:2">
      <c r="A1" s="17" t="s">
        <v>158</v>
      </c>
      <c r="B1" s="17"/>
    </row>
    <row r="2" spans="1:2">
      <c r="A2" s="17"/>
      <c r="B2" s="17"/>
    </row>
    <row r="3" spans="1:2">
      <c r="A3" s="18" t="s">
        <v>159</v>
      </c>
      <c r="B3" s="18"/>
    </row>
    <row r="5" spans="1:2">
      <c r="A5" s="2" t="s">
        <v>160</v>
      </c>
      <c r="B5" s="2" t="s">
        <v>161</v>
      </c>
    </row>
    <row r="6" spans="1:2">
      <c r="A6" s="3" t="s">
        <v>162</v>
      </c>
      <c r="B6" s="3" t="s">
        <v>163</v>
      </c>
    </row>
    <row r="7" spans="1:2" ht="28">
      <c r="A7" s="3" t="s">
        <v>164</v>
      </c>
      <c r="B7" s="3" t="s">
        <v>165</v>
      </c>
    </row>
    <row r="8" spans="1:2">
      <c r="A8" s="3" t="s">
        <v>166</v>
      </c>
      <c r="B8" s="3" t="s">
        <v>167</v>
      </c>
    </row>
    <row r="9" spans="1:2" ht="28">
      <c r="A9" s="3" t="s">
        <v>168</v>
      </c>
      <c r="B9" s="3" t="s">
        <v>169</v>
      </c>
    </row>
    <row r="10" spans="1:2">
      <c r="A10" s="3" t="s">
        <v>4</v>
      </c>
      <c r="B10" s="3" t="s">
        <v>170</v>
      </c>
    </row>
    <row r="11" spans="1:2" ht="28">
      <c r="A11" s="3" t="s">
        <v>3</v>
      </c>
      <c r="B11" s="3" t="s">
        <v>171</v>
      </c>
    </row>
    <row r="12" spans="1:2">
      <c r="A12" s="3" t="s">
        <v>5</v>
      </c>
      <c r="B12" s="3" t="s">
        <v>172</v>
      </c>
    </row>
    <row r="13" spans="1:2">
      <c r="A13" s="3" t="s">
        <v>173</v>
      </c>
      <c r="B13" s="3" t="s">
        <v>174</v>
      </c>
    </row>
    <row r="14" spans="1:2" ht="28">
      <c r="A14" s="3" t="s">
        <v>175</v>
      </c>
      <c r="B14" s="3" t="s">
        <v>176</v>
      </c>
    </row>
    <row r="15" spans="1:2" ht="28">
      <c r="A15" s="3" t="s">
        <v>177</v>
      </c>
      <c r="B15" s="3" t="s">
        <v>178</v>
      </c>
    </row>
    <row r="16" spans="1:2" ht="28">
      <c r="A16" s="3" t="s">
        <v>179</v>
      </c>
      <c r="B16" s="3" t="s">
        <v>180</v>
      </c>
    </row>
    <row r="17" spans="1:2" ht="28">
      <c r="A17" s="3" t="s">
        <v>181</v>
      </c>
      <c r="B17" s="3" t="s">
        <v>182</v>
      </c>
    </row>
  </sheetData>
  <mergeCells count="2">
    <mergeCell ref="A1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Individual Models</vt:lpstr>
      <vt:lpstr>Threshold Impact</vt:lpstr>
      <vt:lpstr>Prompt A-B Tests</vt:lpstr>
      <vt:lpstr>Gold &amp; Kyle Sensitivity</vt:lpstr>
      <vt:lpstr>By Document</vt:lpstr>
      <vt:lpstr>By Labeler</vt:lpstr>
      <vt:lpstr>Ensembles</vt:lpstr>
      <vt:lpstr>Run Quality</vt:lpstr>
      <vt:lpstr>Notes &amp;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2026-08-14T13:42:39Z</dcterms:modified>
</cp:coreProperties>
</file>
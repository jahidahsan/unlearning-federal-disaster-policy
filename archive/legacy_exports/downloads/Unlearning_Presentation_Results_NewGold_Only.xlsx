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8ac0744ed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90e9a7879c47bb"/>
    <x:sheet xmlns:r="http://schemas.openxmlformats.org/officeDocument/2006/relationships" name="Combined by Document" sheetId="2" r:id="Re0761845d20b4720"/>
    <x:sheet xmlns:r="http://schemas.openxmlformats.org/officeDocument/2006/relationships" name="Combined by Labeler" sheetId="3" r:id="R1a4d6cdf750a4fca"/>
    <x:sheet xmlns:r="http://schemas.openxmlformats.org/officeDocument/2006/relationships" name="A-B and Threshold" sheetId="4" r:id="R1b47206dcdc8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sz val="9"/>
      <x:color rgb="FF404040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  <x:font>
      <x:b/>
      <x:sz val="11"/>
      <x:color rgb="FF9C0006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5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5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5" fillId="5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1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/>
    <x:xf numFmtId="200" fontId="5" fillId="5" borderId="0" xfId="0" applyNumberFormat="1" applyFont="1" applyFill="1" applyBorder="1"/>
    <x:xf numFmtId="200" fontId="0" fillId="5" borderId="1" xfId="0" applyNumberFormat="1" applyFont="1" applyFill="1" applyBorder="1"/>
    <x:xf numFmtId="200" fontId="5" fillId="5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6" fillId="7" borderId="0" xfId="0" applyNumberFormat="1" applyFont="1" applyFill="1" applyBorder="1"/>
    <x:xf numFmtId="20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20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6" fillId="7" borderId="1" xfId="0" applyNumberFormat="1" applyFont="1" applyFill="1" applyBorder="1"/>
    <x:xf numFmtId="20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200" fontId="6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201" fontId="0" fillId="10" borderId="0" xfId="0" applyNumberFormat="1" applyFont="1" applyFill="1" applyBorder="1"/>
    <x:xf numFmtId="0" fontId="5" fillId="10" borderId="0" xfId="0" applyNumberFormat="1" applyFont="1" applyFill="1" applyBorder="1"/>
    <x:xf numFmtId="200" fontId="5" fillId="10" borderId="0" xfId="0" applyNumberFormat="1" applyFont="1" applyFill="1" applyBorder="1"/>
    <x:xf numFmtId="201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200" fontId="5" fillId="10" borderId="0" xfId="0" applyNumberFormat="1" applyFont="1" applyFill="1" applyBorder="1" applyAlignment="1">
      <x:alignment wrapText="1"/>
    </x:xf>
    <x:xf numFmtId="201" fontId="5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200" fontId="5" fillId="11" borderId="0" xfId="0" applyNumberFormat="1" applyFont="1" applyFill="1" applyBorder="1"/>
    <x:xf numFmtId="201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wrapText="1"/>
    </x:xf>
    <x:xf numFmtId="200" fontId="5" fillId="11" borderId="0" xfId="0" applyNumberFormat="1" applyFont="1" applyFill="1" applyBorder="1" applyAlignment="1">
      <x:alignment wrapText="1"/>
    </x:xf>
    <x:xf numFmtId="201" fontId="5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28ae674884aab" /><Relationship Type="http://schemas.openxmlformats.org/officeDocument/2006/relationships/theme" Target="/xl/theme/theme1.xml" Id="R9b525d07b1ce49f0" /><Relationship Type="http://schemas.openxmlformats.org/officeDocument/2006/relationships/sharedStrings" Target="/xl/sharedStrings.xml" Id="R0dd659c280234c74" /><Relationship Type="http://schemas.openxmlformats.org/officeDocument/2006/relationships/worksheet" Target="/xl/worksheets/sheet1.xml" Id="Rf190e9a7879c47bb" /><Relationship Type="http://schemas.openxmlformats.org/officeDocument/2006/relationships/worksheet" Target="/xl/worksheets/sheet2.xml" Id="Re0761845d20b4720" /><Relationship Type="http://schemas.openxmlformats.org/officeDocument/2006/relationships/worksheet" Target="/xl/worksheets/sheet3.xml" Id="R1a4d6cdf750a4fca" /><Relationship Type="http://schemas.openxmlformats.org/officeDocument/2006/relationships/worksheet" Target="/xl/worksheets/sheet4.xml" Id="R1b47206dcdc845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48f499a8bd442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3badd6952cf41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Best GPT vs baseline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Accuracy</c:v>
          </c:tx>
          <c:cat>
            <c:strRef>
              <c:f>'Summary'!$M$7:$M$10</c:f>
              <c:strCache>
                <c:ptCount val="0"/>
              </c:strCache>
            </c:strRef>
          </c:cat>
          <c:val>
            <c:numRef>
              <c:f>'Summary'!$N$7:$N$10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F1</c:v>
          </c:tx>
          <c:cat>
            <c:strRef>
              <c:f>'Summary'!$M$7:$M$10</c:f>
              <c:strCache>
                <c:ptCount val="0"/>
              </c:strCache>
            </c:strRef>
          </c:cat>
          <c:val>
            <c:numRef>
              <c:f>'Summary'!$O$7:$O$10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Three-model mean by document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Accuracy</c:v>
          </c:tx>
          <c:cat>
            <c:strRef>
              <c:f>'Combined by Document'!$K$6:$K$10</c:f>
              <c:strCache>
                <c:ptCount val="0"/>
              </c:strCache>
            </c:strRef>
          </c:cat>
          <c:val>
            <c:numRef>
              <c:f>'Combined by Document'!$L$6:$L$10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F1</c:v>
          </c:tx>
          <c:cat>
            <c:strRef>
              <c:f>'Combined by Document'!$K$6:$K$10</c:f>
              <c:strCache>
                <c:ptCount val="0"/>
              </c:strCache>
            </c:strRef>
          </c:cat>
          <c:val>
            <c:numRef>
              <c:f>'Combined by Document'!$M$6:$M$10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48f499a8bd442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badd6952cf410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a0be0270e048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02d9454fe344d0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</x:cols>
  <x:sheetData>
    <x:row r="1">
      <x:c r="A1" s="4" t="str">
        <x:v>Final Unlearning Results — Condensed Presentation 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10" t="str">
        <x:v>All main results use NEW gold_unlearning only. The sole OLD-vs-NEW gold comparison appears in Section 3 below.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>
      <x:c r="A5" s="16" t="str">
        <x:v>1. Best individual model vs baseline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</x:row>
    <x:row r="6">
      <x:c r="A6" s="23" t="str">
        <x:v>Dataset</x:v>
      </x:c>
      <x:c r="B6" s="23" t="str">
        <x:v>Model</x:v>
      </x:c>
      <x:c r="C6" s="23" t="str">
        <x:v>Prompt</x:v>
      </x:c>
      <x:c r="D6" s="23" t="str">
        <x:v>Threshold</x:v>
      </x:c>
      <x:c r="E6" s="23" t="str">
        <x:v>Accuracy</x:v>
      </x:c>
      <x:c r="F6" s="23" t="str">
        <x:v>F1</x:v>
      </x:c>
      <x:c r="G6" s="23" t="str">
        <x:v>AUROC</x:v>
      </x:c>
      <x:c r="H6" s="23" t="str">
        <x:v>Δ Accuracy vs baseline</x:v>
      </x:c>
      <x:c r="I6" s="23" t="str">
        <x:v>Δ F1 vs baseline</x:v>
      </x:c>
      <x:c r="J6" s="23" t="str">
        <x:v>Δ AUROC vs baseline</x:v>
      </x:c>
      <x:c r="K6" s="23" t="str">
        <x:v>Result</x:v>
      </x:c>
      <x:c r="M6" t="str">
        <x:v>Configuration</x:v>
      </x:c>
      <x:c r="N6" t="str">
        <x:v>Accuracy</x:v>
      </x:c>
      <x:c r="O6" t="str">
        <x:v>F1</x:v>
      </x:c>
    </x:row>
    <x:row r="7">
      <x:c r="A7" s="50" t="str">
        <x:v>All 76 rows</x:v>
      </x:c>
      <x:c r="B7" s="50" t="str">
        <x:v>GPT-5.6 Terra</x:v>
      </x:c>
      <x:c r="C7" s="50" t="str">
        <x:v>Direct target only</x:v>
      </x:c>
      <x:c r="D7" s="51" t="n">
        <x:v>0.08</x:v>
      </x:c>
      <x:c r="E7" s="52" t="n">
        <x:v>0.5921052631578947</x:v>
      </x:c>
      <x:c r="F7" s="52" t="n">
        <x:v>0.6736842105263158</x:v>
      </x:c>
      <x:c r="G7" s="52" t="n">
        <x:v>0.5894927536231883</x:v>
      </x:c>
      <x:c r="H7" s="52" t="str"/>
      <x:c r="I7" s="52" t="str"/>
      <x:c r="J7" s="52" t="str"/>
      <x:c r="K7" s="50" t="str"/>
      <x:c r="M7" t="str">
        <x:v>Baseline</x:v>
      </x:c>
      <x:c r="N7" s="34" t="n">
        <x:v>0.5921052631578947</x:v>
      </x:c>
      <x:c r="O7" s="34" t="n">
        <x:v>0.6736842105263158</x:v>
      </x:c>
    </x:row>
    <x:row r="8">
      <x:c r="A8" s="30" t="str">
        <x:v>All 76 rows</x:v>
      </x:c>
      <x:c r="B8" s="30" t="str">
        <x:v>GPT-5.6 Terra</x:v>
      </x:c>
      <x:c r="C8" s="30" t="str">
        <x:v>Codebook + examples + checklist</x:v>
      </x:c>
      <x:c r="D8" s="39" t="n">
        <x:v>0.06</x:v>
      </x:c>
      <x:c r="E8" s="35" t="n">
        <x:v>0.7105263157894737</x:v>
      </x:c>
      <x:c r="F8" s="35" t="n">
        <x:v>0.7755102040816326</x:v>
      </x:c>
      <x:c r="G8" s="35" t="n">
        <x:v>0.7166666666666667</x:v>
      </x:c>
      <x:c r="H8" s="35" t="n">
        <x:f>E8-E7</x:f>
        <x:v>0.11842105263157898</x:v>
      </x:c>
      <x:c r="I8" s="35" t="n">
        <x:f>F8-F7</x:f>
        <x:v>0.10182599355531685</x:v>
      </x:c>
      <x:c r="J8" s="35" t="n">
        <x:f>G8-G7</x:f>
        <x:v>0.12717391304347836</x:v>
      </x:c>
      <x:c r="K8" s="30" t="str">
        <x:v>Best GPT</x:v>
      </x:c>
      <x:c r="M8" t="str">
        <x:v>Best GPT</x:v>
      </x:c>
      <x:c r="N8" s="34" t="n">
        <x:v>0.7105263157894737</x:v>
      </x:c>
      <x:c r="O8" s="34" t="n">
        <x:v>0.7755102040816326</x:v>
      </x:c>
    </x:row>
    <x:row r="9">
      <x:c r="A9" s="50" t="str">
        <x:v>Exclude Kyle-only</x:v>
      </x:c>
      <x:c r="B9" s="50" t="str">
        <x:v>GPT-5.6 Terra</x:v>
      </x:c>
      <x:c r="C9" s="50" t="str">
        <x:v>Direct target only</x:v>
      </x:c>
      <x:c r="D9" s="51" t="n">
        <x:v>0.08</x:v>
      </x:c>
      <x:c r="E9" s="52" t="n">
        <x:v>0.5882352941176471</x:v>
      </x:c>
      <x:c r="F9" s="52" t="n">
        <x:v>0.6818181818181818</x:v>
      </x:c>
      <x:c r="G9" s="52" t="n">
        <x:v>0.5984643179765131</x:v>
      </x:c>
      <x:c r="H9" s="52" t="str"/>
      <x:c r="I9" s="52" t="str"/>
      <x:c r="J9" s="52" t="str"/>
      <x:c r="K9" s="50" t="str"/>
      <x:c r="M9" t="str">
        <x:v>Baseline – no Kyle-only</x:v>
      </x:c>
      <x:c r="N9" s="34" t="n">
        <x:v>0.5882352941176471</x:v>
      </x:c>
      <x:c r="O9" s="34" t="n">
        <x:v>0.6818181818181818</x:v>
      </x:c>
    </x:row>
    <x:row r="10">
      <x:c r="A10" s="30" t="str">
        <x:v>Exclude Kyle-only</x:v>
      </x:c>
      <x:c r="B10" s="30" t="str">
        <x:v>GPT-5.6 Terra</x:v>
      </x:c>
      <x:c r="C10" s="30" t="str">
        <x:v>Codebook + examples + checklist</x:v>
      </x:c>
      <x:c r="D10" s="39" t="n">
        <x:v>0.06</x:v>
      </x:c>
      <x:c r="E10" s="35" t="n">
        <x:v>0.7352941176470589</x:v>
      </x:c>
      <x:c r="F10" s="35" t="n">
        <x:v>0.8</x:v>
      </x:c>
      <x:c r="G10" s="35" t="n">
        <x:v>0.7533875338753387</x:v>
      </x:c>
      <x:c r="H10" s="35" t="n">
        <x:f>E10-E9</x:f>
        <x:v>0.1470588235294118</x:v>
      </x:c>
      <x:c r="I10" s="35" t="n">
        <x:f>F10-F9</x:f>
        <x:v>0.11818181818181828</x:v>
      </x:c>
      <x:c r="J10" s="35" t="n">
        <x:f>G10-G9</x:f>
        <x:v>0.15492321589882563</x:v>
      </x:c>
      <x:c r="K10" s="30" t="str">
        <x:v>Best GPT</x:v>
      </x:c>
      <x:c r="M10" t="str">
        <x:v>Best GPT – no Kyle-only</x:v>
      </x:c>
      <x:c r="N10" s="34" t="n">
        <x:v>0.7352941176470589</x:v>
      </x:c>
      <x:c r="O10" s="34" t="n">
        <x:v>0.8</x:v>
      </x:c>
    </x:row>
    <x:row r="11">
      <x:c r="A11" s="50"/>
      <x:c r="B11" s="50"/>
      <x:c r="C11" s="50"/>
      <x:c r="D11" s="50"/>
      <x:c r="E11" s="50"/>
      <x:c r="F11" s="50"/>
      <x:c r="G11" s="50"/>
      <x:c r="H11" s="50"/>
      <x:c r="I11" s="50"/>
      <x:c r="J11" s="50"/>
      <x:c r="K11" s="50"/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  <x:c r="K12" s="50"/>
    </x:row>
    <x:row r="13">
      <x:c r="A13" s="53" t="str">
        <x:v>2. Best average configuration across all three models</x:v>
      </x:c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</x:row>
    <x:row r="14">
      <x:c r="A14" s="23" t="str">
        <x:v>Dataset</x:v>
      </x:c>
      <x:c r="B14" s="23" t="str">
        <x:v>Prompt</x:v>
      </x:c>
      <x:c r="C14" s="23" t="str">
        <x:v>Mean Accuracy</x:v>
      </x:c>
      <x:c r="D14" s="23" t="str">
        <x:v>Mean F1</x:v>
      </x:c>
      <x:c r="E14" s="23" t="str">
        <x:v>Mean AUROC</x:v>
      </x:c>
      <x:c r="F14" s="23" t="str">
        <x:v>Δ Accuracy</x:v>
      </x:c>
      <x:c r="G14" s="23" t="str">
        <x:v>Δ F1</x:v>
      </x:c>
      <x:c r="H14" s="23" t="str">
        <x:v>Δ AUROC</x:v>
      </x:c>
      <x:c r="I14" s="23" t="str">
        <x:v>Models</x:v>
      </x:c>
      <x:c r="J14" s="23" t="str">
        <x:v>Ranking basis</x:v>
      </x:c>
      <x:c r="K14" s="23" t="str">
        <x:v>Takeaway</x:v>
      </x:c>
    </x:row>
    <x:row r="15">
      <x:c r="A15" s="50" t="str">
        <x:v>All 76 rows</x:v>
      </x:c>
      <x:c r="B15" s="50" t="str">
        <x:v>Direct baseline</x:v>
      </x:c>
      <x:c r="C15" s="52" t="n">
        <x:v>0.5964912280701754</x:v>
      </x:c>
      <x:c r="D15" s="52" t="n">
        <x:v>0.7238614080248718</x:v>
      </x:c>
      <x:c r="E15" s="52" t="n">
        <x:v>0.6132850241545893</x:v>
      </x:c>
      <x:c r="F15" s="52" t="str"/>
      <x:c r="G15" s="52" t="str"/>
      <x:c r="H15" s="52" t="str"/>
      <x:c r="I15" s="50" t="n">
        <x:v>3</x:v>
      </x:c>
      <x:c r="J15" s="50" t="str"/>
      <x:c r="K15" s="50" t="str"/>
    </x:row>
    <x:row r="16">
      <x:c r="A16" s="30" t="str">
        <x:v>All 76 rows</x:v>
      </x:c>
      <x:c r="B16" s="30" t="str">
        <x:v>Codebook + examples + checklist</x:v>
      </x:c>
      <x:c r="C16" s="35" t="n">
        <x:v>0.6638217164532954</x:v>
      </x:c>
      <x:c r="D16" s="35" t="n">
        <x:v>0.7615702018512323</x:v>
      </x:c>
      <x:c r="E16" s="35" t="n">
        <x:v>0.6859903381642511</x:v>
      </x:c>
      <x:c r="F16" s="35" t="n">
        <x:f>C16-C15</x:f>
        <x:v>0.06733048838311995</x:v>
      </x:c>
      <x:c r="G16" s="35" t="n">
        <x:f>D16-D15</x:f>
        <x:v>0.0377087938263605</x:v>
      </x:c>
      <x:c r="H16" s="35" t="n">
        <x:f>E16-E15</x:f>
        <x:v>0.07270531400966185</x:v>
      </x:c>
      <x:c r="I16" s="30" t="n">
        <x:v>3</x:v>
      </x:c>
      <x:c r="J16" s="30" t="str">
        <x:v>Highest mean F1</x:v>
      </x:c>
      <x:c r="K16" s="30" t="str">
        <x:v>Best average prompt</x:v>
      </x:c>
    </x:row>
    <x:row r="17">
      <x:c r="A17" s="50" t="str">
        <x:v>Exclude Kyle-only</x:v>
      </x:c>
      <x:c r="B17" s="50" t="str">
        <x:v>Direct baseline</x:v>
      </x:c>
      <x:c r="C17" s="52" t="n">
        <x:v>0.6078431372549019</x:v>
      </x:c>
      <x:c r="D17" s="52" t="n">
        <x:v>0.732005507234865</x:v>
      </x:c>
      <x:c r="E17" s="52" t="n">
        <x:v>0.6305329719963866</x:v>
      </x:c>
      <x:c r="F17" s="52" t="str"/>
      <x:c r="G17" s="52" t="str"/>
      <x:c r="H17" s="52" t="str"/>
      <x:c r="I17" s="50" t="n">
        <x:v>3</x:v>
      </x:c>
      <x:c r="J17" s="50" t="str"/>
      <x:c r="K17" s="50" t="str"/>
    </x:row>
    <x:row r="18">
      <x:c r="A18" s="30" t="str">
        <x:v>Exclude Kyle-only</x:v>
      </x:c>
      <x:c r="B18" s="30" t="str">
        <x:v>Codebook + examples + checklist</x:v>
      </x:c>
      <x:c r="C18" s="35" t="n">
        <x:v>0.6932560903149139</x:v>
      </x:c>
      <x:c r="D18" s="35" t="n">
        <x:v>0.7842906647065001</x:v>
      </x:c>
      <x:c r="E18" s="35" t="n">
        <x:v>0.708915294281148</x:v>
      </x:c>
      <x:c r="F18" s="35" t="n">
        <x:f>C18-C17</x:f>
        <x:v>0.08541295306001195</x:v>
      </x:c>
      <x:c r="G18" s="35" t="n">
        <x:f>D18-D17</x:f>
        <x:v>0.05228515747163509</x:v>
      </x:c>
      <x:c r="H18" s="35" t="n">
        <x:f>E18-E17</x:f>
        <x:v>0.07838232228476139</x:v>
      </x:c>
      <x:c r="I18" s="30" t="n">
        <x:v>3</x:v>
      </x:c>
      <x:c r="J18" s="30" t="str">
        <x:v>Highest mean F1</x:v>
      </x:c>
      <x:c r="K18" s="30" t="str">
        <x:v>Best average prompt</x:v>
      </x:c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</x:row>
    <x:row r="21">
      <x:c r="A21" s="53" t="str">
        <x:v>Presentation headline</x:v>
      </x:c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</x:row>
    <x:row r="22">
      <x:c r="A22" s="45" t="str">
        <x:v>Best individual: GPT-5.6 Terra + codebook + examples + checklist at threshold 0.06 reached F1 77.6% and Accuracy 71.1%. After excluding Kyle-only rows: F1 80.0%, Accuracy 73.5%. The same prompt was also the best configuration on average across all three models.</x:v>
      </x:c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</x:row>
    <x:row r="26">
      <x:c r="A26" s="99" t="str">
        <x:v>3. Only OLD vs NEW gold comparison — three-model average</x:v>
      </x:c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</x:row>
    <x:row r="27">
      <x:c r="A27" s="82" t="str">
        <x:v>Gold definition</x:v>
      </x:c>
      <x:c r="B27" s="82" t="str">
        <x:v>Prompt</x:v>
      </x:c>
      <x:c r="C27" s="82" t="str">
        <x:v>Mean Accuracy</x:v>
      </x:c>
      <x:c r="D27" s="82" t="str">
        <x:v>Mean F1</x:v>
      </x:c>
      <x:c r="E27" s="82" t="str">
        <x:v>Mean AUROC</x:v>
      </x:c>
      <x:c r="F27" s="82" t="str">
        <x:v>Mean optimized threshold</x:v>
      </x:c>
      <x:c r="G27" s="82" t="str">
        <x:v>Interpretation</x:v>
      </x:c>
      <x:c r="H27" s="50"/>
      <x:c r="I27" s="50"/>
      <x:c r="J27" s="50"/>
      <x:c r="K27" s="50"/>
    </x:row>
    <x:row r="28" ht="24" customHeight="1">
      <x:c r="A28" s="50" t="str">
        <x:v>Old gold_unlearning</x:v>
      </x:c>
      <x:c r="B28" s="50" t="str">
        <x:v>Codebook + examples + checklist</x:v>
      </x:c>
      <x:c r="C28" s="52" t="n">
        <x:v>0.7166903745851114</x:v>
      </x:c>
      <x:c r="D28" s="52" t="n">
        <x:v>0.8224956036276792</x:v>
      </x:c>
      <x:c r="E28" s="52" t="n">
        <x:v>0.6411119744453078</x:v>
      </x:c>
      <x:c r="F28" s="51" t="n">
        <x:v>0.05333333333333334</x:v>
      </x:c>
      <x:c r="G28" s="50" t="str">
        <x:v>Historical gold labels</x:v>
      </x:c>
      <x:c r="H28" s="50"/>
      <x:c r="I28" s="50"/>
      <x:c r="J28" s="50"/>
      <x:c r="K28" s="50"/>
    </x:row>
    <x:row r="29" ht="24" customHeight="1">
      <x:c r="A29" s="89" t="str">
        <x:v>New gold_unlearning</x:v>
      </x:c>
      <x:c r="B29" s="89" t="str">
        <x:v>Codebook + examples + checklist</x:v>
      </x:c>
      <x:c r="C29" s="90" t="n">
        <x:v>0.6638217164532954</x:v>
      </x:c>
      <x:c r="D29" s="90" t="n">
        <x:v>0.7615702018512323</x:v>
      </x:c>
      <x:c r="E29" s="90" t="n">
        <x:v>0.6859903381642511</x:v>
      </x:c>
      <x:c r="F29" s="91" t="n">
        <x:v>0.08666666666666667</x:v>
      </x:c>
      <x:c r="G29" s="89" t="str">
        <x:v>Final revised gold labels</x:v>
      </x:c>
      <x:c r="H29" s="50"/>
      <x:c r="I29" s="50"/>
      <x:c r="J29" s="50"/>
      <x:c r="K29" s="50"/>
    </x:row>
    <x:row r="30" ht="24" customHeight="1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</x:row>
    <x:row r="31" ht="24" customHeight="1">
      <x:c r="A31" s="100" t="str">
        <x:v>Change (NEW − OLD)</x:v>
      </x:c>
      <x:c r="B31" s="100" t="str"/>
      <x:c r="C31" s="101" t="n">
        <x:f>C29-C28</x:f>
        <x:v>-0.05286865813181607</x:v>
      </x:c>
      <x:c r="D31" s="101" t="n">
        <x:f>D29-D28</x:f>
        <x:v>-0.0609254017764469</x:v>
      </x:c>
      <x:c r="E31" s="101" t="n">
        <x:f>E29-E28</x:f>
        <x:v>0.04487836371894338</x:v>
      </x:c>
      <x:c r="F31" s="102" t="n">
        <x:f>F29-F28</x:f>
        <x:v>0.03333333333333333</x:v>
      </x:c>
      <x:c r="G31" s="100" t="str"/>
      <x:c r="H31" s="50"/>
      <x:c r="I31" s="50"/>
      <x:c r="J31" s="50"/>
      <x:c r="K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</x:row>
    <x:row r="33" ht="26" customHeight="1">
      <x:c r="A33" s="98" t="str">
        <x:v>All other sheets use NEW gold_unlearning exclusively. Old gold is intentionally not used for document-level, labeler-level, Kyle-only sensitivity, A/B, threshold, or best-model results.</x:v>
      </x:c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</x:row>
    <x:row r="34" ht="26" customHeight="1">
      <x:c r="A34" s="98"/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</x:row>
  </x:sheetData>
  <x:mergeCells>
    <x:mergeCell ref="A1:K2"/>
    <x:mergeCell ref="A3:K3"/>
    <x:mergeCell ref="A5:K5"/>
    <x:mergeCell ref="A13:K13"/>
    <x:mergeCell ref="A21:K21"/>
    <x:mergeCell ref="A22:K24"/>
    <x:mergeCell ref="A26:K26"/>
    <x:mergeCell ref="A33:K34"/>
  </x:mergeCells>
  <x:pageMargins left="0.7" right="0.7" top="0.75" bottom="0.75" header="0.3" footer="0.3"/>
  <x:drawing xmlns:r="http://schemas.openxmlformats.org/officeDocument/2006/relationships" r:id="R32a0be0270e048a7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2" max="2" width="9" hidden="0" customWidth="1"/>
    <x:col min="9" max="9" width="9" hidden="0" customWidth="1"/>
  </x:cols>
  <x:sheetData>
    <x:row r="1">
      <x:c r="A1" s="4" t="str">
        <x:v>Best Average Prompt — Document Level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>
      <x:c r="A3" s="10" t="str">
        <x:v>NEW gold_unlearning only. Mean of GPT-5.6 Terra, Claude 4.5 Haiku, and Gemini 3.1 Flash-Lite using each model's optimized threshold. Best prompt: codebook + examples + checklist.</x:v>
      </x:c>
      <x:c r="B3" s="10"/>
      <x:c r="C3" s="10"/>
      <x:c r="D3" s="10"/>
      <x:c r="E3" s="10"/>
      <x:c r="F3" s="10"/>
      <x:c r="G3" s="10"/>
      <x:c r="H3" s="10"/>
      <x:c r="I3" s="10"/>
    </x:row>
    <x:row r="5">
      <x:c r="A5" s="23" t="str">
        <x:v>Document</x:v>
      </x:c>
      <x:c r="B5" s="23" t="str">
        <x:v>Models</x:v>
      </x:c>
      <x:c r="C5" s="23" t="str">
        <x:v>Accuracy — all</x:v>
      </x:c>
      <x:c r="D5" s="23" t="str">
        <x:v>F1 — all</x:v>
      </x:c>
      <x:c r="E5" s="23" t="str">
        <x:v>AUROC — all</x:v>
      </x:c>
      <x:c r="F5" s="23" t="str">
        <x:v>Accuracy — no Kyle-only</x:v>
      </x:c>
      <x:c r="G5" s="23" t="str">
        <x:v>F1 — no Kyle-only</x:v>
      </x:c>
      <x:c r="H5" s="23" t="str">
        <x:v>AUROC — no Kyle-only</x:v>
      </x:c>
      <x:c r="I5" s="23" t="str">
        <x:v>Models</x:v>
      </x:c>
      <x:c r="K5" t="str">
        <x:v>Document</x:v>
      </x:c>
      <x:c r="L5" t="str">
        <x:v>Accuracy</x:v>
      </x:c>
      <x:c r="M5" t="str">
        <x:v>F1</x:v>
      </x:c>
    </x:row>
    <x:row r="6">
      <x:c r="A6" t="str">
        <x:v>EPA</x:v>
      </x:c>
      <x:c r="B6" t="n">
        <x:v>3</x:v>
      </x:c>
      <x:c r="C6" s="34" t="n">
        <x:v>0.43939393939393934</x:v>
      </x:c>
      <x:c r="D6" s="34" t="n">
        <x:v>0.343694885361552</x:v>
      </x:c>
      <x:c r="E6" s="34" t="n">
        <x:v>0.4607843137254902</x:v>
      </x:c>
      <x:c r="F6" s="34" t="n">
        <x:v>0.4814814814814815</x:v>
      </x:c>
      <x:c r="G6" s="34" t="n">
        <x:v>0.3702204228520018</x:v>
      </x:c>
      <x:c r="H6" s="34" t="n">
        <x:v>0.6481481481481481</x:v>
      </x:c>
      <x:c r="I6" t="n">
        <x:v>3</x:v>
      </x:c>
      <x:c r="K6" t="str">
        <x:v>EPA</x:v>
      </x:c>
      <x:c r="L6" s="34" t="n">
        <x:v>0.43939393939393934</x:v>
      </x:c>
      <x:c r="M6" s="34" t="n">
        <x:v>0.343694885361552</x:v>
      </x:c>
    </x:row>
    <x:row r="7">
      <x:c r="A7" t="str">
        <x:v>ERP Report</x:v>
      </x:c>
      <x:c r="B7" t="n">
        <x:v>3</x:v>
      </x:c>
      <x:c r="C7" s="34" t="n">
        <x:v>0.7545787545787546</x:v>
      </x:c>
      <x:c r="D7" s="34" t="n">
        <x:v>0.8498550724637681</x:v>
      </x:c>
      <x:c r="E7" s="34" t="n">
        <x:v>0.49267676767676766</x:v>
      </x:c>
      <x:c r="F7" s="34" t="n">
        <x:v>0.7545787545787546</x:v>
      </x:c>
      <x:c r="G7" s="34" t="n">
        <x:v>0.8498550724637681</x:v>
      </x:c>
      <x:c r="H7" s="34" t="n">
        <x:v>0.49267676767676766</x:v>
      </x:c>
      <x:c r="I7" t="n">
        <x:v>3</x:v>
      </x:c>
      <x:c r="K7" t="str">
        <x:v>ERP Report</x:v>
      </x:c>
      <x:c r="L7" s="34" t="n">
        <x:v>0.7545787545787546</x:v>
      </x:c>
      <x:c r="M7" s="34" t="n">
        <x:v>0.8498550724637681</x:v>
      </x:c>
    </x:row>
    <x:row r="8">
      <x:c r="A8" t="str">
        <x:v>GAO</x:v>
      </x:c>
      <x:c r="B8" t="n">
        <x:v>3</x:v>
      </x:c>
      <x:c r="C8" s="34" t="n">
        <x:v>0.7619047619047619</x:v>
      </x:c>
      <x:c r="D8" s="34" t="n">
        <x:v>0.8632478632478633</x:v>
      </x:c>
      <x:c r="E8" s="34" t="n">
        <x:v>0.75</x:v>
      </x:c>
      <x:c r="F8" s="34" t="n">
        <x:v>1</x:v>
      </x:c>
      <x:c r="G8" s="34" t="n">
        <x:v>1</x:v>
      </x:c>
      <x:c r="H8" s="34"/>
      <x:c r="I8" t="n">
        <x:v>3</x:v>
      </x:c>
      <x:c r="K8" t="str">
        <x:v>GAO</x:v>
      </x:c>
      <x:c r="L8" s="34" t="n">
        <x:v>0.7619047619047619</x:v>
      </x:c>
      <x:c r="M8" s="34" t="n">
        <x:v>0.8632478632478633</x:v>
      </x:c>
    </x:row>
    <x:row r="9">
      <x:c r="A9" t="str">
        <x:v>Hurricane Katrina</x:v>
      </x:c>
      <x:c r="B9" t="n">
        <x:v>3</x:v>
      </x:c>
      <x:c r="C9" s="34" t="n">
        <x:v>0.6363636363636364</x:v>
      </x:c>
      <x:c r="D9" s="34" t="n">
        <x:v>0.7242063492063492</x:v>
      </x:c>
      <x:c r="E9" s="34" t="n">
        <x:v>0.8388888888888889</x:v>
      </x:c>
      <x:c r="F9" s="34" t="n">
        <x:v>0.6363636363636364</x:v>
      </x:c>
      <x:c r="G9" s="34" t="n">
        <x:v>0.7242063492063492</x:v>
      </x:c>
      <x:c r="H9" s="34" t="n">
        <x:v>0.8388888888888889</x:v>
      </x:c>
      <x:c r="I9" t="n">
        <x:v>3</x:v>
      </x:c>
      <x:c r="K9" t="str">
        <x:v>Hurricane Katrina</x:v>
      </x:c>
      <x:c r="L9" s="34" t="n">
        <x:v>0.6363636363636364</x:v>
      </x:c>
      <x:c r="M9" s="34" t="n">
        <x:v>0.7242063492063492</x:v>
      </x:c>
    </x:row>
    <x:row r="10">
      <x:c r="A10" t="str">
        <x:v>PAR</x:v>
      </x:c>
      <x:c r="B10" t="n">
        <x:v>3</x:v>
      </x:c>
      <x:c r="C10" s="34" t="n">
        <x:v>0.9166666666666666</x:v>
      </x:c>
      <x:c r="D10" s="34" t="n">
        <x:v>0.9523809523809523</x:v>
      </x:c>
      <x:c r="E10" s="34"/>
      <x:c r="F10" s="34" t="n">
        <x:v>0.9166666666666666</x:v>
      </x:c>
      <x:c r="G10" s="34" t="n">
        <x:v>0.9523809523809523</x:v>
      </x:c>
      <x:c r="H10" s="34"/>
      <x:c r="I10" t="n">
        <x:v>3</x:v>
      </x:c>
      <x:c r="K10" t="str">
        <x:v>PAR</x:v>
      </x:c>
      <x:c r="L10" s="34" t="n">
        <x:v>0.9166666666666666</x:v>
      </x:c>
      <x:c r="M10" s="34" t="n">
        <x:v>0.9523809523809523</x:v>
      </x:c>
    </x:row>
  </x:sheetData>
  <x:mergeCells>
    <x:mergeCell ref="A1:I2"/>
    <x:mergeCell ref="A3:I3"/>
  </x:mergeCells>
  <x:conditionalFormatting sqref="C6:H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202d9454fe344d04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2" max="2" width="9" hidden="0" customWidth="1"/>
    <x:col min="9" max="9" width="9" hidden="0" customWidth="1"/>
  </x:cols>
  <x:sheetData>
    <x:row r="1">
      <x:c r="A1" s="4" t="str">
        <x:v>Best Average Prompt — Original Labeler Level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>
      <x:c r="A3" s="10" t="str">
        <x:v>NEW gold_unlearning only. Mean across all three models, grouped by original gold-label source; Kyle-only sensitivity is shown side-by-side.</x:v>
      </x:c>
      <x:c r="B3" s="10"/>
      <x:c r="C3" s="10"/>
      <x:c r="D3" s="10"/>
      <x:c r="E3" s="10"/>
      <x:c r="F3" s="10"/>
      <x:c r="G3" s="10"/>
      <x:c r="H3" s="10"/>
      <x:c r="I3" s="10"/>
    </x:row>
    <x:row r="5">
      <x:c r="A5" s="23" t="str">
        <x:v>Original labeler</x:v>
      </x:c>
      <x:c r="B5" s="23" t="str">
        <x:v>Models</x:v>
      </x:c>
      <x:c r="C5" s="23" t="str">
        <x:v>Accuracy — all</x:v>
      </x:c>
      <x:c r="D5" s="23" t="str">
        <x:v>F1 — all</x:v>
      </x:c>
      <x:c r="E5" s="23" t="str">
        <x:v>AUROC — all</x:v>
      </x:c>
      <x:c r="F5" s="23" t="str">
        <x:v>Accuracy — no Kyle-only</x:v>
      </x:c>
      <x:c r="G5" s="23" t="str">
        <x:v>F1 — no Kyle-only</x:v>
      </x:c>
      <x:c r="H5" s="23" t="str">
        <x:v>AUROC — no Kyle-only</x:v>
      </x:c>
      <x:c r="I5" s="23" t="str">
        <x:v>Models</x:v>
      </x:c>
    </x:row>
    <x:row r="6">
      <x:c r="A6" t="str">
        <x:v>Anmol</x:v>
      </x:c>
      <x:c r="B6" t="n">
        <x:v>3</x:v>
      </x:c>
      <x:c r="C6" s="34" t="n">
        <x:v>0.7449747194475275</x:v>
      </x:c>
      <x:c r="D6" s="34" t="n">
        <x:v>0.8421615411806291</x:v>
      </x:c>
      <x:c r="E6" s="34" t="n">
        <x:v>0.625012375012375</x:v>
      </x:c>
      <x:c r="F6" s="34" t="n">
        <x:v>0.7449747194475275</x:v>
      </x:c>
      <x:c r="G6" s="34" t="n">
        <x:v>0.8421615411806291</x:v>
      </x:c>
      <x:c r="H6" s="34" t="n">
        <x:v>0.625012375012375</x:v>
      </x:c>
      <x:c r="I6" t="n">
        <x:v>3</x:v>
      </x:c>
    </x:row>
    <x:row r="7">
      <x:c r="A7" t="str">
        <x:v>Kyle</x:v>
      </x:c>
      <x:c r="B7" t="n">
        <x:v>3</x:v>
      </x:c>
      <x:c r="C7" s="34" t="n">
        <x:v>0.5</x:v>
      </x:c>
      <x:c r="D7" s="34" t="n">
        <x:v>0.5712250712250713</x:v>
      </x:c>
      <x:c r="E7" s="34" t="n">
        <x:v>0.4222222222222222</x:v>
      </x:c>
      <x:c r="F7" s="34"/>
      <x:c r="G7" s="34"/>
      <x:c r="H7" s="34"/>
      <x:c r="I7"/>
    </x:row>
    <x:row r="8">
      <x:c r="A8" t="str">
        <x:v>Prerana</x:v>
      </x:c>
      <x:c r="B8" t="n">
        <x:v>3</x:v>
      </x:c>
      <x:c r="C8" s="34" t="n">
        <x:v>0.4615384615384615</x:v>
      </x:c>
      <x:c r="D8" s="34" t="n">
        <x:v>0.3388888888888889</x:v>
      </x:c>
      <x:c r="E8" s="34" t="n">
        <x:v>0.7272727272727273</x:v>
      </x:c>
      <x:c r="F8" s="34" t="n">
        <x:v>0.5128205128205128</x:v>
      </x:c>
      <x:c r="G8" s="34" t="n">
        <x:v>0.3525641025641026</x:v>
      </x:c>
      <x:c r="H8" s="34" t="n">
        <x:v>0.7272727272727273</x:v>
      </x:c>
      <x:c r="I8" t="n">
        <x:v>3</x:v>
      </x:c>
    </x:row>
    <x:row r="9">
      <x:c r="A9" t="str">
        <x:v>Unassigned human labeler</x:v>
      </x:c>
      <x:c r="B9" t="n">
        <x:v>3</x:v>
      </x:c>
      <x:c r="C9" s="34" t="n">
        <x:v>0.5</x:v>
      </x:c>
      <x:c r="D9" s="34" t="n">
        <x:v>0</x:v>
      </x:c>
      <x:c r="E9" s="34"/>
      <x:c r="F9" s="34" t="n">
        <x:v>0.5</x:v>
      </x:c>
      <x:c r="G9" s="34" t="n">
        <x:v>0</x:v>
      </x:c>
      <x:c r="H9" s="34"/>
      <x:c r="I9" t="n">
        <x:v>3</x:v>
      </x:c>
    </x:row>
  </x:sheetData>
  <x:mergeCells>
    <x:mergeCell ref="A1:I2"/>
    <x:mergeCell ref="A3:I3"/>
  </x:mergeCells>
  <x:conditionalFormatting sqref="C6:H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16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4" t="str">
        <x:v>A/B Test Conclusions and Thresholds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10" t="str">
        <x:v>NEW gold_unlearning only. A/B deltas are averaged across all three models using optimized thresholds. Positive deltas favor the treatment.</x:v>
      </x:c>
      <x:c r="B3" s="10"/>
      <x:c r="C3" s="10"/>
      <x:c r="D3" s="10"/>
      <x:c r="E3" s="10"/>
      <x:c r="F3" s="10"/>
      <x:c r="G3" s="10"/>
    </x:row>
    <x:row r="5">
      <x:c r="A5" s="53" t="str">
        <x:v>A/B tests — all 76 rows</x:v>
      </x:c>
      <x:c r="B5" s="53"/>
      <x:c r="C5" s="53"/>
      <x:c r="D5" s="53"/>
      <x:c r="E5" s="53"/>
      <x:c r="F5" s="53"/>
      <x:c r="G5" s="53"/>
    </x:row>
    <x:row r="6">
      <x:c r="A6" s="23" t="str">
        <x:v>Test</x:v>
      </x:c>
      <x:c r="B6" s="23" t="str">
        <x:v>Mean Δ Accuracy</x:v>
      </x:c>
      <x:c r="C6" s="23" t="str">
        <x:v>Mean Δ F1</x:v>
      </x:c>
      <x:c r="D6" s="23" t="str">
        <x:v>Conclusion</x:v>
      </x:c>
      <x:c r="E6" s="50"/>
      <x:c r="F6" s="50"/>
      <x:c r="G6" s="50"/>
    </x:row>
    <x:row r="7">
      <x:c r="A7" s="30" t="str">
        <x:v>Full configuration vs direct baseline</x:v>
      </x:c>
      <x:c r="B7" s="35" t="n">
        <x:v>0.06733048838311999</x:v>
      </x:c>
      <x:c r="C7" s="35" t="n">
        <x:v>0.037708793826360464</x:v>
      </x:c>
      <x:c r="D7" s="30" t="str">
        <x:v>Worked</x:v>
      </x:c>
      <x:c r="E7" s="50"/>
      <x:c r="F7" s="50"/>
      <x:c r="G7" s="50"/>
    </x:row>
    <x:row r="8">
      <x:c r="A8" s="30" t="str">
        <x:v>Checklist effect (with examples)</x:v>
      </x:c>
      <x:c r="B8" s="35" t="n">
        <x:v>0.01908487434803226</x:v>
      </x:c>
      <x:c r="C8" s="35" t="n">
        <x:v>0.032766301134897015</x:v>
      </x:c>
      <x:c r="D8" s="30" t="str">
        <x:v>Worked</x:v>
      </x:c>
      <x:c r="E8" s="50"/>
      <x:c r="F8" s="50"/>
      <x:c r="G8" s="50"/>
    </x:row>
    <x:row r="9">
      <x:c r="A9" s="30" t="str">
        <x:v>Examples effect (with checklist)</x:v>
      </x:c>
      <x:c r="B9" s="35" t="n">
        <x:v>0.029377272008850947</x:v>
      </x:c>
      <x:c r="C9" s="35" t="n">
        <x:v>0.02207261480368161</x:v>
      </x:c>
      <x:c r="D9" s="30" t="str">
        <x:v>Worked</x:v>
      </x:c>
      <x:c r="E9" s="50"/>
      <x:c r="F9" s="50"/>
      <x:c r="G9" s="50"/>
    </x:row>
    <x:row r="10">
      <x:c r="A10" s="50" t="str">
        <x:v>Checklist effect (without examples)</x:v>
      </x:c>
      <x:c r="B10" s="52" t="n">
        <x:v>0.013099415204678388</x:v>
      </x:c>
      <x:c r="C10" s="52" t="n">
        <x:v>0.006283282010489592</x:v>
      </x:c>
      <x:c r="D10" s="50" t="str">
        <x:v>Small / mixed gain</x:v>
      </x:c>
      <x:c r="E10" s="50"/>
      <x:c r="F10" s="50"/>
      <x:c r="G10" s="50"/>
    </x:row>
    <x:row r="11">
      <x:c r="A11" s="66" t="str">
        <x:v>Examples effect (without checklist)</x:v>
      </x:c>
      <x:c r="B11" s="67" t="n">
        <x:v>0.023391812865497075</x:v>
      </x:c>
      <x:c r="C11" s="67" t="n">
        <x:v>-0.004410404320725814</x:v>
      </x:c>
      <x:c r="D11" s="66" t="str">
        <x:v>Did not improve F1</x:v>
      </x:c>
      <x:c r="E11" s="50"/>
      <x:c r="F11" s="50"/>
      <x:c r="G11" s="50"/>
    </x:row>
    <x:row r="12">
      <x:c r="A12" s="50"/>
      <x:c r="B12" s="50"/>
      <x:c r="C12" s="50"/>
      <x:c r="D12" s="50"/>
      <x:c r="E12" s="50"/>
      <x:c r="F12" s="50"/>
      <x:c r="G12" s="50"/>
    </x:row>
    <x:row r="13">
      <x:c r="A13" s="50"/>
      <x:c r="B13" s="50"/>
      <x:c r="C13" s="50"/>
      <x:c r="D13" s="50"/>
      <x:c r="E13" s="50"/>
      <x:c r="F13" s="50"/>
      <x:c r="G13" s="50"/>
    </x:row>
    <x:row r="14">
      <x:c r="A14" s="53" t="str">
        <x:v>A/B tests — after excluding Kyle-only rows</x:v>
      </x:c>
      <x:c r="B14" s="53"/>
      <x:c r="C14" s="53"/>
      <x:c r="D14" s="53"/>
      <x:c r="E14" s="53"/>
      <x:c r="F14" s="53"/>
      <x:c r="G14" s="53"/>
    </x:row>
    <x:row r="15">
      <x:c r="A15" s="23" t="str">
        <x:v>Test</x:v>
      </x:c>
      <x:c r="B15" s="23" t="str">
        <x:v>Mean Δ Accuracy</x:v>
      </x:c>
      <x:c r="C15" s="23" t="str">
        <x:v>Mean Δ F1</x:v>
      </x:c>
      <x:c r="D15" s="23" t="str">
        <x:v>Conclusion</x:v>
      </x:c>
      <x:c r="E15" s="50"/>
      <x:c r="F15" s="50"/>
      <x:c r="G15" s="50"/>
    </x:row>
    <x:row r="16">
      <x:c r="A16" s="30" t="str">
        <x:v>Full configuration vs direct baseline</x:v>
      </x:c>
      <x:c r="B16" s="35" t="n">
        <x:v>0.08541295306001191</x:v>
      </x:c>
      <x:c r="C16" s="35" t="n">
        <x:v>0.052285157471635056</x:v>
      </x:c>
      <x:c r="D16" s="30" t="str">
        <x:v>Worked</x:v>
      </x:c>
      <x:c r="E16" s="50"/>
      <x:c r="F16" s="50"/>
      <x:c r="G16" s="50"/>
    </x:row>
    <x:row r="17">
      <x:c r="A17" s="30" t="str">
        <x:v>Checklist effect (with examples)</x:v>
      </x:c>
      <x:c r="B17" s="35" t="n">
        <x:v>0.036393345216874616</x:v>
      </x:c>
      <x:c r="C17" s="35" t="n">
        <x:v>0.0428592566084253</x:v>
      </x:c>
      <x:c r="D17" s="30" t="str">
        <x:v>Worked</x:v>
      </x:c>
      <x:c r="E17" s="50"/>
      <x:c r="F17" s="50"/>
      <x:c r="G17" s="50"/>
    </x:row>
    <x:row r="18">
      <x:c r="A18" s="30" t="str">
        <x:v>Examples effect (with checklist)</x:v>
      </x:c>
      <x:c r="B18" s="35" t="n">
        <x:v>0.03295465630847546</x:v>
      </x:c>
      <x:c r="C18" s="35" t="n">
        <x:v>0.024274960311534532</x:v>
      </x:c>
      <x:c r="D18" s="30" t="str">
        <x:v>Worked</x:v>
      </x:c>
      <x:c r="E18" s="50"/>
      <x:c r="F18" s="50"/>
      <x:c r="G18" s="50"/>
    </x:row>
    <x:row r="19">
      <x:c r="A19" s="30" t="str">
        <x:v>Checklist effect (without examples)</x:v>
      </x:c>
      <x:c r="B19" s="35" t="n">
        <x:v>0.029558091893473804</x:v>
      </x:c>
      <x:c r="C19" s="35" t="n">
        <x:v>0.015050995920762644</x:v>
      </x:c>
      <x:c r="D19" s="30" t="str">
        <x:v>Worked</x:v>
      </x:c>
      <x:c r="E19" s="50"/>
      <x:c r="F19" s="50"/>
      <x:c r="G19" s="50"/>
    </x:row>
    <x:row r="20">
      <x:c r="A20" s="66" t="str">
        <x:v>Examples effect (without checklist)</x:v>
      </x:c>
      <x:c r="B20" s="67" t="n">
        <x:v>0.026119402985074647</x:v>
      </x:c>
      <x:c r="C20" s="67" t="n">
        <x:v>-0.003533300376128127</x:v>
      </x:c>
      <x:c r="D20" s="66" t="str">
        <x:v>Did not improve F1</x:v>
      </x:c>
      <x:c r="E20" s="50"/>
      <x:c r="F20" s="50"/>
      <x:c r="G20" s="50"/>
    </x:row>
    <x:row r="21">
      <x:c r="A21" s="50"/>
      <x:c r="B21" s="50"/>
      <x:c r="C21" s="50"/>
      <x:c r="D21" s="50"/>
      <x:c r="E21" s="50"/>
      <x:c r="F21" s="50"/>
      <x:c r="G21" s="50"/>
    </x:row>
    <x:row r="22">
      <x:c r="A22" s="50"/>
      <x:c r="B22" s="50"/>
      <x:c r="C22" s="50"/>
      <x:c r="D22" s="50"/>
      <x:c r="E22" s="50"/>
      <x:c r="F22" s="50"/>
      <x:c r="G22" s="50"/>
    </x:row>
    <x:row r="23">
      <x:c r="A23" s="53" t="str">
        <x:v>Optimized thresholds for the best prompt</x:v>
      </x:c>
      <x:c r="B23" s="53"/>
      <x:c r="C23" s="53"/>
      <x:c r="D23" s="53"/>
      <x:c r="E23" s="53"/>
      <x:c r="F23" s="53"/>
      <x:c r="G23" s="53"/>
    </x:row>
    <x:row r="24">
      <x:c r="A24" s="23" t="str">
        <x:v>Dataset</x:v>
      </x:c>
      <x:c r="B24" s="23" t="str">
        <x:v>Model</x:v>
      </x:c>
      <x:c r="C24" s="23" t="str">
        <x:v>Threshold</x:v>
      </x:c>
      <x:c r="D24" s="23" t="str">
        <x:v>Accuracy</x:v>
      </x:c>
      <x:c r="E24" s="23" t="str">
        <x:v>F1</x:v>
      </x:c>
      <x:c r="F24" s="23" t="str">
        <x:v>AUROC</x:v>
      </x:c>
      <x:c r="G24" s="50"/>
    </x:row>
    <x:row r="25">
      <x:c r="A25" s="50" t="str">
        <x:v>All 76 rows</x:v>
      </x:c>
      <x:c r="B25" s="50" t="str">
        <x:v>GPT-5.6 Terra</x:v>
      </x:c>
      <x:c r="C25" s="51" t="n">
        <x:v>0.06</x:v>
      </x:c>
      <x:c r="D25" s="52" t="n">
        <x:v>0.7105263157894737</x:v>
      </x:c>
      <x:c r="E25" s="52" t="n">
        <x:v>0.7755102040816326</x:v>
      </x:c>
      <x:c r="F25" s="52" t="n">
        <x:v>0.7166666666666667</x:v>
      </x:c>
      <x:c r="G25" s="50"/>
    </x:row>
    <x:row r="26">
      <x:c r="A26" s="50" t="str">
        <x:v>All 76 rows</x:v>
      </x:c>
      <x:c r="B26" s="50" t="str">
        <x:v>Claude 4.5 Haiku</x:v>
      </x:c>
      <x:c r="C26" s="51" t="n">
        <x:v>0.05</x:v>
      </x:c>
      <x:c r="D26" s="52" t="n">
        <x:v>0.6052631578947368</x:v>
      </x:c>
      <x:c r="E26" s="52" t="n">
        <x:v>0.7540983606557377</x:v>
      </x:c>
      <x:c r="F26" s="52" t="n">
        <x:v>0.6663043478260869</x:v>
      </x:c>
      <x:c r="G26" s="50"/>
    </x:row>
    <x:row r="27">
      <x:c r="A27" s="50" t="str">
        <x:v>All 76 rows</x:v>
      </x:c>
      <x:c r="B27" s="50" t="str">
        <x:v>Gemini 3.1 Flash-Lite</x:v>
      </x:c>
      <x:c r="C27" s="51" t="n">
        <x:v>0.15</x:v>
      </x:c>
      <x:c r="D27" s="52" t="n">
        <x:v>0.6756756756756757</x:v>
      </x:c>
      <x:c r="E27" s="52" t="n">
        <x:v>0.7551020408163265</x:v>
      </x:c>
      <x:c r="F27" s="52" t="n">
        <x:v>0.6749999999999998</x:v>
      </x:c>
      <x:c r="G27" s="50"/>
    </x:row>
    <x:row r="28">
      <x:c r="A28" s="50" t="str">
        <x:v>Exclude Kyle-only</x:v>
      </x:c>
      <x:c r="B28" s="50" t="str">
        <x:v>GPT-5.6 Terra</x:v>
      </x:c>
      <x:c r="C28" s="51" t="n">
        <x:v>0.06</x:v>
      </x:c>
      <x:c r="D28" s="52" t="n">
        <x:v>0.7352941176470589</x:v>
      </x:c>
      <x:c r="E28" s="52" t="n">
        <x:v>0.8</x:v>
      </x:c>
      <x:c r="F28" s="52" t="n">
        <x:v>0.7533875338753387</x:v>
      </x:c>
      <x:c r="G28" s="50"/>
    </x:row>
    <x:row r="29">
      <x:c r="A29" s="50" t="str">
        <x:v>Exclude Kyle-only</x:v>
      </x:c>
      <x:c r="B29" s="50" t="str">
        <x:v>Claude 4.5 Haiku</x:v>
      </x:c>
      <x:c r="C29" s="51" t="n">
        <x:v>0.15</x:v>
      </x:c>
      <x:c r="D29" s="52" t="n">
        <x:v>0.6323529411764706</x:v>
      </x:c>
      <x:c r="E29" s="52" t="n">
        <x:v>0.7663551401869159</x:v>
      </x:c>
      <x:c r="F29" s="52" t="n">
        <x:v>0.6824751580849142</x:v>
      </x:c>
      <x:c r="G29" s="50"/>
    </x:row>
    <x:row r="30">
      <x:c r="A30" s="50" t="str">
        <x:v>Exclude Kyle-only</x:v>
      </x:c>
      <x:c r="B30" s="50" t="str">
        <x:v>Gemini 3.1 Flash-Lite</x:v>
      </x:c>
      <x:c r="C30" s="51" t="n">
        <x:v>0.15</x:v>
      </x:c>
      <x:c r="D30" s="52" t="n">
        <x:v>0.7121212121212122</x:v>
      </x:c>
      <x:c r="E30" s="52" t="n">
        <x:v>0.7865168539325843</x:v>
      </x:c>
      <x:c r="F30" s="52" t="n">
        <x:v>0.690883190883191</x:v>
      </x:c>
      <x:c r="G30" s="50"/>
    </x:row>
    <x:row r="31">
      <x:c r="A31" s="50"/>
      <x:c r="B31" s="50"/>
      <x:c r="C31" s="50"/>
      <x:c r="D31" s="50"/>
      <x:c r="E31" s="50"/>
      <x:c r="F31" s="50"/>
      <x:c r="G31" s="50"/>
    </x:row>
    <x:row r="32">
      <x:c r="A32" s="50"/>
      <x:c r="B32" s="50"/>
      <x:c r="C32" s="50"/>
      <x:c r="D32" s="50"/>
      <x:c r="E32" s="50"/>
      <x:c r="F32" s="50"/>
      <x:c r="G32" s="50"/>
    </x:row>
    <x:row r="33">
      <x:c r="A33" s="45" t="str">
        <x:v>Main A/B conclusion: the full configuration (codebook + examples + checklist) was the strongest overall. The checklist consistently helped, especially when examples were present. Examples alone without the checklist increased mean accuracy slightly but did not improve mean F1, so that A/B change was not consistently beneficial. Threshold tuning was crucial: the best GPT result used 0.06 rather than 0.50.</x:v>
      </x:c>
      <x:c r="B33" s="45"/>
      <x:c r="C33" s="45"/>
      <x:c r="D33" s="45"/>
      <x:c r="E33" s="45"/>
      <x:c r="F33" s="45"/>
      <x:c r="G33" s="45"/>
    </x:row>
    <x:row r="34">
      <x:c r="A34" s="45"/>
      <x:c r="B34" s="45"/>
      <x:c r="C34" s="45"/>
      <x:c r="D34" s="45"/>
      <x:c r="E34" s="45"/>
      <x:c r="F34" s="45"/>
      <x:c r="G34" s="45"/>
    </x:row>
    <x:row r="35">
      <x:c r="A35" s="45"/>
      <x:c r="B35" s="45"/>
      <x:c r="C35" s="45"/>
      <x:c r="D35" s="45"/>
      <x:c r="E35" s="45"/>
      <x:c r="F35" s="45"/>
      <x:c r="G35" s="45"/>
    </x:row>
    <x:row r="36">
      <x:c r="A36" s="45"/>
      <x:c r="B36" s="45"/>
      <x:c r="C36" s="45"/>
      <x:c r="D36" s="45"/>
      <x:c r="E36" s="45"/>
      <x:c r="F36" s="45"/>
      <x:c r="G36" s="45"/>
    </x:row>
  </x:sheetData>
  <x:mergeCells>
    <x:mergeCell ref="A1:G2"/>
    <x:mergeCell ref="A3:G3"/>
    <x:mergeCell ref="A5:G5"/>
    <x:mergeCell ref="A14:G14"/>
    <x:mergeCell ref="A23:G23"/>
    <x:mergeCell ref="A33:G36"/>
  </x:mergeCells>
  <x:pageMargins left="0.7" right="0.7" top="0.75" bottom="0.75" header="0.3" footer="0.3"/>
</x:worksheet>
</file>
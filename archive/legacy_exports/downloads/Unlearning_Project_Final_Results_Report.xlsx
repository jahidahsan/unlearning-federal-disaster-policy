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tables/table4.xml" ContentType="application/vnd.openxmlformats-officedocument.spreadsheetml.table+xml"/>
  <Override PartName="/xl/worksheets/sheet6.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tables/table5.xml" ContentType="application/vnd.openxmlformats-officedocument.spreadsheetml.table+xml"/>
  <Override PartName="/xl/worksheets/sheet7.xml" ContentType="application/vnd.openxmlformats-officedocument.spreadsheetml.worksheet+xml"/>
  <Override PartName="/xl/drawings/drawing4.xml" ContentType="application/vnd.openxmlformats-officedocument.drawing+xml"/>
  <Override PartName="/xl/drawings/charts/chart5.xml" ContentType="application/vnd.openxmlformats-officedocument.drawingml.char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9.xml" ContentType="application/vnd.openxmlformats-officedocument.spreadsheetml.worksheet+xml"/>
  <Override PartName="/xl/drawings/drawing5.xml" ContentType="application/vnd.openxmlformats-officedocument.drawing+xml"/>
  <Override PartName="/xl/drawings/charts/chart6.xml" ContentType="application/vnd.openxmlformats-officedocument.drawingml.chart+xml"/>
  <Override PartName="/xl/tables/table9.xml" ContentType="application/vnd.openxmlformats-officedocument.spreadsheetml.table+xml"/>
  <Override PartName="/xl/tables/table10.xml" ContentType="application/vnd.openxmlformats-officedocument.spreadsheetml.table+xml"/>
  <Override PartName="/xl/worksheets/sheet10.xml" ContentType="application/vnd.openxmlformats-officedocument.spreadsheetml.worksheet+xml"/>
  <Override PartName="/xl/drawings/drawing6.xml" ContentType="application/vnd.openxmlformats-officedocument.drawing+xml"/>
  <Override PartName="/xl/drawings/charts/chart7.xml" ContentType="application/vnd.openxmlformats-officedocument.drawingml.char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sheets/sheet11.xml" ContentType="application/vnd.openxmlformats-officedocument.spreadsheetml.worksheet+xml"/>
  <Override PartName="/xl/drawings/drawing7.xml" ContentType="application/vnd.openxmlformats-officedocument.drawing+xml"/>
  <Override PartName="/xl/drawings/charts/chart8.xml" ContentType="application/vnd.openxmlformats-officedocument.drawingml.chart+xml"/>
  <Override PartName="/xl/tables/table14.xml" ContentType="application/vnd.openxmlformats-officedocument.spreadsheetml.table+xml"/>
  <Override PartName="/xl/tables/table15.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18f218cff44916" /></Relationships>
</file>

<file path=xl/workbook.xml><?xml version="1.0" encoding="utf-8"?>
<x:workbook xmlns:x="http://schemas.openxmlformats.org/spreadsheetml/2006/main">
  <x:sheets>
    <x:sheet xmlns:r="http://schemas.openxmlformats.org/officeDocument/2006/relationships" name="00 README" sheetId="1" r:id="Re71d2bf7c3cc46d8"/>
    <x:sheet xmlns:r="http://schemas.openxmlformats.org/officeDocument/2006/relationships" name="Dashboard" sheetId="2" r:id="Rc07082c56a914dfc"/>
    <x:sheet xmlns:r="http://schemas.openxmlformats.org/officeDocument/2006/relationships" name="Version Overview" sheetId="3" r:id="R2a0db2bd59864d32"/>
    <x:sheet xmlns:r="http://schemas.openxmlformats.org/officeDocument/2006/relationships" name="v2 Early Pilot" sheetId="4" r:id="Ra1982ef9ccb84088"/>
    <x:sheet xmlns:r="http://schemas.openxmlformats.org/officeDocument/2006/relationships" name="v3 Prompt Parity" sheetId="5" r:id="Rdc96097be21a4d88"/>
    <x:sheet xmlns:r="http://schemas.openxmlformats.org/officeDocument/2006/relationships" name="v4 Model Grid" sheetId="6" r:id="R6535a57078a84577"/>
    <x:sheet xmlns:r="http://schemas.openxmlformats.org/officeDocument/2006/relationships" name="v5 Mixed Benchmark" sheetId="7" r:id="R258b26c470ae4381"/>
    <x:sheet xmlns:r="http://schemas.openxmlformats.org/officeDocument/2006/relationships" name="v6 Local Context" sheetId="8" r:id="R1c10893784f64630"/>
    <x:sheet xmlns:r="http://schemas.openxmlformats.org/officeDocument/2006/relationships" name="Cleaned Benchmark" sheetId="9" r:id="Ra2a37b1ec8804e31"/>
    <x:sheet xmlns:r="http://schemas.openxmlformats.org/officeDocument/2006/relationships" name="Reliability" sheetId="10" r:id="R4d1c49b4c3af41c6"/>
    <x:sheet xmlns:r="http://schemas.openxmlformats.org/officeDocument/2006/relationships" name="Production Run" sheetId="11" r:id="R57492445db56492e"/>
    <x:sheet xmlns:r="http://schemas.openxmlformats.org/officeDocument/2006/relationships" name="Codebook Comparison" sheetId="12" r:id="R9cab0fa6a50a438a"/>
    <x:sheet xmlns:r="http://schemas.openxmlformats.org/officeDocument/2006/relationships" name="Metric Guide &amp; Insights" sheetId="13" r:id="Ref814de780cc44cc"/>
    <x:sheet xmlns:r="http://schemas.openxmlformats.org/officeDocument/2006/relationships" name="Sources" sheetId="14" r:id="Rb0198802d276404e"/>
  </x:sheets>
</x:workbook>
</file>

<file path=xl/sharedStrings.xml><?xml version="1.0" encoding="utf-8"?>
<x:sst xmlns:x="http://schemas.openxmlformats.org/spreadsheetml/2006/main">
  <x:si>
    <x:t xml:space="preserve">Sheet</x:t>
  </x:si>
  <x:si>
    <x:t xml:space="preserve">Purpose</x:t>
  </x:si>
  <x:si>
    <x:t xml:space="preserve">Dashboard</x:t>
  </x:si>
  <x:si>
    <x:t xml:space="preserve">Best cleaned strategies, key metrics, and production agreement</x:t>
  </x:si>
  <x:si>
    <x:t xml:space="preserve">Version Overview</x:t>
  </x:si>
  <x:si>
    <x:t xml:space="preserve">Side-by-side description of every experiment</x:t>
  </x:si>
  <x:si>
    <x:t xml:space="preserve">v2 Early Pilot</x:t>
  </x:si>
  <x:si>
    <x:t xml:space="preserve">Initial OpenAI prompt results and partial provider coverage</x:t>
  </x:si>
  <x:si>
    <x:t xml:space="preserve">v3 Prompt Parity</x:t>
  </x:si>
  <x:si>
    <x:t xml:space="preserve">Controlled 11-row prompt comparison</x:t>
  </x:si>
  <x:si>
    <x:t xml:space="preserve">v4 Model Grid</x:t>
  </x:si>
  <x:si>
    <x:t xml:space="preserve">Prompt-level summary across complete model groups</x:t>
  </x:si>
  <x:si>
    <x:t xml:space="preserve">v5 Mixed Benchmark</x:t>
  </x:si>
  <x:si>
    <x:t xml:space="preserve">Five-model, 49-row definitions-only benchmark</x:t>
  </x:si>
  <x:si>
    <x:t xml:space="preserve">v6 Local Context</x:t>
  </x:si>
  <x:si>
    <x:t xml:space="preserve">Three-provider, 42-row current-codebook context test</x:t>
  </x:si>
  <x:si>
    <x:t xml:space="preserve">Cleaned Benchmark</x:t>
  </x:si>
  <x:si>
    <x:t xml:space="preserve">Cleaned 12-condition provider/strategy comparison</x:t>
  </x:si>
  <x:si>
    <x:t xml:space="preserve">Reliability</x:t>
  </x:si>
  <x:si>
    <x:t xml:space="preserve">Model–human and model–model agreement statistics</x:t>
  </x:si>
  <x:si>
    <x:t xml:space="preserve">Production Run</x:t>
  </x:si>
  <x:si>
    <x:t xml:space="preserve">New-document paragraph labeling and annotation results</x:t>
  </x:si>
  <x:si>
    <x:t xml:space="preserve">Provider</x:t>
  </x:si>
  <x:si>
    <x:t xml:space="preserve">Model</x:t>
  </x:si>
  <x:si>
    <x:t xml:space="preserve">Best strategy</x:t>
  </x:si>
  <x:si>
    <x:t xml:space="preserve">Clean N</x:t>
  </x:si>
  <x:si>
    <x:t xml:space="preserve">Accuracy</x:t>
  </x:si>
  <x:si>
    <x:t xml:space="preserve">F1</x:t>
  </x:si>
  <x:si>
    <x:t xml:space="preserve">Cohen κ vs human</x:t>
  </x:si>
  <x:si>
    <x:t xml:space="preserve">OpenAI</x:t>
  </x:si>
  <x:si>
    <x:t xml:space="preserve">GPT-5.6 Terra</x:t>
  </x:si>
  <x:si>
    <x:t xml:space="preserve">Definitions + examples</x:t>
  </x:si>
  <x:si>
    <x:t xml:space="preserve">Google</x:t>
  </x:si>
  <x:si>
    <x:t xml:space="preserve">Gemini 3.1 Flash Lite</x:t>
  </x:si>
  <x:si>
    <x:t xml:space="preserve">Direct</x:t>
  </x:si>
  <x:si>
    <x:t xml:space="preserve">Anthropic</x:t>
  </x:si>
  <x:si>
    <x:t xml:space="preserve">Claude Sonnet 5</x:t>
  </x:si>
  <x:si>
    <x:t xml:space="preserve">How to interpret the best models</x:t>
  </x:si>
  <x:si>
    <x:t xml:space="preserve">Highest cleaned accuracy and highest model–human κ among provider-best strategies.</x:t>
  </x:si>
  <x:si>
    <x:t xml:space="preserve">Gemini</x:t>
  </x:si>
  <x:si>
    <x:t xml:space="preserve">Highest cleaned F1 and strongest positive recovery, with more false positives.</x:t>
  </x:si>
  <x:si>
    <x:t xml:space="preserve">Claude</x:t>
  </x:si>
  <x:si>
    <x:t xml:space="preserve">F1 close to the other providers; useful as an independent second codebook-based judgment.</x:t>
  </x:si>
  <x:si>
    <x:t xml:space="preserve">Production choice</x:t>
  </x:si>
  <x:si>
    <x:t xml:space="preserve">Use all three provider coders, majority consensus, and manual review of disagreements.</x:t>
  </x:si>
  <x:si>
    <x:t xml:space="preserve">Version</x:t>
  </x:si>
  <x:si>
    <x:t xml:space="preserve">Evaluation set</x:t>
  </x:si>
  <x:si>
    <x:t xml:space="preserve">Run design</x:t>
  </x:si>
  <x:si>
    <x:t xml:space="preserve">Completion</x:t>
  </x:si>
  <x:si>
    <x:t xml:space="preserve">Primary metric</x:t>
  </x:si>
  <x:si>
    <x:t xml:space="preserve">Best-supported takeaway</x:t>
  </x:si>
  <x:si>
    <x:t xml:space="preserve">v2</x:t>
  </x:si>
  <x:si>
    <x:t xml:space="preserve">Early multi-provider pilot</x:t>
  </x:si>
  <x:si>
    <x:t xml:space="preserve">11 Yes-only passages</x:t>
  </x:si>
  <x:si>
    <x:t xml:space="preserve">Four prompt variants</x:t>
  </x:si>
  <x:si>
    <x:t xml:space="preserve">OpenAI complete; Gemini partial</x:t>
  </x:si>
  <x:si>
    <x:t xml:space="preserve">Recall</x:t>
  </x:si>
  <x:si>
    <x:t xml:space="preserve">Examples improved recall in the complete OpenAI run.</x:t>
  </x:si>
  <x:si>
    <x:t xml:space="preserve">v3</x:t>
  </x:si>
  <x:si>
    <x:t xml:space="preserve">Prompt-parity experiment</x:t>
  </x:si>
  <x:si>
    <x:t xml:space="preserve">One model × four prompts</x:t>
  </x:si>
  <x:si>
    <x:t xml:space="preserve">44 / 44 completed</x:t>
  </x:si>
  <x:si>
    <x:t xml:space="preserve">Metadata produced the strongest Yes recall in the controlled prompt-parity run.</x:t>
  </x:si>
  <x:si>
    <x:t xml:space="preserve">v4</x:t>
  </x:si>
  <x:si>
    <x:t xml:space="preserve">Provider-separated model grid</x:t>
  </x:si>
  <x:si>
    <x:t xml:space="preserve">Multiple models and configurations</x:t>
  </x:si>
  <x:si>
    <x:t xml:space="preserve">259 / 263 completed</x:t>
  </x:si>
  <x:si>
    <x:t xml:space="preserve">Mean Recall </x:t>
  </x:si>
  <x:si>
    <x:t xml:space="preserve">Examples without metadata had the highest mean recall across complete model groups.</x:t>
  </x:si>
  <x:si>
    <x:t xml:space="preserve">v5</x:t>
  </x:si>
  <x:si>
    <x:t xml:space="preserve">Mixed-label definitions benchmark</x:t>
  </x:si>
  <x:si>
    <x:t xml:space="preserve">49 passages: 39 Yes, 10 No</x:t>
  </x:si>
  <x:si>
    <x:t xml:space="preserve">Five models</x:t>
  </x:si>
  <x:si>
    <x:t xml:space="preserve">245 / 245 completed</x:t>
  </x:si>
  <x:si>
    <x:t xml:space="preserve">Accuracy, precision, recall, F1</x:t>
  </x:si>
  <x:si>
    <x:t xml:space="preserve">Claude Haiku recovered the most human-positive rows under the strict definitions-only prompt.</x:t>
  </x:si>
  <x:si>
    <x:t xml:space="preserve">v6 Local context</x:t>
  </x:si>
  <x:si>
    <x:t xml:space="preserve">Current-codebook context test</x:t>
  </x:si>
  <x:si>
    <x:t xml:space="preserve">42 passages: 32 Yes, 10 No</x:t>
  </x:si>
  <x:si>
    <x:t xml:space="preserve">Three providers</x:t>
  </x:si>
  <x:si>
    <x:t xml:space="preserve">126 / 126 completed</x:t>
  </x:si>
  <x:si>
    <x:t xml:space="preserve">Accuracy, recall, specificity, F1</x:t>
  </x:si>
  <x:si>
    <x:t xml:space="preserve">Gemini led the current-codebook local-context run by accuracy and F1.</x:t>
  </x:si>
  <x:si>
    <x:t xml:space="preserve">Cleaned comparison</x:t>
  </x:si>
  <x:si>
    <x:t xml:space="preserve">Provider strategy comparison</x:t>
  </x:si>
  <x:si>
    <x:t xml:space="preserve">40 few-shot rows</x:t>
  </x:si>
  <x:si>
    <x:t xml:space="preserve">Three providers × four strategies</x:t>
  </x:si>
  <x:si>
    <x:t xml:space="preserve">Comparable cleaned counts</x:t>
  </x:si>
  <x:si>
    <x:t xml:space="preserve">Accuracy, F1, kappa</x:t>
  </x:si>
  <x:si>
    <x:t xml:space="preserve">OpenAI led accuracy and κ; Gemini led F1.</x:t>
  </x:si>
  <x:si>
    <x:t xml:space="preserve">OpenAI prompt</x:t>
  </x:si>
  <x:si>
    <x:t xml:space="preserve">Rows</x:t>
  </x:si>
  <x:si>
    <x:t xml:space="preserve">Predicted Yes</x:t>
  </x:si>
  <x:si>
    <x:t xml:space="preserve">Predicted No</x:t>
  </x:si>
  <x:si>
    <x:t xml:space="preserve">Yes recall</x:t>
  </x:si>
  <x:si>
    <x:t xml:space="preserve">Avg tokens / passage</x:t>
  </x:si>
  <x:si>
    <x:t xml:space="preserve">Estimated cost USD</x:t>
  </x:si>
  <x:si>
    <x:t xml:space="preserve">Definitions</x:t>
  </x:si>
  <x:si>
    <x:t xml:space="preserve">Definitions + examples + metadata</x:t>
  </x:si>
  <x:si>
    <x:t xml:space="preserve">Model / run</x:t>
  </x:si>
  <x:si>
    <x:t xml:space="preserve">Planned calls</x:t>
  </x:si>
  <x:si>
    <x:t xml:space="preserve">Usable outputs</x:t>
  </x:si>
  <x:si>
    <x:t xml:space="preserve">Unavailable outputs</x:t>
  </x:si>
  <x:si>
    <x:t xml:space="preserve">Coverage note</x:t>
  </x:si>
  <x:si>
    <x:t xml:space="preserve">gpt-5.4-nano</x:t>
  </x:si>
  <x:si>
    <x:t xml:space="preserve">Complete across four prompt variants</x:t>
  </x:si>
  <x:si>
    <x:t xml:space="preserve">Gemini (partial run)</x:t>
  </x:si>
  <x:si>
    <x:t xml:space="preserve">Direct and definitions returned partial rows</x:t>
  </x:si>
  <x:si>
    <x:t xml:space="preserve">Claude (initial run)</x:t>
  </x:si>
  <x:si>
    <x:t xml:space="preserve">No usable scored outputs in this run</x:t>
  </x:si>
  <x:si>
    <x:t xml:space="preserve">Version result: examples produced the strongest complete OpenAI recall (4 of 11 passages). The partial provider rows are shown as coverage information rather than a cross-provider ranking.</x:t>
  </x:si>
  <x:si>
    <x:t xml:space="preserve">Prompt strategy</x:t>
  </x:si>
  <x:si>
    <x:t xml:space="preserve">Total tokens</x:t>
  </x:si>
  <x:si>
    <x:t xml:space="preserve">Cost USD</x:t>
  </x:si>
  <x:si>
    <x:t xml:space="preserve">Prompt</x:t>
  </x:si>
  <x:si>
    <x:t xml:space="preserve">Version result: adding the codebook substantially increased Yes recall, and the metadata-enhanced examples condition reached 8 of 11 passages.</x:t>
  </x:si>
  <x:si>
    <x:t xml:space="preserve">Complete model groups</x:t>
  </x:si>
  <x:si>
    <x:t xml:space="preserve">Mean Yes recall</x:t>
  </x:si>
  <x:si>
    <x:t xml:space="preserve">Median Yes recall</x:t>
  </x:si>
  <x:si>
    <x:t xml:space="preserve">Minimum recall</x:t>
  </x:si>
  <x:si>
    <x:t xml:space="preserve">Maximum recall</x:t>
  </x:si>
  <x:si>
    <x:t xml:space="preserve">Total cost USD</x:t>
  </x:si>
  <x:si>
    <x:t xml:space="preserve">Mean recall</x:t>
  </x:si>
  <x:si>
    <x:t xml:space="preserve">Run summary</x:t>
  </x:si>
  <x:si>
    <x:t xml:space="preserve">Total calls</x:t>
  </x:si>
  <x:si>
    <x:t xml:space="preserve">Completed share</x:t>
  </x:si>
  <x:si>
    <x:t xml:space="preserve">Provider-separated grid</x:t>
  </x:si>
  <x:si>
    <x:t xml:space="preserve">Version result: definitions plus examples without metadata produced the highest mean Yes recall across complete model groups.</x:t>
  </x:si>
  <x:si>
    <x:t xml:space="preserve">N</x:t>
  </x:si>
  <x:si>
    <x:t xml:space="preserve">TP</x:t>
  </x:si>
  <x:si>
    <x:t xml:space="preserve">TN</x:t>
  </x:si>
  <x:si>
    <x:t xml:space="preserve">FP</x:t>
  </x:si>
  <x:si>
    <x:t xml:space="preserve">FN</x:t>
  </x:si>
  <x:si>
    <x:t xml:space="preserve">Precision</x:t>
  </x:si>
  <x:si>
    <x:t xml:space="preserve">Specificity</x:t>
  </x:si>
  <x:si>
    <x:t xml:space="preserve">Balanced accuracy</x:t>
  </x:si>
  <x:si>
    <x:t xml:space="preserve">Cohen κ</x:t>
  </x:si>
  <x:si>
    <x:t xml:space="preserve">Mean confidence</x:t>
  </x:si>
  <x:si>
    <x:t xml:space="preserve">Avg latency (s)</x:t>
  </x:si>
  <x:si>
    <x:t xml:space="preserve">Claude 3.5 Haiku</x:t>
  </x:si>
  <x:si>
    <x:t xml:space="preserve">GPT-5.4</x:t>
  </x:si>
  <x:si>
    <x:t xml:space="preserve">Version result: Claude Haiku recovered the most positive cases (21 of 39) and achieved the highest F1 in this strict definitions-only comparison. The model set was highly conservative: four of five models produced no false positives.</x:t>
  </x:si>
  <x:si>
    <x:t xml:space="preserve">Document</x:t>
  </x:si>
  <x:si>
    <x:t xml:space="preserve">GAO preliminary observations</x:t>
  </x:si>
  <x:si>
    <x:t xml:space="preserve">EPA lessons learned</x:t>
  </x:si>
  <x:si>
    <x:t xml:space="preserve">Post-Katrina preparedness</x:t>
  </x:si>
  <x:si>
    <x:t xml:space="preserve">Version result: Gemini produced the strongest overall accuracy and F1. Across all three models, performance varied substantially by document, with stronger recovery on the GAO and Post-Katrina sources than on the EPA source.</x:t>
  </x:si>
  <x:si>
    <x:t xml:space="preserve">This is to avoid test set leakage as some of the examples provided as input were same as target. Some parent-child duplicates were retained compared to previous version hence 46 rows instead of previous 42.</x:t>
  </x:si>
  <x:si>
    <x:t xml:space="preserve">Recommended strategy</x:t>
  </x:si>
  <x:si>
    <x:t xml:space="preserve">False positives</x:t>
  </x:si>
  <x:si>
    <x:t xml:space="preserve">Recommended role</x:t>
  </x:si>
  <x:si>
    <x:t xml:space="preserve">Lead annotation model when false positives are costly</x:t>
  </x:si>
  <x:si>
    <x:t xml:space="preserve">Recall-oriented independent coder</x:t>
  </x:si>
  <x:si>
    <x:t xml:space="preserve">Second codebook-based coder</x:t>
  </x:si>
  <x:si>
    <x:t xml:space="preserve">Evaluation</x:t>
  </x:si>
  <x:si>
    <x:t xml:space="preserve">Model / strategy</x:t>
  </x:si>
  <x:si>
    <x:t xml:space="preserve">Cleaned benchmark</x:t>
  </x:si>
  <x:si>
    <x:t xml:space="preserve">GPT-5.6 Terra — examples</x:t>
  </x:si>
  <x:si>
    <x:t xml:space="preserve">Gemini 3.1 Flash Lite — direct</x:t>
  </x:si>
  <x:si>
    <x:t xml:space="preserve">Claude Sonnet 5 — examples</x:t>
  </x:si>
  <x:si>
    <x:t xml:space="preserve">Local context</x:t>
  </x:si>
</x:sst>
</file>

<file path=xl/styles.xml><?xml version="1.0" encoding="utf-8"?>
<x:styleSheet xmlns:x="http://schemas.openxmlformats.org/spreadsheetml/2006/main">
  <x:numFmts count="7">
    <x:numFmt numFmtId="164" formatCode="0.0%"/>
    <x:numFmt numFmtId="165" formatCode="\$0.00000"/>
    <x:numFmt numFmtId="166" formatCode="\$0.0000"/>
    <x:numFmt numFmtId="200" formatCode="0.000"/>
    <x:numFmt numFmtId="201" formatCode="0%"/>
    <x:numFmt numFmtId="202" formatCode="$0.000"/>
    <x:numFmt numFmtId="203" formatCode="0"/>
  </x:numFmts>
  <x:fonts count="10">
    <x:font>
      <x:sz val="11"/>
      <x:name val="Carlito"/>
    </x:font>
    <x:font>
      <x:b/>
      <x:sz val="10"/>
      <x:color rgb="FF1F1F1F"/>
      <x:name val="Aptos"/>
    </x:font>
    <x:font>
      <x:sz val="10"/>
      <x:color rgb="FF1F1F1F"/>
      <x:name val="Aptos"/>
    </x:font>
    <x:font>
      <x:b/>
      <x:sz val="16"/>
      <x:color rgb="FFFFFFFF"/>
      <x:name val="Aptos"/>
    </x:font>
    <x:font>
      <x:b/>
      <x:sz val="10"/>
      <x:color rgb="FFFFFFFF"/>
      <x:name val="Aptos"/>
    </x:font>
    <x:font>
      <x:b/>
      <x:sz val="14"/>
      <x:color rgb="FF1F1F1F"/>
      <x:name val="Aptos"/>
    </x:font>
    <x:font>
      <x:sz val="10"/>
      <x:color rgb="FF1F1F1F"/>
      <x:name val="Aptos"/>
    </x:font>
    <x:font>
      <x:b/>
      <x:sz val="14"/>
      <x:color rgb="FFFFFFFF"/>
      <x:name val="Aptos"/>
    </x:font>
    <x:font>
      <x:b/>
      <x:sz val="16"/>
      <x:color rgb="FFFFFFFF"/>
      <x:name val="Aptos"/>
    </x:font>
    <x:font>
      <x:b/>
      <x:sz val="11"/>
      <x:color rgb="FF1F4E78"/>
      <x:name val="Aptos"/>
    </x:font>
  </x:fonts>
  <x:fills count="15">
    <x:fill>
      <x:patternFill patternType="none"/>
    </x:fill>
    <x:fill>
      <x:patternFill patternType="gray125"/>
    </x:fill>
    <x:fill>
      <x:patternFill patternType="solid">
        <x:fgColor rgb="FF1F4E78"/>
      </x:patternFill>
    </x:fill>
    <x:fill>
      <x:patternFill patternType="solid">
        <x:fgColor rgb="FFF5F9FC"/>
      </x:patternFill>
    </x:fill>
    <x:fill>
      <x:patternFill patternType="solid">
        <x:fgColor rgb="FF2F75B5"/>
      </x:patternFill>
    </x:fill>
    <x:fill>
      <x:patternFill patternType="solid">
        <x:fgColor rgb="FFFFF2CC"/>
      </x:patternFill>
    </x:fill>
    <x:fill>
      <x:patternFill patternType="solid">
        <x:fgColor rgb="FFE2F0D9"/>
      </x:patternFill>
    </x:fill>
    <x:fill>
      <x:patternFill patternType="solid">
        <x:fgColor rgb="FF1F4E78"/>
      </x:patternFill>
    </x:fill>
    <x:fill>
      <x:patternFill patternType="solid">
        <x:fgColor rgb="FFFFFFFF"/>
      </x:patternFill>
    </x:fill>
    <x:fill>
      <x:patternFill patternType="solid">
        <x:fgColor rgb="FFFFF2CC"/>
      </x:patternFill>
    </x:fill>
    <x:fill>
      <x:patternFill patternType="solid">
        <x:fgColor rgb="FFD9EAF7"/>
      </x:patternFill>
    </x:fill>
    <x:fill>
      <x:patternFill patternType="solid">
        <x:fgColor rgb="FF2F75B5"/>
      </x:patternFill>
    </x:fill>
    <x:fill>
      <x:patternFill patternType="solid">
        <x:fgColor rgb="FF2F75B5"/>
      </x:patternFill>
    </x:fill>
    <x:fill>
      <x:patternFill patternType="solid">
        <x:fgColor rgb="FFFFFFFF"/>
      </x:patternFill>
    </x:fill>
    <x:fill>
      <x:patternFill patternType="solid">
        <x:fgColor rgb="FF1F4E78"/>
      </x:patternFill>
    </x:fill>
  </x:fills>
  <x:borders count="24">
    <x:border/>
    <x:border>
      <x:left style="thin">
        <x:color rgb="FFB8C7D9"/>
      </x:left>
      <x:top style="thin">
        <x:color rgb="FFB8C7D9"/>
      </x:top>
    </x:border>
    <x:border>
      <x:right style="thin">
        <x:color rgb="FFB8C7D9"/>
      </x:right>
      <x:top style="thin">
        <x:color rgb="FFB8C7D9"/>
      </x:top>
    </x:border>
    <x:border>
      <x:left style="thin">
        <x:color rgb="FFB8C7D9"/>
      </x:left>
    </x:border>
    <x:border>
      <x:right style="thin">
        <x:color rgb="FFB8C7D9"/>
      </x:right>
    </x:border>
    <x:border>
      <x:left style="thin">
        <x:color rgb="FFB8C7D9"/>
      </x:left>
      <x:bottom style="thin">
        <x:color rgb="FFB8C7D9"/>
      </x:bottom>
    </x:border>
    <x:border>
      <x:right style="thin">
        <x:color rgb="FFB8C7D9"/>
      </x:right>
      <x:bottom style="thin">
        <x:color rgb="FFB8C7D9"/>
      </x:bottom>
    </x:border>
    <x:border>
      <x:top style="thin">
        <x:color rgb="FFB8C7D9"/>
      </x:top>
    </x:border>
    <x:border>
      <x:bottom style="thin">
        <x:color rgb="FFB8C7D9"/>
      </x:bottom>
    </x:border>
    <x:border/>
    <x:border>
      <x:left style="thin">
        <x:color rgb="FFB8C7D9"/>
      </x:left>
    </x:border>
    <x:border>
      <x:right style="thin">
        <x:color rgb="FFB8C7D9"/>
      </x:right>
    </x:border>
    <x:border>
      <x:left style="thin">
        <x:color rgb="FFB8C7D9"/>
      </x:left>
      <x:bottom style="thin">
        <x:color rgb="FFB8C7D9"/>
      </x:bottom>
    </x:border>
    <x:border>
      <x:right style="thin">
        <x:color rgb="FFB8C7D9"/>
      </x:right>
      <x:bottom style="thin">
        <x:color rgb="FFB8C7D9"/>
      </x:bottom>
    </x:border>
    <x:border>
      <x:bottom style="thin">
        <x:color rgb="FFB8C7D9"/>
      </x:bottom>
    </x:border>
    <x:border>
      <x:left style="thin">
        <x:color rgb="FFB8C7D9"/>
      </x:left>
      <x:top style="thin">
        <x:color rgb="FFB8C7D9"/>
      </x:top>
    </x:border>
    <x:border>
      <x:right style="thin">
        <x:color rgb="FFB8C7D9"/>
      </x:right>
      <x:top style="thin">
        <x:color rgb="FFB8C7D9"/>
      </x:top>
    </x:border>
    <x:border>
      <x:top style="thin">
        <x:color rgb="FFB8C7D9"/>
      </x:top>
    </x:border>
    <x:border>
      <x:left style="thin">
        <x:color rgb="FFB8C7D9"/>
      </x:left>
      <x:top style="thin">
        <x:color rgb="FFB8C7D9"/>
      </x:top>
      <x:bottom style="thin">
        <x:color rgb="FFB8C7D9"/>
      </x:bottom>
    </x:border>
    <x:border>
      <x:right style="thin">
        <x:color rgb="FFB8C7D9"/>
      </x:right>
      <x:top style="thin">
        <x:color rgb="FFB8C7D9"/>
      </x:top>
      <x:bottom style="thin">
        <x:color rgb="FFB8C7D9"/>
      </x:bottom>
    </x:border>
    <x:border>
      <x:left style="thin">
        <x:color rgb="FFB8C7D9"/>
      </x:left>
      <x:top style="thin">
        <x:color rgb="FFB8C7D9"/>
      </x:top>
      <x:bottom style="thin">
        <x:color rgb="FFB8C7D9"/>
      </x:bottom>
    </x:border>
    <x:border>
      <x:right style="thin">
        <x:color rgb="FFB8C7D9"/>
      </x:right>
      <x:top style="thin">
        <x:color rgb="FFB8C7D9"/>
      </x:top>
      <x:bottom style="thin">
        <x:color rgb="FFB8C7D9"/>
      </x:bottom>
    </x:border>
    <x:border>
      <x:top style="thin">
        <x:color rgb="FFB8C7D9"/>
      </x:top>
      <x:bottom style="thin">
        <x:color rgb="FFB8C7D9"/>
      </x:bottom>
    </x:border>
    <x:border>
      <x:top style="thin">
        <x:color rgb="FFB8C7D9"/>
      </x:top>
      <x:bottom style="thin">
        <x:color rgb="FFB8C7D9"/>
      </x:bottom>
    </x:border>
  </x:borders>
  <x:cellStyleXfs count="1">
    <x:xf numFmtId="0" fontId="0" fillId="0" borderId="0"/>
  </x:cellStyleXfs>
  <x:cellXfs count="493">
    <x:xf numFmtId="0" fontId="0" fillId="0" borderId="0" xfId="0"/>
    <x:xf numFmtId="0" fontId="2" fillId="0" borderId="0" xfId="0" applyFont="1"/>
    <x:xf numFmtId="0" fontId="2" fillId="0" borderId="3" xfId="0" applyFont="1" applyBorder="1" applyAlignment="1">
      <x:alignment wrapText="1"/>
    </x:xf>
    <x:xf numFmtId="0" fontId="2" fillId="0" borderId="4" xfId="0" applyFont="1" applyBorder="1" applyAlignment="1">
      <x:alignment wrapText="1"/>
    </x:xf>
    <x:xf numFmtId="0" fontId="2" fillId="0" borderId="5" xfId="0" applyFont="1" applyBorder="1" applyAlignment="1">
      <x:alignment wrapText="1"/>
    </x:xf>
    <x:xf numFmtId="0" fontId="2" fillId="0" borderId="6" xfId="0" applyFont="1" applyBorder="1" applyAlignment="1">
      <x:alignment wrapText="1"/>
    </x:xf>
    <x:xf numFmtId="0" fontId="3" fillId="2" borderId="0" xfId="0" applyFont="1" applyFill="1" applyAlignment="1">
      <x:alignment horizontal="left" vertical="center"/>
    </x:xf>
    <x:xf numFmtId="0" fontId="2" fillId="0" borderId="3" xfId="0" applyFont="1" applyBorder="1"/>
    <x:xf numFmtId="164" fontId="2" fillId="0" borderId="0" xfId="0" applyNumberFormat="1" applyFont="1"/>
    <x:xf numFmtId="164" fontId="2" fillId="0" borderId="4" xfId="0" applyNumberFormat="1" applyFont="1" applyBorder="1"/>
    <x:xf numFmtId="0" fontId="2" fillId="0" borderId="5" xfId="0" applyFont="1" applyBorder="1"/>
    <x:xf numFmtId="0" fontId="2" fillId="0" borderId="8" xfId="0" applyFont="1" applyBorder="1"/>
    <x:xf numFmtId="164" fontId="2" fillId="0" borderId="8" xfId="0" applyNumberFormat="1" applyFont="1" applyBorder="1"/>
    <x:xf numFmtId="164" fontId="2" fillId="0" borderId="6" xfId="0" applyNumberFormat="1" applyFont="1" applyBorder="1"/>
    <x:xf numFmtId="0" fontId="1" fillId="0" borderId="1" xfId="0" applyFont="1" applyBorder="1" applyAlignment="1">
      <x:alignment wrapText="1"/>
    </x:xf>
    <x:xf numFmtId="0" fontId="1" fillId="0" borderId="3" xfId="0" applyFont="1" applyBorder="1" applyAlignment="1">
      <x:alignment wrapText="1"/>
    </x:xf>
    <x:xf numFmtId="0" fontId="2" fillId="0" borderId="0" xfId="0" applyFont="1" applyAlignment="1">
      <x:alignment wrapText="1"/>
    </x:xf>
    <x:xf numFmtId="0" fontId="1" fillId="0" borderId="5" xfId="0" applyFont="1" applyBorder="1" applyAlignment="1">
      <x:alignment wrapText="1"/>
    </x:xf>
    <x:xf numFmtId="0" fontId="2" fillId="0" borderId="8" xfId="0" applyFont="1" applyBorder="1" applyAlignment="1">
      <x:alignment wrapText="1"/>
    </x:xf>
    <x:xf numFmtId="164" fontId="2" fillId="0" borderId="0" xfId="0" applyNumberFormat="1" applyFont="1" applyAlignment="1">
      <x:alignment wrapText="1"/>
    </x:xf>
    <x:xf numFmtId="164" fontId="2" fillId="0" borderId="8" xfId="0" applyNumberFormat="1" applyFont="1" applyBorder="1" applyAlignment="1">
      <x:alignment wrapText="1"/>
    </x:xf>
    <x:xf numFmtId="165" fontId="2" fillId="0" borderId="4" xfId="0" applyNumberFormat="1" applyFont="1" applyBorder="1"/>
    <x:xf numFmtId="165" fontId="2" fillId="0" borderId="6" xfId="0" applyNumberFormat="1" applyFont="1" applyBorder="1"/>
    <x:xf numFmtId="165" fontId="2" fillId="0" borderId="0" xfId="0" applyNumberFormat="1" applyFont="1"/>
    <x:xf numFmtId="165" fontId="2" fillId="0" borderId="8" xfId="0" applyNumberFormat="1" applyFont="1" applyBorder="1"/>
    <x:xf numFmtId="166" fontId="2" fillId="0" borderId="4" xfId="0" applyNumberFormat="1" applyFont="1" applyBorder="1"/>
    <x:xf numFmtId="166" fontId="2" fillId="0" borderId="6" xfId="0" applyNumberFormat="1" applyFont="1" applyBorder="1"/>
    <x:xf numFmtId="166" fontId="2" fillId="0" borderId="0" xfId="0" applyNumberFormat="1" applyFont="1"/>
    <x:xf numFmtId="2" fontId="2" fillId="0" borderId="4" xfId="0" applyNumberFormat="1" applyFont="1" applyBorder="1"/>
    <x:xf numFmtId="166" fontId="2" fillId="0" borderId="8" xfId="0" applyNumberFormat="1" applyFont="1" applyBorder="1"/>
    <x:xf numFmtId="2" fontId="2" fillId="0" borderId="6" xfId="0" applyNumberFormat="1" applyFont="1" applyBorder="1"/>
    <x:xf numFmtId="164" fontId="2" fillId="0" borderId="4" xfId="0" applyNumberFormat="1" applyFont="1" applyBorder="1" applyAlignment="1">
      <x:alignment wrapText="1"/>
    </x:xf>
    <x:xf numFmtId="164" fontId="2" fillId="0" borderId="6" xfId="0" applyNumberFormat="1" applyFont="1" applyBorder="1" applyAlignment="1">
      <x:alignment wrapText="1"/>
    </x:xf>
    <x:xf numFmtId="0" fontId="2" fillId="0" borderId="4" xfId="0" applyFont="1" applyBorder="1"/>
    <x:xf numFmtId="0" fontId="2" fillId="0" borderId="6" xfId="0" applyFont="1" applyBorder="1"/>
    <x:xf numFmtId="0" fontId="4" fillId="4" borderId="1" xfId="0" applyFont="1" applyFill="1" applyBorder="1" applyAlignment="1">
      <x:alignment horizontal="center" vertical="center" wrapText="1"/>
    </x:xf>
    <x:xf numFmtId="0" fontId="4" fillId="4" borderId="2" xfId="0" applyFont="1" applyFill="1" applyBorder="1" applyAlignment="1">
      <x:alignment horizontal="center" vertical="center" wrapText="1"/>
    </x:xf>
    <x:xf numFmtId="0" fontId="4" fillId="4" borderId="7" xfId="0" applyFont="1" applyFill="1" applyBorder="1" applyAlignment="1">
      <x:alignment horizontal="center" vertical="center" wrapText="1"/>
    </x:xf>
    <x:xf numFmtId="0" fontId="3" fillId="2" borderId="0" xfId="0" applyFont="1" applyFill="1" applyAlignment="1">
      <x:alignment horizontal="left" vertical="center"/>
    </x:xf>
    <x:xf numFmtId="0" fontId="2" fillId="3" borderId="0" xfId="0" applyFont="1" applyFill="1" applyAlignment="1">
      <x:alignment vertical="center" wrapText="1"/>
    </x:xf>
    <x:xf numFmtId="0" fontId="2" fillId="5" borderId="0" xfId="0" applyFont="1" applyFill="1" applyAlignment="1">
      <x:alignment vertical="center" wrapText="1"/>
    </x:xf>
    <x:xf numFmtId="0" fontId="4" fillId="4" borderId="0" xfId="0" applyFont="1" applyFill="1" applyAlignment="1">
      <x:alignment horizontal="center" vertical="center" wrapText="1"/>
    </x:xf>
    <x:xf numFmtId="0" fontId="2" fillId="0" borderId="7" xfId="0" applyFont="1" applyBorder="1" applyAlignment="1">
      <x:alignment wrapText="1"/>
    </x:xf>
    <x:xf numFmtId="0" fontId="2" fillId="0" borderId="2" xfId="0" applyFont="1" applyBorder="1" applyAlignment="1">
      <x:alignment wrapText="1"/>
    </x:xf>
    <x:xf numFmtId="0" fontId="2" fillId="0" borderId="0" xfId="0" applyFont="1" applyAlignment="1">
      <x:alignment wrapText="1"/>
    </x:xf>
    <x:xf numFmtId="0" fontId="2" fillId="0" borderId="4" xfId="0" applyFont="1" applyBorder="1" applyAlignment="1">
      <x:alignment wrapText="1"/>
    </x:xf>
    <x:xf numFmtId="0" fontId="2" fillId="0" borderId="8" xfId="0" applyFont="1" applyBorder="1" applyAlignment="1">
      <x:alignment wrapText="1"/>
    </x:xf>
    <x:xf numFmtId="0" fontId="2" fillId="0" borderId="6" xfId="0" applyFont="1" applyBorder="1" applyAlignment="1">
      <x:alignment wrapText="1"/>
    </x:xf>
    <x:xf numFmtId="0" fontId="2" fillId="6" borderId="0" xfId="0" applyFont="1" applyFill="1" applyAlignment="1">
      <x:alignment vertical="center" wrapText="1"/>
    </x:xf>
    <x:xf numFmtId="0" fontId="5" fillId="0" borderId="0" xfId="0" applyFont="1"/>
    <x:xf numFmtId="0" fontId="6" fillId="0" borderId="0" xfId="0" applyFont="1" applyAlignment="1">
      <x:alignment wrapText="1"/>
    </x:xf>
    <x:xf numFmtId="0" fontId="6" fillId="0" borderId="5" xfId="0" applyFont="1" applyBorder="1" applyAlignment="1">
      <x:alignment wrapText="1"/>
    </x:xf>
    <x:xf numFmtId="0" fontId="6" fillId="3" borderId="0" xfId="0" applyFont="1" applyFill="1" applyAlignment="1">
      <x:alignment vertical="center" wrapText="1"/>
    </x:xf>
    <x:xf numFmtId="0" fontId="6" fillId="0" borderId="3" xfId="0" applyFont="1" applyBorder="1" applyAlignment="1">
      <x:alignment wrapText="1"/>
    </x:xf>
    <x:xf numFmtId="0" fontId="7" fillId="4" borderId="0" xfId="0" applyFont="1" applyFill="1" applyAlignment="1">
      <x:alignment horizontal="center" vertical="center" wrapText="1"/>
    </x:xf>
    <x:xf numFmtId="0" fontId="8" fillId="2" borderId="0" xfId="0" applyFont="1" applyFill="1" applyAlignment="1">
      <x:alignment horizontal="left" vertical="center"/>
    </x:xf>
    <x:xf numFmtId="0" fontId="2" fillId="3" borderId="0" xfId="0" applyFont="1" applyFill="1" applyAlignment="1">
      <x:alignment vertical="center"/>
    </x:xf>
    <x:xf numFmtId="0" fontId="0" fillId="0" borderId="9" xfId="0" applyNumberFormat="1" applyFont="1" applyFill="1" applyBorder="1"/>
    <x:xf numFmtId="0" fontId="2" fillId="0" borderId="9" xfId="0" applyNumberFormat="1" applyFont="1" applyFill="1" applyBorder="1"/>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2" xfId="0" applyNumberFormat="1" applyFont="1" applyFill="1" applyBorder="1" applyAlignment="1">
      <x:alignment wrapText="1"/>
    </x:xf>
    <x:xf numFmtId="0" fontId="2" fillId="0" borderId="13" xfId="0" applyNumberFormat="1" applyFont="1" applyFill="1" applyBorder="1" applyAlignment="1">
      <x:alignment wrapText="1"/>
    </x:xf>
    <x:xf numFmtId="0" fontId="3" fillId="2" borderId="9" xfId="0" applyNumberFormat="1" applyFont="1" applyFill="1" applyBorder="1" applyAlignment="1">
      <x:alignment horizontal="left" vertical="center"/>
    </x:xf>
    <x:xf numFmtId="0" fontId="2" fillId="0" borderId="10" xfId="0" applyNumberFormat="1" applyFont="1" applyFill="1" applyBorder="1"/>
    <x:xf numFmtId="164" fontId="2" fillId="0" borderId="9" xfId="0" applyNumberFormat="1" applyFont="1" applyFill="1" applyBorder="1"/>
    <x:xf numFmtId="164" fontId="2" fillId="0" borderId="11" xfId="0" applyNumberFormat="1" applyFont="1" applyFill="1" applyBorder="1"/>
    <x:xf numFmtId="0" fontId="2" fillId="0" borderId="12" xfId="0" applyNumberFormat="1" applyFont="1" applyFill="1" applyBorder="1"/>
    <x:xf numFmtId="0" fontId="2" fillId="0" borderId="14" xfId="0" applyNumberFormat="1" applyFont="1" applyFill="1" applyBorder="1"/>
    <x:xf numFmtId="164" fontId="2" fillId="0" borderId="14" xfId="0" applyNumberFormat="1" applyFont="1" applyFill="1" applyBorder="1"/>
    <x:xf numFmtId="164" fontId="2" fillId="0" borderId="13" xfId="0" applyNumberFormat="1" applyFont="1" applyFill="1" applyBorder="1"/>
    <x:xf numFmtId="0" fontId="1" fillId="0" borderId="15" xfId="0" applyNumberFormat="1" applyFont="1" applyFill="1" applyBorder="1" applyAlignment="1">
      <x:alignment wrapText="1"/>
    </x:xf>
    <x:xf numFmtId="0" fontId="1" fillId="0" borderId="10" xfId="0" applyNumberFormat="1" applyFont="1" applyFill="1" applyBorder="1" applyAlignment="1">
      <x:alignment wrapText="1"/>
    </x:xf>
    <x:xf numFmtId="0" fontId="2" fillId="0" borderId="9" xfId="0" applyNumberFormat="1" applyFont="1" applyFill="1" applyBorder="1" applyAlignment="1">
      <x:alignment wrapText="1"/>
    </x:xf>
    <x:xf numFmtId="0" fontId="1" fillId="0" borderId="12" xfId="0" applyNumberFormat="1" applyFont="1" applyFill="1" applyBorder="1" applyAlignment="1">
      <x:alignment wrapText="1"/>
    </x:xf>
    <x:xf numFmtId="0" fontId="2" fillId="0" borderId="14" xfId="0" applyNumberFormat="1" applyFont="1" applyFill="1" applyBorder="1" applyAlignment="1">
      <x:alignment wrapText="1"/>
    </x:xf>
    <x:xf numFmtId="164" fontId="2" fillId="0" borderId="9" xfId="0" applyNumberFormat="1" applyFont="1" applyFill="1" applyBorder="1" applyAlignment="1">
      <x:alignment wrapText="1"/>
    </x:xf>
    <x:xf numFmtId="164" fontId="2" fillId="0" borderId="14" xfId="0" applyNumberFormat="1" applyFont="1" applyFill="1" applyBorder="1" applyAlignment="1">
      <x:alignment wrapText="1"/>
    </x:xf>
    <x:xf numFmtId="165" fontId="2" fillId="0" borderId="11" xfId="0" applyNumberFormat="1" applyFont="1" applyFill="1" applyBorder="1"/>
    <x:xf numFmtId="165" fontId="2" fillId="0" borderId="13" xfId="0" applyNumberFormat="1" applyFont="1" applyFill="1" applyBorder="1"/>
    <x:xf numFmtId="165" fontId="2" fillId="0" borderId="9" xfId="0" applyNumberFormat="1" applyFont="1" applyFill="1" applyBorder="1"/>
    <x:xf numFmtId="165" fontId="2" fillId="0" borderId="14" xfId="0" applyNumberFormat="1" applyFont="1" applyFill="1" applyBorder="1"/>
    <x:xf numFmtId="166" fontId="2" fillId="0" borderId="11" xfId="0" applyNumberFormat="1" applyFont="1" applyFill="1" applyBorder="1"/>
    <x:xf numFmtId="166" fontId="2" fillId="0" borderId="13" xfId="0" applyNumberFormat="1" applyFont="1" applyFill="1" applyBorder="1"/>
    <x:xf numFmtId="166" fontId="2" fillId="0" borderId="9" xfId="0" applyNumberFormat="1" applyFont="1" applyFill="1" applyBorder="1"/>
    <x:xf numFmtId="2" fontId="2" fillId="0" borderId="11" xfId="0" applyNumberFormat="1" applyFont="1" applyFill="1" applyBorder="1"/>
    <x:xf numFmtId="166" fontId="2" fillId="0" borderId="14" xfId="0" applyNumberFormat="1" applyFont="1" applyFill="1" applyBorder="1"/>
    <x:xf numFmtId="2" fontId="2" fillId="0" borderId="13" xfId="0" applyNumberFormat="1" applyFont="1" applyFill="1" applyBorder="1"/>
    <x:xf numFmtId="164" fontId="2" fillId="0" borderId="11" xfId="0" applyNumberFormat="1" applyFont="1" applyFill="1" applyBorder="1" applyAlignment="1">
      <x:alignment wrapText="1"/>
    </x:xf>
    <x:xf numFmtId="164" fontId="2" fillId="0" borderId="13" xfId="0" applyNumberFormat="1" applyFont="1" applyFill="1" applyBorder="1" applyAlignment="1">
      <x:alignment wrapText="1"/>
    </x:xf>
    <x:xf numFmtId="0" fontId="2" fillId="0" borderId="11" xfId="0" applyNumberFormat="1" applyFont="1" applyFill="1" applyBorder="1"/>
    <x:xf numFmtId="0" fontId="2" fillId="0" borderId="13" xfId="0" applyNumberFormat="1" applyFont="1" applyFill="1" applyBorder="1"/>
    <x:xf numFmtId="0" fontId="4" fillId="4" borderId="15" xfId="0" applyNumberFormat="1" applyFont="1" applyFill="1" applyBorder="1" applyAlignment="1">
      <x:alignment horizontal="center" vertical="center" wrapText="1"/>
    </x:xf>
    <x:xf numFmtId="0" fontId="4" fillId="4" borderId="16" xfId="0" applyNumberFormat="1" applyFont="1" applyFill="1" applyBorder="1" applyAlignment="1">
      <x:alignment horizontal="center" vertical="center" wrapText="1"/>
    </x:xf>
    <x:xf numFmtId="0" fontId="4" fillId="4" borderId="17" xfId="0" applyNumberFormat="1" applyFont="1" applyFill="1" applyBorder="1" applyAlignment="1">
      <x:alignment horizontal="center" vertical="center" wrapText="1"/>
    </x:xf>
    <x:xf numFmtId="0" fontId="2" fillId="3" borderId="9" xfId="0" applyNumberFormat="1" applyFont="1" applyFill="1" applyBorder="1" applyAlignment="1">
      <x:alignment vertical="center" wrapText="1"/>
    </x:xf>
    <x:xf numFmtId="0" fontId="2" fillId="5" borderId="9" xfId="0" applyNumberFormat="1" applyFont="1" applyFill="1" applyBorder="1" applyAlignment="1">
      <x:alignment vertical="center" wrapText="1"/>
    </x:xf>
    <x:xf numFmtId="0" fontId="4" fillId="4" borderId="9" xfId="0" applyNumberFormat="1" applyFont="1" applyFill="1" applyBorder="1" applyAlignment="1">
      <x:alignment horizontal="center" vertical="center" wrapText="1"/>
    </x:xf>
    <x:xf numFmtId="0" fontId="2" fillId="0" borderId="17" xfId="0" applyNumberFormat="1" applyFont="1" applyFill="1" applyBorder="1" applyAlignment="1">
      <x:alignment wrapText="1"/>
    </x:xf>
    <x:xf numFmtId="0" fontId="2" fillId="0" borderId="16" xfId="0" applyNumberFormat="1" applyFont="1" applyFill="1" applyBorder="1" applyAlignment="1">
      <x:alignment wrapText="1"/>
    </x:xf>
    <x:xf numFmtId="0" fontId="2" fillId="6" borderId="9" xfId="0" applyNumberFormat="1" applyFont="1" applyFill="1" applyBorder="1" applyAlignment="1">
      <x:alignment vertical="center" wrapText="1"/>
    </x:xf>
    <x:xf numFmtId="0" fontId="5" fillId="0" borderId="9" xfId="0" applyNumberFormat="1" applyFont="1" applyFill="1" applyBorder="1"/>
    <x:xf numFmtId="0" fontId="7" fillId="4" borderId="9" xfId="0" applyNumberFormat="1" applyFont="1" applyFill="1" applyBorder="1" applyAlignment="1">
      <x:alignment horizontal="center" vertical="center" wrapText="1"/>
    </x:xf>
    <x:xf numFmtId="0" fontId="2" fillId="3" borderId="9" xfId="0" applyNumberFormat="1" applyFont="1" applyFill="1" applyBorder="1" applyAlignment="1">
      <x:alignment vertical="center"/>
    </x:xf>
    <x:xf numFmtId="0" fontId="3" fillId="7" borderId="0" xfId="0" applyNumberFormat="1" applyFont="1" applyFill="1" applyBorder="1" applyAlignment="1">
      <x:alignment horizontal="left" vertical="center"/>
    </x:xf>
    <x:xf numFmtId="0" fontId="3" fillId="7" borderId="9" xfId="0" applyNumberFormat="1" applyFont="1" applyFill="1" applyBorder="1" applyAlignment="1">
      <x:alignment horizontal="left" vertical="center"/>
    </x:xf>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vertical="center" wrapText="1"/>
    </x:xf>
    <x:xf numFmtId="0" fontId="2" fillId="8" borderId="9" xfId="0" applyNumberFormat="1" applyFont="1" applyFill="1" applyBorder="1"/>
    <x:xf numFmtId="0" fontId="2" fillId="8" borderId="9" xfId="0" applyNumberFormat="1" applyFont="1" applyFill="1" applyBorder="1" applyAlignment="1">
      <x:alignment wrapText="1"/>
    </x:xf>
    <x:xf numFmtId="0" fontId="2" fillId="8" borderId="9" xfId="0" applyNumberFormat="1" applyFont="1" applyFill="1" applyBorder="1" applyAlignment="1">
      <x:alignment vertical="center" wrapText="1"/>
    </x:xf>
    <x:xf numFmtId="0" fontId="2" fillId="8" borderId="0" xfId="0" applyNumberFormat="1" applyFont="1" applyFill="1" applyBorder="1" applyAlignment="1">
      <x:alignment vertical="center"/>
    </x:xf>
    <x:xf numFmtId="0" fontId="2" fillId="8" borderId="9" xfId="0" applyNumberFormat="1" applyFont="1" applyFill="1" applyBorder="1" applyAlignment="1">
      <x:alignment vertical="center"/>
    </x:xf>
    <x:xf numFmtId="0" fontId="2" fillId="9" borderId="0" xfId="0" applyNumberFormat="1" applyFont="1" applyFill="1" applyBorder="1" applyAlignment="1">
      <x:alignment vertical="center" wrapText="1"/>
    </x:xf>
    <x:xf numFmtId="0" fontId="2" fillId="9" borderId="9" xfId="0" applyNumberFormat="1" applyFont="1" applyFill="1" applyBorder="1" applyAlignment="1">
      <x:alignment vertical="center" wrapText="1"/>
    </x:xf>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9" xfId="0" applyNumberFormat="1" applyFont="1" applyFill="1" applyBorder="1"/>
    <x:xf numFmtId="0" fontId="2" fillId="9" borderId="9" xfId="0" applyNumberFormat="1" applyFont="1" applyFill="1" applyBorder="1" applyAlignment="1">
      <x:alignment wrapText="1"/>
    </x:xf>
    <x:xf numFmtId="0" fontId="2" fillId="10" borderId="0" xfId="0" applyNumberFormat="1" applyFont="1" applyFill="1" applyBorder="1"/>
    <x:xf numFmtId="0" fontId="9" fillId="10" borderId="0" xfId="0" applyNumberFormat="1" applyFont="1" applyFill="1" applyBorder="1"/>
    <x:xf numFmtId="0" fontId="9" fillId="10" borderId="0" xfId="0" applyNumberFormat="1" applyFont="1" applyFill="1" applyBorder="1" applyAlignment="1">
      <x:alignment wrapText="1"/>
    </x:xf>
    <x:xf numFmtId="0" fontId="9" fillId="10" borderId="0" xfId="0" applyNumberFormat="1" applyFont="1" applyFill="1" applyBorder="1" applyAlignment="1">
      <x:alignment vertical="center" wrapText="1"/>
    </x:xf>
    <x:xf numFmtId="0" fontId="2" fillId="10" borderId="9" xfId="0" applyNumberFormat="1" applyFont="1" applyFill="1" applyBorder="1"/>
    <x:xf numFmtId="0" fontId="9" fillId="10" borderId="9" xfId="0" applyNumberFormat="1" applyFont="1" applyFill="1" applyBorder="1"/>
    <x:xf numFmtId="0" fontId="9" fillId="10" borderId="9" xfId="0" applyNumberFormat="1" applyFont="1" applyFill="1" applyBorder="1" applyAlignment="1">
      <x:alignment wrapText="1"/>
    </x:xf>
    <x:xf numFmtId="0" fontId="9" fillId="10" borderId="9" xfId="0" applyNumberFormat="1" applyFont="1" applyFill="1" applyBorder="1" applyAlignment="1">
      <x:alignment vertical="center" wrapText="1"/>
    </x:xf>
    <x:xf numFmtId="0" fontId="2" fillId="11" borderId="0" xfId="0" applyNumberFormat="1" applyFont="1" applyFill="1" applyBorder="1"/>
    <x:xf numFmtId="0" fontId="4" fillId="11" borderId="0" xfId="0" applyNumberFormat="1" applyFont="1" applyFill="1" applyBorder="1"/>
    <x:xf numFmtId="0" fontId="4" fillId="11" borderId="18" xfId="0" applyNumberFormat="1" applyFont="1" applyFill="1" applyBorder="1"/>
    <x:xf numFmtId="0" fontId="4" fillId="11" borderId="19" xfId="0" applyNumberFormat="1" applyFont="1" applyFill="1" applyBorder="1"/>
    <x:xf numFmtId="0" fontId="4" fillId="11" borderId="18" xfId="0" applyNumberFormat="1" applyFont="1" applyFill="1" applyBorder="1" applyAlignment="1">
      <x:alignment wrapText="1"/>
    </x:xf>
    <x:xf numFmtId="0" fontId="4" fillId="11" borderId="19" xfId="0" applyNumberFormat="1" applyFont="1" applyFill="1" applyBorder="1" applyAlignment="1">
      <x:alignment wrapText="1"/>
    </x:xf>
    <x:xf numFmtId="0" fontId="4" fillId="11" borderId="18" xfId="0" applyNumberFormat="1" applyFont="1" applyFill="1" applyBorder="1" applyAlignment="1">
      <x:alignment horizontal="center" wrapText="1"/>
    </x:xf>
    <x:xf numFmtId="0" fontId="4" fillId="11" borderId="19" xfId="0" applyNumberFormat="1" applyFont="1" applyFill="1" applyBorder="1" applyAlignment="1">
      <x:alignment horizontal="center" wrapText="1"/>
    </x:xf>
    <x:xf numFmtId="0" fontId="4" fillId="11" borderId="18" xfId="0" applyNumberFormat="1" applyFont="1" applyFill="1" applyBorder="1" applyAlignment="1">
      <x:alignment horizontal="center" vertical="center" wrapText="1"/>
    </x:xf>
    <x:xf numFmtId="0" fontId="4" fillId="11" borderId="19" xfId="0" applyNumberFormat="1" applyFont="1" applyFill="1" applyBorder="1" applyAlignment="1">
      <x:alignment horizontal="center" vertical="center" wrapText="1"/>
    </x:xf>
    <x:xf numFmtId="0" fontId="2" fillId="11" borderId="9" xfId="0" applyNumberFormat="1" applyFont="1" applyFill="1" applyBorder="1"/>
    <x:xf numFmtId="0" fontId="4" fillId="11" borderId="9" xfId="0" applyNumberFormat="1" applyFont="1" applyFill="1" applyBorder="1"/>
    <x:xf numFmtId="0" fontId="4" fillId="11" borderId="20" xfId="0" applyNumberFormat="1" applyFont="1" applyFill="1" applyBorder="1"/>
    <x:xf numFmtId="0" fontId="4" fillId="11" borderId="21" xfId="0" applyNumberFormat="1" applyFont="1" applyFill="1" applyBorder="1"/>
    <x:xf numFmtId="0" fontId="4" fillId="11" borderId="20" xfId="0" applyNumberFormat="1" applyFont="1" applyFill="1" applyBorder="1" applyAlignment="1">
      <x:alignment wrapText="1"/>
    </x:xf>
    <x:xf numFmtId="0" fontId="4" fillId="11" borderId="21" xfId="0" applyNumberFormat="1" applyFont="1" applyFill="1" applyBorder="1" applyAlignment="1">
      <x:alignment wrapText="1"/>
    </x:xf>
    <x:xf numFmtId="0" fontId="4" fillId="11" borderId="20" xfId="0" applyNumberFormat="1" applyFont="1" applyFill="1" applyBorder="1" applyAlignment="1">
      <x:alignment horizontal="center" wrapText="1"/>
    </x:xf>
    <x:xf numFmtId="0" fontId="4" fillId="11" borderId="21" xfId="0" applyNumberFormat="1" applyFont="1" applyFill="1" applyBorder="1" applyAlignment="1">
      <x:alignment horizontal="center" wrapText="1"/>
    </x:xf>
    <x:xf numFmtId="0" fontId="4" fillId="11" borderId="20" xfId="0" applyNumberFormat="1" applyFont="1" applyFill="1" applyBorder="1" applyAlignment="1">
      <x:alignment horizontal="center" vertical="center" wrapText="1"/>
    </x:xf>
    <x:xf numFmtId="0" fontId="4" fillId="11" borderId="21" xfId="0" applyNumberFormat="1" applyFont="1" applyFill="1" applyBorder="1" applyAlignment="1">
      <x:alignment horizontal="center" vertical="center" wrapText="1"/>
    </x:xf>
    <x:xf numFmtId="0" fontId="2" fillId="8" borderId="1" xfId="0" applyNumberFormat="1" applyFont="1" applyFill="1" applyBorder="1"/>
    <x:xf numFmtId="0" fontId="2" fillId="8" borderId="2" xfId="0" applyNumberFormat="1" applyFont="1" applyFill="1" applyBorder="1"/>
    <x:xf numFmtId="0" fontId="2" fillId="8" borderId="3" xfId="0" applyNumberFormat="1" applyFont="1" applyFill="1" applyBorder="1"/>
    <x:xf numFmtId="0" fontId="2" fillId="8" borderId="4" xfId="0" applyNumberFormat="1" applyFont="1" applyFill="1" applyBorder="1"/>
    <x:xf numFmtId="0" fontId="2" fillId="8" borderId="5" xfId="0" applyNumberFormat="1" applyFont="1" applyFill="1" applyBorder="1"/>
    <x:xf numFmtId="0" fontId="2" fillId="8" borderId="6" xfId="0" applyNumberFormat="1" applyFont="1" applyFill="1" applyBorder="1"/>
    <x:xf numFmtId="0" fontId="2" fillId="8" borderId="1" xfId="0" applyNumberFormat="1" applyFont="1" applyFill="1" applyBorder="1" applyAlignment="1">
      <x:alignment wrapText="1"/>
    </x:xf>
    <x:xf numFmtId="0" fontId="2" fillId="8" borderId="2" xfId="0" applyNumberFormat="1" applyFont="1" applyFill="1" applyBorder="1" applyAlignment="1">
      <x:alignment wrapText="1"/>
    </x:xf>
    <x:xf numFmtId="0" fontId="2" fillId="8" borderId="3" xfId="0" applyNumberFormat="1" applyFont="1" applyFill="1" applyBorder="1" applyAlignment="1">
      <x:alignment wrapText="1"/>
    </x:xf>
    <x:xf numFmtId="0" fontId="2" fillId="8" borderId="4" xfId="0" applyNumberFormat="1" applyFont="1" applyFill="1" applyBorder="1" applyAlignment="1">
      <x:alignment wrapText="1"/>
    </x:xf>
    <x:xf numFmtId="0" fontId="2" fillId="8" borderId="5" xfId="0" applyNumberFormat="1" applyFont="1" applyFill="1" applyBorder="1" applyAlignment="1">
      <x:alignment wrapText="1"/>
    </x:xf>
    <x:xf numFmtId="0" fontId="2" fillId="8" borderId="6" xfId="0" applyNumberFormat="1" applyFont="1" applyFill="1" applyBorder="1" applyAlignment="1">
      <x:alignment wrapText="1"/>
    </x:xf>
    <x:xf numFmtId="0" fontId="2" fillId="8" borderId="1" xfId="0" applyNumberFormat="1" applyFont="1" applyFill="1" applyBorder="1" applyAlignment="1">
      <x:alignment vertical="top" wrapText="1"/>
    </x:xf>
    <x:xf numFmtId="0" fontId="2" fillId="8" borderId="2" xfId="0" applyNumberFormat="1" applyFont="1" applyFill="1" applyBorder="1" applyAlignment="1">
      <x:alignment vertical="top" wrapText="1"/>
    </x:xf>
    <x:xf numFmtId="0" fontId="2" fillId="8" borderId="3" xfId="0" applyNumberFormat="1" applyFont="1" applyFill="1" applyBorder="1" applyAlignment="1">
      <x:alignment vertical="top" wrapText="1"/>
    </x:xf>
    <x:xf numFmtId="0" fontId="2" fillId="8" borderId="4" xfId="0" applyNumberFormat="1" applyFont="1" applyFill="1" applyBorder="1" applyAlignment="1">
      <x:alignment vertical="top" wrapText="1"/>
    </x:xf>
    <x:xf numFmtId="0" fontId="2" fillId="8" borderId="5" xfId="0" applyNumberFormat="1" applyFont="1" applyFill="1" applyBorder="1" applyAlignment="1">
      <x:alignment vertical="top" wrapText="1"/>
    </x:xf>
    <x:xf numFmtId="0" fontId="2" fillId="8" borderId="6" xfId="0" applyNumberFormat="1" applyFont="1" applyFill="1" applyBorder="1" applyAlignment="1">
      <x:alignment vertical="top" wrapText="1"/>
    </x:xf>
    <x:xf numFmtId="0" fontId="2" fillId="8" borderId="15" xfId="0" applyNumberFormat="1" applyFont="1" applyFill="1" applyBorder="1"/>
    <x:xf numFmtId="0" fontId="2" fillId="8" borderId="16" xfId="0" applyNumberFormat="1" applyFont="1" applyFill="1" applyBorder="1"/>
    <x:xf numFmtId="0" fontId="2" fillId="8" borderId="10" xfId="0" applyNumberFormat="1" applyFont="1" applyFill="1" applyBorder="1"/>
    <x:xf numFmtId="0" fontId="2" fillId="8" borderId="11" xfId="0" applyNumberFormat="1" applyFont="1" applyFill="1" applyBorder="1"/>
    <x:xf numFmtId="0" fontId="2" fillId="8" borderId="12" xfId="0" applyNumberFormat="1" applyFont="1" applyFill="1" applyBorder="1"/>
    <x:xf numFmtId="0" fontId="2" fillId="8" borderId="13" xfId="0" applyNumberFormat="1" applyFont="1" applyFill="1" applyBorder="1"/>
    <x:xf numFmtId="0" fontId="2" fillId="8" borderId="15" xfId="0" applyNumberFormat="1" applyFont="1" applyFill="1" applyBorder="1" applyAlignment="1">
      <x:alignment wrapText="1"/>
    </x:xf>
    <x:xf numFmtId="0" fontId="2" fillId="8" borderId="16" xfId="0" applyNumberFormat="1" applyFont="1" applyFill="1" applyBorder="1" applyAlignment="1">
      <x:alignment wrapText="1"/>
    </x:xf>
    <x:xf numFmtId="0" fontId="2" fillId="8" borderId="10" xfId="0" applyNumberFormat="1" applyFont="1" applyFill="1" applyBorder="1" applyAlignment="1">
      <x:alignment wrapText="1"/>
    </x:xf>
    <x:xf numFmtId="0" fontId="2" fillId="8" borderId="11" xfId="0" applyNumberFormat="1" applyFont="1" applyFill="1" applyBorder="1" applyAlignment="1">
      <x:alignment wrapText="1"/>
    </x:xf>
    <x:xf numFmtId="0" fontId="2" fillId="8" borderId="12" xfId="0" applyNumberFormat="1" applyFont="1" applyFill="1" applyBorder="1" applyAlignment="1">
      <x:alignment wrapText="1"/>
    </x:xf>
    <x:xf numFmtId="0" fontId="2" fillId="8" borderId="13" xfId="0" applyNumberFormat="1" applyFont="1" applyFill="1" applyBorder="1" applyAlignment="1">
      <x:alignment wrapText="1"/>
    </x:xf>
    <x:xf numFmtId="0" fontId="2" fillId="8" borderId="15" xfId="0" applyNumberFormat="1" applyFont="1" applyFill="1" applyBorder="1" applyAlignment="1">
      <x:alignment vertical="top" wrapText="1"/>
    </x:xf>
    <x:xf numFmtId="0" fontId="2" fillId="8" borderId="16" xfId="0" applyNumberFormat="1" applyFont="1" applyFill="1" applyBorder="1" applyAlignment="1">
      <x:alignment vertical="top" wrapText="1"/>
    </x:xf>
    <x:xf numFmtId="0" fontId="2" fillId="8" borderId="10" xfId="0" applyNumberFormat="1" applyFont="1" applyFill="1" applyBorder="1" applyAlignment="1">
      <x:alignment vertical="top" wrapText="1"/>
    </x:xf>
    <x:xf numFmtId="0" fontId="2" fillId="8" borderId="11" xfId="0" applyNumberFormat="1" applyFont="1" applyFill="1" applyBorder="1" applyAlignment="1">
      <x:alignment vertical="top" wrapText="1"/>
    </x:xf>
    <x:xf numFmtId="0" fontId="2" fillId="8" borderId="12" xfId="0" applyNumberFormat="1" applyFont="1" applyFill="1" applyBorder="1" applyAlignment="1">
      <x:alignment vertical="top" wrapText="1"/>
    </x:xf>
    <x:xf numFmtId="0" fontId="2" fillId="8" borderId="13" xfId="0" applyNumberFormat="1" applyFont="1" applyFill="1" applyBorder="1" applyAlignment="1">
      <x:alignment vertical="top" wrapText="1"/>
    </x:xf>
    <x:xf numFmtId="0" fontId="2" fillId="9" borderId="1" xfId="0" applyNumberFormat="1" applyFont="1" applyFill="1" applyBorder="1"/>
    <x:xf numFmtId="0" fontId="2" fillId="9" borderId="2" xfId="0" applyNumberFormat="1" applyFont="1" applyFill="1" applyBorder="1"/>
    <x:xf numFmtId="0" fontId="2" fillId="9" borderId="3" xfId="0" applyNumberFormat="1" applyFont="1" applyFill="1" applyBorder="1"/>
    <x:xf numFmtId="0" fontId="2" fillId="9" borderId="4" xfId="0" applyNumberFormat="1" applyFont="1" applyFill="1" applyBorder="1"/>
    <x:xf numFmtId="0" fontId="2" fillId="9" borderId="5" xfId="0" applyNumberFormat="1" applyFont="1" applyFill="1" applyBorder="1"/>
    <x:xf numFmtId="0" fontId="2" fillId="9" borderId="6" xfId="0" applyNumberFormat="1" applyFont="1" applyFill="1" applyBorder="1"/>
    <x:xf numFmtId="0" fontId="2" fillId="9" borderId="1" xfId="0" applyNumberFormat="1" applyFont="1" applyFill="1" applyBorder="1" applyAlignment="1">
      <x:alignment wrapText="1"/>
    </x:xf>
    <x:xf numFmtId="0" fontId="2" fillId="9" borderId="2" xfId="0" applyNumberFormat="1" applyFont="1" applyFill="1" applyBorder="1" applyAlignment="1">
      <x:alignment wrapText="1"/>
    </x:xf>
    <x:xf numFmtId="0" fontId="2" fillId="9" borderId="3" xfId="0" applyNumberFormat="1" applyFont="1" applyFill="1" applyBorder="1" applyAlignment="1">
      <x:alignment wrapText="1"/>
    </x:xf>
    <x:xf numFmtId="0" fontId="2" fillId="9" borderId="4" xfId="0" applyNumberFormat="1" applyFont="1" applyFill="1" applyBorder="1" applyAlignment="1">
      <x:alignment wrapText="1"/>
    </x:xf>
    <x:xf numFmtId="0" fontId="2" fillId="9" borderId="5" xfId="0" applyNumberFormat="1" applyFont="1" applyFill="1" applyBorder="1" applyAlignment="1">
      <x:alignment wrapText="1"/>
    </x:xf>
    <x:xf numFmtId="0" fontId="2" fillId="9" borderId="6" xfId="0" applyNumberFormat="1" applyFont="1" applyFill="1" applyBorder="1" applyAlignment="1">
      <x:alignment wrapText="1"/>
    </x:xf>
    <x:xf numFmtId="0" fontId="2" fillId="9" borderId="1" xfId="0" applyNumberFormat="1" applyFont="1" applyFill="1" applyBorder="1" applyAlignment="1">
      <x:alignment vertical="center" wrapText="1"/>
    </x:xf>
    <x:xf numFmtId="0" fontId="2" fillId="9" borderId="2" xfId="0" applyNumberFormat="1" applyFont="1" applyFill="1" applyBorder="1" applyAlignment="1">
      <x:alignment vertical="center" wrapText="1"/>
    </x:xf>
    <x:xf numFmtId="0" fontId="2" fillId="9" borderId="3" xfId="0" applyNumberFormat="1" applyFont="1" applyFill="1" applyBorder="1" applyAlignment="1">
      <x:alignment vertical="center" wrapText="1"/>
    </x:xf>
    <x:xf numFmtId="0" fontId="2" fillId="9" borderId="4" xfId="0" applyNumberFormat="1" applyFont="1" applyFill="1" applyBorder="1" applyAlignment="1">
      <x:alignment vertical="center" wrapText="1"/>
    </x:xf>
    <x:xf numFmtId="0" fontId="2" fillId="9" borderId="5" xfId="0" applyNumberFormat="1" applyFont="1" applyFill="1" applyBorder="1" applyAlignment="1">
      <x:alignment vertical="center" wrapText="1"/>
    </x:xf>
    <x:xf numFmtId="0" fontId="2" fillId="9" borderId="6" xfId="0" applyNumberFormat="1" applyFont="1" applyFill="1" applyBorder="1" applyAlignment="1">
      <x:alignment vertical="center" wrapText="1"/>
    </x:xf>
    <x:xf numFmtId="0" fontId="2" fillId="9" borderId="15" xfId="0" applyNumberFormat="1" applyFont="1" applyFill="1" applyBorder="1"/>
    <x:xf numFmtId="0" fontId="2" fillId="9" borderId="16" xfId="0" applyNumberFormat="1" applyFont="1" applyFill="1" applyBorder="1"/>
    <x:xf numFmtId="0" fontId="2" fillId="9" borderId="10" xfId="0" applyNumberFormat="1" applyFont="1" applyFill="1" applyBorder="1"/>
    <x:xf numFmtId="0" fontId="2" fillId="9" borderId="11" xfId="0" applyNumberFormat="1" applyFont="1" applyFill="1" applyBorder="1"/>
    <x:xf numFmtId="0" fontId="2" fillId="9" borderId="12" xfId="0" applyNumberFormat="1" applyFont="1" applyFill="1" applyBorder="1"/>
    <x:xf numFmtId="0" fontId="2" fillId="9" borderId="13" xfId="0" applyNumberFormat="1" applyFont="1" applyFill="1" applyBorder="1"/>
    <x:xf numFmtId="0" fontId="2" fillId="9" borderId="15" xfId="0" applyNumberFormat="1" applyFont="1" applyFill="1" applyBorder="1" applyAlignment="1">
      <x:alignment wrapText="1"/>
    </x:xf>
    <x:xf numFmtId="0" fontId="2" fillId="9" borderId="16" xfId="0" applyNumberFormat="1" applyFont="1" applyFill="1" applyBorder="1" applyAlignment="1">
      <x:alignment wrapText="1"/>
    </x:xf>
    <x:xf numFmtId="0" fontId="2" fillId="9" borderId="10" xfId="0" applyNumberFormat="1" applyFont="1" applyFill="1" applyBorder="1" applyAlignment="1">
      <x:alignment wrapText="1"/>
    </x:xf>
    <x:xf numFmtId="0" fontId="2" fillId="9" borderId="11" xfId="0" applyNumberFormat="1" applyFont="1" applyFill="1" applyBorder="1" applyAlignment="1">
      <x:alignment wrapText="1"/>
    </x:xf>
    <x:xf numFmtId="0" fontId="2" fillId="9" borderId="12" xfId="0" applyNumberFormat="1" applyFont="1" applyFill="1" applyBorder="1" applyAlignment="1">
      <x:alignment wrapText="1"/>
    </x:xf>
    <x:xf numFmtId="0" fontId="2" fillId="9" borderId="13" xfId="0" applyNumberFormat="1" applyFont="1" applyFill="1" applyBorder="1" applyAlignment="1">
      <x:alignment wrapText="1"/>
    </x:xf>
    <x:xf numFmtId="0" fontId="2" fillId="9" borderId="15" xfId="0" applyNumberFormat="1" applyFont="1" applyFill="1" applyBorder="1" applyAlignment="1">
      <x:alignment vertical="center" wrapText="1"/>
    </x:xf>
    <x:xf numFmtId="0" fontId="2" fillId="9" borderId="16" xfId="0" applyNumberFormat="1" applyFont="1" applyFill="1" applyBorder="1" applyAlignment="1">
      <x:alignment vertical="center" wrapText="1"/>
    </x:xf>
    <x:xf numFmtId="0" fontId="2" fillId="9" borderId="10" xfId="0" applyNumberFormat="1" applyFont="1" applyFill="1" applyBorder="1" applyAlignment="1">
      <x:alignment vertical="center" wrapText="1"/>
    </x:xf>
    <x:xf numFmtId="0" fontId="2" fillId="9" borderId="11" xfId="0" applyNumberFormat="1" applyFont="1" applyFill="1" applyBorder="1" applyAlignment="1">
      <x:alignment vertical="center" wrapText="1"/>
    </x:xf>
    <x:xf numFmtId="0" fontId="2" fillId="9" borderId="12" xfId="0" applyNumberFormat="1" applyFont="1" applyFill="1" applyBorder="1" applyAlignment="1">
      <x:alignment vertical="center" wrapText="1"/>
    </x:xf>
    <x:xf numFmtId="0" fontId="2" fillId="9" borderId="13" xfId="0" applyNumberFormat="1" applyFont="1" applyFill="1" applyBorder="1" applyAlignment="1">
      <x:alignment vertical="center" wrapText="1"/>
    </x:xf>
    <x:xf numFmtId="0" fontId="5" fillId="10" borderId="0" xfId="0" applyNumberFormat="1" applyFont="1" applyFill="1" applyBorder="1"/>
    <x:xf numFmtId="0" fontId="5" fillId="10" borderId="9" xfId="0" applyNumberFormat="1" applyFont="1" applyFill="1" applyBorder="1"/>
    <x:xf numFmtId="0" fontId="4" fillId="11" borderId="1" xfId="0" applyNumberFormat="1" applyFont="1" applyFill="1" applyBorder="1" applyAlignment="1">
      <x:alignment horizontal="center" vertical="center" wrapText="1"/>
    </x:xf>
    <x:xf numFmtId="0" fontId="4" fillId="11" borderId="7" xfId="0" applyNumberFormat="1" applyFont="1" applyFill="1" applyBorder="1" applyAlignment="1">
      <x:alignment horizontal="center" vertical="center" wrapText="1"/>
    </x:xf>
    <x:xf numFmtId="0" fontId="4" fillId="11" borderId="2" xfId="0" applyNumberFormat="1" applyFont="1" applyFill="1" applyBorder="1" applyAlignment="1">
      <x:alignment horizontal="center" vertical="center" wrapText="1"/>
    </x:xf>
    <x:xf numFmtId="0" fontId="4" fillId="11" borderId="22" xfId="0" applyNumberFormat="1" applyFont="1" applyFill="1" applyBorder="1" applyAlignment="1">
      <x:alignment horizontal="center" vertical="center" wrapText="1"/>
    </x:xf>
    <x:xf numFmtId="0" fontId="4" fillId="11" borderId="15" xfId="0" applyNumberFormat="1" applyFont="1" applyFill="1" applyBorder="1" applyAlignment="1">
      <x:alignment horizontal="center" vertical="center" wrapText="1"/>
    </x:xf>
    <x:xf numFmtId="0" fontId="4" fillId="11" borderId="17" xfId="0" applyNumberFormat="1" applyFont="1" applyFill="1" applyBorder="1" applyAlignment="1">
      <x:alignment horizontal="center" vertical="center" wrapText="1"/>
    </x:xf>
    <x:xf numFmtId="0" fontId="4" fillId="11" borderId="16" xfId="0" applyNumberFormat="1" applyFont="1" applyFill="1" applyBorder="1" applyAlignment="1">
      <x:alignment horizontal="center" vertical="center" wrapText="1"/>
    </x:xf>
    <x:xf numFmtId="0" fontId="4" fillId="11" borderId="23" xfId="0" applyNumberFormat="1" applyFont="1" applyFill="1" applyBorder="1" applyAlignment="1">
      <x:alignment horizontal="center" vertical="center" wrapText="1"/>
    </x:xf>
    <x:xf numFmtId="164" fontId="2" fillId="8" borderId="0" xfId="0" applyNumberFormat="1" applyFont="1" applyFill="1" applyBorder="1" applyAlignment="1">
      <x:alignment wrapText="1"/>
    </x:xf>
    <x:xf numFmtId="0" fontId="2" fillId="8" borderId="8" xfId="0" applyNumberFormat="1" applyFont="1" applyFill="1" applyBorder="1" applyAlignment="1">
      <x:alignment wrapText="1"/>
    </x:xf>
    <x:xf numFmtId="164" fontId="2" fillId="8" borderId="8" xfId="0" applyNumberFormat="1" applyFont="1" applyFill="1" applyBorder="1" applyAlignment="1">
      <x:alignment wrapText="1"/>
    </x:xf>
    <x:xf numFmtId="0" fontId="2" fillId="8" borderId="7" xfId="0" applyNumberFormat="1" applyFont="1" applyFill="1" applyBorder="1" applyAlignment="1">
      <x:alignment wrapText="1"/>
    </x:xf>
    <x:xf numFmtId="164" fontId="2" fillId="8" borderId="7" xfId="0" applyNumberFormat="1" applyFont="1" applyFill="1" applyBorder="1" applyAlignment="1">
      <x:alignment wrapText="1"/>
    </x:xf>
    <x:xf numFmtId="0" fontId="2" fillId="8" borderId="7" xfId="0" applyNumberFormat="1" applyFont="1" applyFill="1" applyBorder="1" applyAlignment="1">
      <x:alignment vertical="top" wrapText="1"/>
    </x:xf>
    <x:xf numFmtId="164" fontId="2" fillId="8" borderId="7" xfId="0" applyNumberFormat="1" applyFont="1" applyFill="1" applyBorder="1" applyAlignment="1">
      <x:alignment vertical="top" wrapText="1"/>
    </x:xf>
    <x:xf numFmtId="0" fontId="2" fillId="8" borderId="0" xfId="0" applyNumberFormat="1" applyFont="1" applyFill="1" applyBorder="1" applyAlignment="1">
      <x:alignment vertical="top" wrapText="1"/>
    </x:xf>
    <x:xf numFmtId="164" fontId="2" fillId="8" borderId="0" xfId="0" applyNumberFormat="1" applyFont="1" applyFill="1" applyBorder="1" applyAlignment="1">
      <x:alignment vertical="top" wrapText="1"/>
    </x:xf>
    <x:xf numFmtId="0" fontId="2" fillId="8" borderId="8" xfId="0" applyNumberFormat="1" applyFont="1" applyFill="1" applyBorder="1" applyAlignment="1">
      <x:alignment vertical="top" wrapText="1"/>
    </x:xf>
    <x:xf numFmtId="164" fontId="2" fillId="8" borderId="8" xfId="0" applyNumberFormat="1" applyFont="1" applyFill="1" applyBorder="1" applyAlignment="1">
      <x:alignment vertical="top" wrapText="1"/>
    </x:xf>
    <x:xf numFmtId="164" fontId="2" fillId="8" borderId="9" xfId="0" applyNumberFormat="1" applyFont="1" applyFill="1" applyBorder="1" applyAlignment="1">
      <x:alignment wrapText="1"/>
    </x:xf>
    <x:xf numFmtId="0" fontId="2" fillId="8" borderId="14" xfId="0" applyNumberFormat="1" applyFont="1" applyFill="1" applyBorder="1" applyAlignment="1">
      <x:alignment wrapText="1"/>
    </x:xf>
    <x:xf numFmtId="164" fontId="2" fillId="8" borderId="14" xfId="0" applyNumberFormat="1" applyFont="1" applyFill="1" applyBorder="1" applyAlignment="1">
      <x:alignment wrapText="1"/>
    </x:xf>
    <x:xf numFmtId="0" fontId="2" fillId="8" borderId="17" xfId="0" applyNumberFormat="1" applyFont="1" applyFill="1" applyBorder="1" applyAlignment="1">
      <x:alignment wrapText="1"/>
    </x:xf>
    <x:xf numFmtId="164" fontId="2" fillId="8" borderId="17" xfId="0" applyNumberFormat="1" applyFont="1" applyFill="1" applyBorder="1" applyAlignment="1">
      <x:alignment wrapText="1"/>
    </x:xf>
    <x:xf numFmtId="0" fontId="2" fillId="8" borderId="17" xfId="0" applyNumberFormat="1" applyFont="1" applyFill="1" applyBorder="1" applyAlignment="1">
      <x:alignment vertical="top" wrapText="1"/>
    </x:xf>
    <x:xf numFmtId="164" fontId="2" fillId="8" borderId="17" xfId="0" applyNumberFormat="1" applyFont="1" applyFill="1" applyBorder="1" applyAlignment="1">
      <x:alignment vertical="top" wrapText="1"/>
    </x:xf>
    <x:xf numFmtId="0" fontId="2" fillId="8" borderId="9" xfId="0" applyNumberFormat="1" applyFont="1" applyFill="1" applyBorder="1" applyAlignment="1">
      <x:alignment vertical="top" wrapText="1"/>
    </x:xf>
    <x:xf numFmtId="164" fontId="2" fillId="8" borderId="9" xfId="0" applyNumberFormat="1" applyFont="1" applyFill="1" applyBorder="1" applyAlignment="1">
      <x:alignment vertical="top" wrapText="1"/>
    </x:xf>
    <x:xf numFmtId="0" fontId="2" fillId="8" borderId="14" xfId="0" applyNumberFormat="1" applyFont="1" applyFill="1" applyBorder="1" applyAlignment="1">
      <x:alignment vertical="top" wrapText="1"/>
    </x:xf>
    <x:xf numFmtId="164" fontId="2" fillId="8" borderId="14" xfId="0" applyNumberFormat="1" applyFont="1" applyFill="1" applyBorder="1" applyAlignment="1">
      <x:alignment vertical="top" wrapText="1"/>
    </x:xf>
    <x:xf numFmtId="200" fontId="2" fillId="8" borderId="7" xfId="0" applyNumberFormat="1" applyFont="1" applyFill="1" applyBorder="1" applyAlignment="1">
      <x:alignment vertical="top" wrapText="1"/>
    </x:xf>
    <x:xf numFmtId="200" fontId="2" fillId="8" borderId="0" xfId="0" applyNumberFormat="1" applyFont="1" applyFill="1" applyBorder="1" applyAlignment="1">
      <x:alignment vertical="top" wrapText="1"/>
    </x:xf>
    <x:xf numFmtId="200" fontId="2" fillId="8" borderId="8" xfId="0" applyNumberFormat="1" applyFont="1" applyFill="1" applyBorder="1" applyAlignment="1">
      <x:alignment vertical="top" wrapText="1"/>
    </x:xf>
    <x:xf numFmtId="200" fontId="2" fillId="8" borderId="17" xfId="0" applyNumberFormat="1" applyFont="1" applyFill="1" applyBorder="1" applyAlignment="1">
      <x:alignment vertical="top" wrapText="1"/>
    </x:xf>
    <x:xf numFmtId="200" fontId="2" fillId="8" borderId="9" xfId="0" applyNumberFormat="1" applyFont="1" applyFill="1" applyBorder="1" applyAlignment="1">
      <x:alignment vertical="top" wrapText="1"/>
    </x:xf>
    <x:xf numFmtId="200" fontId="2" fillId="8" borderId="14" xfId="0" applyNumberFormat="1" applyFont="1" applyFill="1" applyBorder="1" applyAlignment="1">
      <x:alignment vertical="top" wrapText="1"/>
    </x:xf>
    <x:xf numFmtId="0" fontId="4" fillId="11" borderId="22" xfId="0" applyNumberFormat="1" applyFont="1" applyFill="1" applyBorder="1"/>
    <x:xf numFmtId="0" fontId="4" fillId="11" borderId="22" xfId="0" applyNumberFormat="1" applyFont="1" applyFill="1" applyBorder="1" applyAlignment="1">
      <x:alignment wrapText="1"/>
    </x:xf>
    <x:xf numFmtId="0" fontId="4" fillId="11" borderId="22" xfId="0" applyNumberFormat="1" applyFont="1" applyFill="1" applyBorder="1" applyAlignment="1">
      <x:alignment horizontal="center" wrapText="1"/>
    </x:xf>
    <x:xf numFmtId="0" fontId="4" fillId="11" borderId="23" xfId="0" applyNumberFormat="1" applyFont="1" applyFill="1" applyBorder="1"/>
    <x:xf numFmtId="0" fontId="4" fillId="11" borderId="23" xfId="0" applyNumberFormat="1" applyFont="1" applyFill="1" applyBorder="1" applyAlignment="1">
      <x:alignment wrapText="1"/>
    </x:xf>
    <x:xf numFmtId="0" fontId="4" fillId="11" borderId="23" xfId="0" applyNumberFormat="1" applyFont="1" applyFill="1" applyBorder="1" applyAlignment="1">
      <x:alignment horizontal="center" wrapText="1"/>
    </x:xf>
    <x:xf numFmtId="164" fontId="2" fillId="8" borderId="0" xfId="0" applyNumberFormat="1" applyFont="1" applyFill="1" applyBorder="1"/>
    <x:xf numFmtId="164" fontId="2" fillId="8" borderId="7" xfId="0" applyNumberFormat="1" applyFont="1" applyFill="1" applyBorder="1"/>
    <x:xf numFmtId="164" fontId="2" fillId="8" borderId="2" xfId="0" applyNumberFormat="1" applyFont="1" applyFill="1" applyBorder="1"/>
    <x:xf numFmtId="164" fontId="2" fillId="8" borderId="4" xfId="0" applyNumberFormat="1" applyFont="1" applyFill="1" applyBorder="1"/>
    <x:xf numFmtId="164" fontId="2" fillId="8" borderId="8" xfId="0" applyNumberFormat="1" applyFont="1" applyFill="1" applyBorder="1"/>
    <x:xf numFmtId="164" fontId="2" fillId="8" borderId="6" xfId="0" applyNumberFormat="1" applyFont="1" applyFill="1" applyBorder="1"/>
    <x:xf numFmtId="164" fontId="2" fillId="8" borderId="2" xfId="0" applyNumberFormat="1" applyFont="1" applyFill="1" applyBorder="1" applyAlignment="1">
      <x:alignment wrapText="1"/>
    </x:xf>
    <x:xf numFmtId="164" fontId="2" fillId="8" borderId="4" xfId="0" applyNumberFormat="1" applyFont="1" applyFill="1" applyBorder="1" applyAlignment="1">
      <x:alignment wrapText="1"/>
    </x:xf>
    <x:xf numFmtId="164" fontId="2" fillId="8" borderId="6" xfId="0" applyNumberFormat="1" applyFont="1" applyFill="1" applyBorder="1" applyAlignment="1">
      <x:alignment wrapText="1"/>
    </x:xf>
    <x:xf numFmtId="164" fontId="2" fillId="8" borderId="2" xfId="0" applyNumberFormat="1" applyFont="1" applyFill="1" applyBorder="1" applyAlignment="1">
      <x:alignment vertical="top" wrapText="1"/>
    </x:xf>
    <x:xf numFmtId="164" fontId="2" fillId="8" borderId="4" xfId="0" applyNumberFormat="1" applyFont="1" applyFill="1" applyBorder="1" applyAlignment="1">
      <x:alignment vertical="top" wrapText="1"/>
    </x:xf>
    <x:xf numFmtId="164" fontId="2" fillId="8" borderId="6" xfId="0" applyNumberFormat="1" applyFont="1" applyFill="1" applyBorder="1" applyAlignment="1">
      <x:alignment vertical="top" wrapText="1"/>
    </x:xf>
    <x:xf numFmtId="164" fontId="2" fillId="8" borderId="9" xfId="0" applyNumberFormat="1" applyFont="1" applyFill="1" applyBorder="1"/>
    <x:xf numFmtId="164" fontId="2" fillId="8" borderId="17" xfId="0" applyNumberFormat="1" applyFont="1" applyFill="1" applyBorder="1"/>
    <x:xf numFmtId="164" fontId="2" fillId="8" borderId="16" xfId="0" applyNumberFormat="1" applyFont="1" applyFill="1" applyBorder="1"/>
    <x:xf numFmtId="164" fontId="2" fillId="8" borderId="11" xfId="0" applyNumberFormat="1" applyFont="1" applyFill="1" applyBorder="1"/>
    <x:xf numFmtId="164" fontId="2" fillId="8" borderId="14" xfId="0" applyNumberFormat="1" applyFont="1" applyFill="1" applyBorder="1"/>
    <x:xf numFmtId="164" fontId="2" fillId="8" borderId="13" xfId="0" applyNumberFormat="1" applyFont="1" applyFill="1" applyBorder="1"/>
    <x:xf numFmtId="164" fontId="2" fillId="8" borderId="16" xfId="0" applyNumberFormat="1" applyFont="1" applyFill="1" applyBorder="1" applyAlignment="1">
      <x:alignment wrapText="1"/>
    </x:xf>
    <x:xf numFmtId="164" fontId="2" fillId="8" borderId="11" xfId="0" applyNumberFormat="1" applyFont="1" applyFill="1" applyBorder="1" applyAlignment="1">
      <x:alignment wrapText="1"/>
    </x:xf>
    <x:xf numFmtId="164" fontId="2" fillId="8" borderId="13" xfId="0" applyNumberFormat="1" applyFont="1" applyFill="1" applyBorder="1" applyAlignment="1">
      <x:alignment wrapText="1"/>
    </x:xf>
    <x:xf numFmtId="164" fontId="2" fillId="8" borderId="16" xfId="0" applyNumberFormat="1" applyFont="1" applyFill="1" applyBorder="1" applyAlignment="1">
      <x:alignment vertical="top" wrapText="1"/>
    </x:xf>
    <x:xf numFmtId="164" fontId="2" fillId="8" borderId="11" xfId="0" applyNumberFormat="1" applyFont="1" applyFill="1" applyBorder="1" applyAlignment="1">
      <x:alignment vertical="top" wrapText="1"/>
    </x:xf>
    <x:xf numFmtId="164" fontId="2" fillId="8" borderId="13" xfId="0" applyNumberFormat="1" applyFont="1" applyFill="1" applyBorder="1" applyAlignment="1">
      <x:alignment vertical="top" wrapText="1"/>
    </x:xf>
    <x:xf numFmtId="0" fontId="2" fillId="9" borderId="7" xfId="0" applyNumberFormat="1" applyFont="1" applyFill="1" applyBorder="1"/>
    <x:xf numFmtId="0" fontId="2" fillId="9" borderId="8" xfId="0" applyNumberFormat="1" applyFont="1" applyFill="1" applyBorder="1"/>
    <x:xf numFmtId="0" fontId="2" fillId="9" borderId="7" xfId="0" applyNumberFormat="1" applyFont="1" applyFill="1" applyBorder="1" applyAlignment="1">
      <x:alignment wrapText="1"/>
    </x:xf>
    <x:xf numFmtId="0" fontId="2" fillId="9" borderId="8" xfId="0" applyNumberFormat="1" applyFont="1" applyFill="1" applyBorder="1" applyAlignment="1">
      <x:alignment wrapText="1"/>
    </x:xf>
    <x:xf numFmtId="0" fontId="2" fillId="9" borderId="7" xfId="0" applyNumberFormat="1" applyFont="1" applyFill="1" applyBorder="1" applyAlignment="1">
      <x:alignment vertical="center" wrapText="1"/>
    </x:xf>
    <x:xf numFmtId="0" fontId="2" fillId="9" borderId="8" xfId="0" applyNumberFormat="1" applyFont="1" applyFill="1" applyBorder="1" applyAlignment="1">
      <x:alignment vertical="center" wrapText="1"/>
    </x:xf>
    <x:xf numFmtId="0" fontId="2" fillId="9" borderId="17" xfId="0" applyNumberFormat="1" applyFont="1" applyFill="1" applyBorder="1"/>
    <x:xf numFmtId="0" fontId="2" fillId="9" borderId="14" xfId="0" applyNumberFormat="1" applyFont="1" applyFill="1" applyBorder="1"/>
    <x:xf numFmtId="0" fontId="2" fillId="9" borderId="17" xfId="0" applyNumberFormat="1" applyFont="1" applyFill="1" applyBorder="1" applyAlignment="1">
      <x:alignment wrapText="1"/>
    </x:xf>
    <x:xf numFmtId="0" fontId="2" fillId="9" borderId="14" xfId="0" applyNumberFormat="1" applyFont="1" applyFill="1" applyBorder="1" applyAlignment="1">
      <x:alignment wrapText="1"/>
    </x:xf>
    <x:xf numFmtId="0" fontId="2" fillId="9" borderId="17" xfId="0" applyNumberFormat="1" applyFont="1" applyFill="1" applyBorder="1" applyAlignment="1">
      <x:alignment vertical="center" wrapText="1"/>
    </x:xf>
    <x:xf numFmtId="0" fontId="2" fillId="9" borderId="14" xfId="0" applyNumberFormat="1" applyFont="1" applyFill="1" applyBorder="1" applyAlignment="1">
      <x:alignment vertical="center" wrapText="1"/>
    </x:xf>
    <x:xf numFmtId="0" fontId="2" fillId="8" borderId="18" xfId="0" applyNumberFormat="1" applyFont="1" applyFill="1" applyBorder="1" applyAlignment="1">
      <x:alignment wrapText="1"/>
    </x:xf>
    <x:xf numFmtId="0" fontId="2" fillId="8" borderId="22" xfId="0" applyNumberFormat="1" applyFont="1" applyFill="1" applyBorder="1" applyAlignment="1">
      <x:alignment wrapText="1"/>
    </x:xf>
    <x:xf numFmtId="0" fontId="2" fillId="8" borderId="19" xfId="0" applyNumberFormat="1" applyFont="1" applyFill="1" applyBorder="1" applyAlignment="1">
      <x:alignment wrapText="1"/>
    </x:xf>
    <x:xf numFmtId="0" fontId="2" fillId="8" borderId="18" xfId="0" applyNumberFormat="1" applyFont="1" applyFill="1" applyBorder="1" applyAlignment="1">
      <x:alignment vertical="top" wrapText="1"/>
    </x:xf>
    <x:xf numFmtId="0" fontId="2" fillId="8" borderId="22" xfId="0" applyNumberFormat="1" applyFont="1" applyFill="1" applyBorder="1" applyAlignment="1">
      <x:alignment vertical="top" wrapText="1"/>
    </x:xf>
    <x:xf numFmtId="0" fontId="2" fillId="8" borderId="19" xfId="0" applyNumberFormat="1" applyFont="1" applyFill="1" applyBorder="1" applyAlignment="1">
      <x:alignment vertical="top" wrapText="1"/>
    </x:xf>
    <x:xf numFmtId="0" fontId="2" fillId="8" borderId="20" xfId="0" applyNumberFormat="1" applyFont="1" applyFill="1" applyBorder="1" applyAlignment="1">
      <x:alignment wrapText="1"/>
    </x:xf>
    <x:xf numFmtId="0" fontId="2" fillId="8" borderId="23" xfId="0" applyNumberFormat="1" applyFont="1" applyFill="1" applyBorder="1" applyAlignment="1">
      <x:alignment wrapText="1"/>
    </x:xf>
    <x:xf numFmtId="0" fontId="2" fillId="8" borderId="21" xfId="0" applyNumberFormat="1" applyFont="1" applyFill="1" applyBorder="1" applyAlignment="1">
      <x:alignment wrapText="1"/>
    </x:xf>
    <x:xf numFmtId="0" fontId="2" fillId="8" borderId="20" xfId="0" applyNumberFormat="1" applyFont="1" applyFill="1" applyBorder="1" applyAlignment="1">
      <x:alignment vertical="top" wrapText="1"/>
    </x:xf>
    <x:xf numFmtId="0" fontId="2" fillId="8" borderId="23" xfId="0" applyNumberFormat="1" applyFont="1" applyFill="1" applyBorder="1" applyAlignment="1">
      <x:alignment vertical="top" wrapText="1"/>
    </x:xf>
    <x:xf numFmtId="0" fontId="2" fillId="8" borderId="21" xfId="0" applyNumberFormat="1" applyFont="1" applyFill="1" applyBorder="1" applyAlignment="1">
      <x:alignment vertical="top" wrapText="1"/>
    </x:xf>
    <x:xf numFmtId="0" fontId="2" fillId="10" borderId="0" xfId="0" applyNumberFormat="1" applyFont="1" applyFill="1" applyBorder="1" applyAlignment="1">
      <x:alignment vertical="center" wrapText="1"/>
    </x:xf>
    <x:xf numFmtId="0" fontId="2" fillId="10" borderId="9" xfId="0" applyNumberFormat="1" applyFont="1" applyFill="1" applyBorder="1" applyAlignment="1">
      <x:alignment vertical="center" wrapText="1"/>
    </x:xf>
    <x:xf numFmtId="0" fontId="2" fillId="8" borderId="7" xfId="0" applyNumberFormat="1" applyFont="1" applyFill="1" applyBorder="1"/>
    <x:xf numFmtId="0" fontId="2" fillId="8" borderId="8" xfId="0" applyNumberFormat="1" applyFont="1" applyFill="1" applyBorder="1"/>
    <x:xf numFmtId="0" fontId="2" fillId="8" borderId="17" xfId="0" applyNumberFormat="1" applyFont="1" applyFill="1" applyBorder="1"/>
    <x:xf numFmtId="0" fontId="2" fillId="8" borderId="14" xfId="0" applyNumberFormat="1" applyFont="1" applyFill="1" applyBorder="1"/>
    <x:xf numFmtId="201" fontId="2" fillId="8" borderId="7" xfId="0" applyNumberFormat="1" applyFont="1" applyFill="1" applyBorder="1" applyAlignment="1">
      <x:alignment vertical="top" wrapText="1"/>
    </x:xf>
    <x:xf numFmtId="201" fontId="2" fillId="8" borderId="0" xfId="0" applyNumberFormat="1" applyFont="1" applyFill="1" applyBorder="1" applyAlignment="1">
      <x:alignment vertical="top" wrapText="1"/>
    </x:xf>
    <x:xf numFmtId="201" fontId="2" fillId="8" borderId="8" xfId="0" applyNumberFormat="1" applyFont="1" applyFill="1" applyBorder="1" applyAlignment="1">
      <x:alignment vertical="top" wrapText="1"/>
    </x:xf>
    <x:xf numFmtId="201" fontId="2" fillId="8" borderId="17" xfId="0" applyNumberFormat="1" applyFont="1" applyFill="1" applyBorder="1" applyAlignment="1">
      <x:alignment vertical="top" wrapText="1"/>
    </x:xf>
    <x:xf numFmtId="201" fontId="2" fillId="8" borderId="9" xfId="0" applyNumberFormat="1" applyFont="1" applyFill="1" applyBorder="1" applyAlignment="1">
      <x:alignment vertical="top" wrapText="1"/>
    </x:xf>
    <x:xf numFmtId="201" fontId="2" fillId="8" borderId="14" xfId="0" applyNumberFormat="1" applyFont="1" applyFill="1" applyBorder="1" applyAlignment="1">
      <x:alignment vertical="top" wrapText="1"/>
    </x:xf>
    <x:xf numFmtId="202" fontId="2" fillId="8" borderId="7" xfId="0" applyNumberFormat="1" applyFont="1" applyFill="1" applyBorder="1" applyAlignment="1">
      <x:alignment vertical="top" wrapText="1"/>
    </x:xf>
    <x:xf numFmtId="202" fontId="2" fillId="8" borderId="0" xfId="0" applyNumberFormat="1" applyFont="1" applyFill="1" applyBorder="1" applyAlignment="1">
      <x:alignment vertical="top" wrapText="1"/>
    </x:xf>
    <x:xf numFmtId="202" fontId="2" fillId="8" borderId="8" xfId="0" applyNumberFormat="1" applyFont="1" applyFill="1" applyBorder="1" applyAlignment="1">
      <x:alignment vertical="top" wrapText="1"/>
    </x:xf>
    <x:xf numFmtId="202" fontId="2" fillId="8" borderId="17" xfId="0" applyNumberFormat="1" applyFont="1" applyFill="1" applyBorder="1" applyAlignment="1">
      <x:alignment vertical="top" wrapText="1"/>
    </x:xf>
    <x:xf numFmtId="202" fontId="2" fillId="8" borderId="9" xfId="0" applyNumberFormat="1" applyFont="1" applyFill="1" applyBorder="1" applyAlignment="1">
      <x:alignment vertical="top" wrapText="1"/>
    </x:xf>
    <x:xf numFmtId="202" fontId="2" fillId="8" borderId="14" xfId="0" applyNumberFormat="1" applyFont="1" applyFill="1" applyBorder="1" applyAlignment="1">
      <x:alignment vertical="top" wrapText="1"/>
    </x:xf>
    <x:xf numFmtId="200" fontId="2" fillId="8" borderId="2" xfId="0" applyNumberFormat="1" applyFont="1" applyFill="1" applyBorder="1" applyAlignment="1">
      <x:alignment vertical="top" wrapText="1"/>
    </x:xf>
    <x:xf numFmtId="200" fontId="2" fillId="8" borderId="4" xfId="0" applyNumberFormat="1" applyFont="1" applyFill="1" applyBorder="1" applyAlignment="1">
      <x:alignment vertical="top" wrapText="1"/>
    </x:xf>
    <x:xf numFmtId="200" fontId="2" fillId="8" borderId="6" xfId="0" applyNumberFormat="1" applyFont="1" applyFill="1" applyBorder="1" applyAlignment="1">
      <x:alignment vertical="top" wrapText="1"/>
    </x:xf>
    <x:xf numFmtId="200" fontId="2" fillId="8" borderId="16" xfId="0" applyNumberFormat="1" applyFont="1" applyFill="1" applyBorder="1" applyAlignment="1">
      <x:alignment vertical="top" wrapText="1"/>
    </x:xf>
    <x:xf numFmtId="200" fontId="2" fillId="8" borderId="11" xfId="0" applyNumberFormat="1" applyFont="1" applyFill="1" applyBorder="1" applyAlignment="1">
      <x:alignment vertical="top" wrapText="1"/>
    </x:xf>
    <x:xf numFmtId="200" fontId="2" fillId="8" borderId="13" xfId="0" applyNumberFormat="1" applyFont="1" applyFill="1" applyBorder="1" applyAlignment="1">
      <x:alignment vertical="top" wrapText="1"/>
    </x:xf>
    <x:xf numFmtId="203" fontId="2" fillId="8" borderId="7" xfId="0" applyNumberFormat="1" applyFont="1" applyFill="1" applyBorder="1" applyAlignment="1">
      <x:alignment vertical="top" wrapText="1"/>
    </x:xf>
    <x:xf numFmtId="203" fontId="2" fillId="8" borderId="0" xfId="0" applyNumberFormat="1" applyFont="1" applyFill="1" applyBorder="1" applyAlignment="1">
      <x:alignment vertical="top" wrapText="1"/>
    </x:xf>
    <x:xf numFmtId="203" fontId="2" fillId="8" borderId="17" xfId="0" applyNumberFormat="1" applyFont="1" applyFill="1" applyBorder="1" applyAlignment="1">
      <x:alignment vertical="top" wrapText="1"/>
    </x:xf>
    <x:xf numFmtId="203" fontId="2" fillId="8" borderId="9" xfId="0" applyNumberFormat="1" applyFont="1" applyFill="1" applyBorder="1" applyAlignment="1">
      <x:alignment vertical="top" wrapText="1"/>
    </x:xf>
    <x:xf numFmtId="0" fontId="2" fillId="9" borderId="8" xfId="0" applyNumberFormat="1" applyFont="1" applyFill="1" applyBorder="1" applyAlignment="1">
      <x:alignment vertical="top" wrapText="1"/>
    </x:xf>
    <x:xf numFmtId="0" fontId="2" fillId="9" borderId="14"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vertical="center"/>
    </x:xf>
    <x:xf numFmtId="0" fontId="0" fillId="7" borderId="9" xfId="0" applyNumberFormat="1" applyFont="1" applyFill="1" applyBorder="1"/>
    <x:xf numFmtId="0" fontId="3" fillId="7" borderId="9" xfId="0" applyNumberFormat="1" applyFont="1" applyFill="1" applyBorder="1"/>
    <x:xf numFmtId="0" fontId="3" fillId="7" borderId="9" xfId="0" applyNumberFormat="1" applyFont="1" applyFill="1" applyBorder="1" applyAlignment="1">
      <x:alignment vertical="center"/>
    </x:xf>
    <x:xf numFmtId="0" fontId="0" fillId="8" borderId="0" xfId="0" applyNumberFormat="1" applyFont="1" applyFill="1" applyBorder="1"/>
    <x:xf numFmtId="0" fontId="0" fillId="8" borderId="9" xfId="0" applyNumberFormat="1" applyFont="1" applyFill="1" applyBorder="1"/>
    <x:xf numFmtId="0" fontId="0" fillId="11" borderId="0" xfId="0" applyNumberFormat="1" applyFont="1" applyFill="1" applyBorder="1"/>
    <x:xf numFmtId="0" fontId="0" fillId="11" borderId="9" xfId="0" applyNumberFormat="1" applyFont="1" applyFill="1" applyBorder="1"/>
    <x:xf numFmtId="0" fontId="0" fillId="10" borderId="0" xfId="0" applyNumberFormat="1" applyFont="1" applyFill="1" applyBorder="1"/>
    <x:xf numFmtId="0" fontId="0" fillId="10" borderId="9" xfId="0" applyNumberFormat="1" applyFont="1" applyFill="1" applyBorder="1"/>
    <x:xf numFmtId="0" fontId="0" fillId="9" borderId="0" xfId="0" applyNumberFormat="1" applyFont="1" applyFill="1" applyBorder="1"/>
    <x:xf numFmtId="0" fontId="0" fillId="9" borderId="9" xfId="0" applyNumberFormat="1" applyFont="1" applyFill="1" applyBorder="1"/>
    <x:xf numFmtId="0" fontId="2" fillId="9" borderId="18" xfId="0" applyNumberFormat="1" applyFont="1" applyFill="1" applyBorder="1" applyAlignment="1">
      <x:alignment vertical="center" wrapText="1"/>
    </x:xf>
    <x:xf numFmtId="0" fontId="2" fillId="9" borderId="22" xfId="0" applyNumberFormat="1" applyFont="1" applyFill="1" applyBorder="1" applyAlignment="1">
      <x:alignment vertical="center" wrapText="1"/>
    </x:xf>
    <x:xf numFmtId="0" fontId="2" fillId="9" borderId="19" xfId="0" applyNumberFormat="1" applyFont="1" applyFill="1" applyBorder="1" applyAlignment="1">
      <x:alignment vertical="center" wrapText="1"/>
    </x:xf>
    <x:xf numFmtId="0" fontId="2" fillId="9" borderId="20" xfId="0" applyNumberFormat="1" applyFont="1" applyFill="1" applyBorder="1" applyAlignment="1">
      <x:alignment vertical="center" wrapText="1"/>
    </x:xf>
    <x:xf numFmtId="0" fontId="2" fillId="9" borderId="23" xfId="0" applyNumberFormat="1" applyFont="1" applyFill="1" applyBorder="1" applyAlignment="1">
      <x:alignment vertical="center" wrapText="1"/>
    </x:xf>
    <x:xf numFmtId="0" fontId="2" fillId="9" borderId="21" xfId="0" applyNumberFormat="1" applyFont="1" applyFill="1" applyBorder="1" applyAlignment="1">
      <x:alignment vertical="center" wrapText="1"/>
    </x:xf>
    <x:xf numFmtId="203" fontId="2" fillId="8" borderId="7" xfId="0" applyNumberFormat="1" applyFont="1" applyFill="1" applyBorder="1" applyAlignment="1">
      <x:alignment horizontal="center" vertical="top" wrapText="1"/>
    </x:xf>
    <x:xf numFmtId="203" fontId="2" fillId="8" borderId="0" xfId="0" applyNumberFormat="1" applyFont="1" applyFill="1" applyBorder="1" applyAlignment="1">
      <x:alignment horizontal="center" vertical="top" wrapText="1"/>
    </x:xf>
    <x:xf numFmtId="164" fontId="2" fillId="8" borderId="0" xfId="0" applyNumberFormat="1" applyFont="1" applyFill="1" applyBorder="1" applyAlignment="1">
      <x:alignment horizontal="center" vertical="top" wrapText="1"/>
    </x:xf>
    <x:xf numFmtId="0" fontId="2" fillId="9" borderId="8" xfId="0" applyNumberFormat="1" applyFont="1" applyFill="1" applyBorder="1" applyAlignment="1">
      <x:alignment horizontal="center" vertical="center" wrapText="1"/>
    </x:xf>
    <x:xf numFmtId="203" fontId="2" fillId="8" borderId="17" xfId="0" applyNumberFormat="1" applyFont="1" applyFill="1" applyBorder="1" applyAlignment="1">
      <x:alignment horizontal="center" vertical="top" wrapText="1"/>
    </x:xf>
    <x:xf numFmtId="203" fontId="2" fillId="8" borderId="9" xfId="0" applyNumberFormat="1" applyFont="1" applyFill="1" applyBorder="1" applyAlignment="1">
      <x:alignment horizontal="center" vertical="top" wrapText="1"/>
    </x:xf>
    <x:xf numFmtId="164" fontId="2" fillId="8" borderId="9" xfId="0" applyNumberFormat="1" applyFont="1" applyFill="1" applyBorder="1" applyAlignment="1">
      <x:alignment horizontal="center" vertical="top" wrapText="1"/>
    </x:xf>
    <x:xf numFmtId="0" fontId="2" fillId="9" borderId="14" xfId="0" applyNumberFormat="1" applyFont="1" applyFill="1" applyBorder="1" applyAlignment="1">
      <x:alignment horizontal="center" vertical="center" wrapText="1"/>
    </x:xf>
    <x:xf numFmtId="203" fontId="2" fillId="8" borderId="7" xfId="0" applyNumberFormat="1" applyFont="1" applyFill="1" applyBorder="1" applyAlignment="1">
      <x:alignment horizontal="center" vertical="center" wrapText="1"/>
    </x:xf>
    <x:xf numFmtId="203" fontId="2" fillId="8" borderId="0" xfId="0" applyNumberFormat="1" applyFont="1" applyFill="1" applyBorder="1" applyAlignment="1">
      <x:alignment horizontal="center" vertical="center" wrapText="1"/>
    </x:xf>
    <x:xf numFmtId="164" fontId="2" fillId="8" borderId="0" xfId="0" applyNumberFormat="1" applyFont="1" applyFill="1" applyBorder="1" applyAlignment="1">
      <x:alignment horizontal="center" vertical="center" wrapText="1"/>
    </x:xf>
    <x:xf numFmtId="203" fontId="2" fillId="8" borderId="17" xfId="0" applyNumberFormat="1" applyFont="1" applyFill="1" applyBorder="1" applyAlignment="1">
      <x:alignment horizontal="center" vertical="center" wrapText="1"/>
    </x:xf>
    <x:xf numFmtId="203" fontId="2" fillId="8" borderId="9" xfId="0" applyNumberFormat="1" applyFont="1" applyFill="1" applyBorder="1" applyAlignment="1">
      <x:alignment horizontal="center" vertical="center" wrapText="1"/>
    </x:xf>
    <x:xf numFmtId="164" fontId="2" fillId="8" borderId="9" xfId="0" applyNumberFormat="1" applyFont="1" applyFill="1" applyBorder="1" applyAlignment="1">
      <x:alignment horizontal="center" vertical="center" wrapText="1"/>
    </x:xf>
    <x:xf numFmtId="0" fontId="2" fillId="8" borderId="22" xfId="0" applyNumberFormat="1" applyFont="1" applyFill="1" applyBorder="1"/>
    <x:xf numFmtId="0" fontId="2" fillId="8" borderId="19" xfId="0" applyNumberFormat="1" applyFont="1" applyFill="1" applyBorder="1"/>
    <x:xf numFmtId="0" fontId="2" fillId="8" borderId="23" xfId="0" applyNumberFormat="1" applyFont="1" applyFill="1" applyBorder="1"/>
    <x:xf numFmtId="0" fontId="2" fillId="8" borderId="21" xfId="0" applyNumberFormat="1" applyFont="1" applyFill="1" applyBorder="1"/>
    <x:xf numFmtId="0" fontId="0" fillId="0" borderId="0" xfId="0" applyNumberFormat="1" applyFont="1" applyFill="1" applyBorder="1"/>
    <x:xf numFmtId="0" fontId="2" fillId="0" borderId="0" xfId="0" applyNumberFormat="1" applyFont="1" applyFill="1" applyBorder="1"/>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3" fillId="2" borderId="0" xfId="0" applyNumberFormat="1" applyFont="1" applyFill="1" applyBorder="1" applyAlignment="1">
      <x:alignment horizontal="left" vertical="center"/>
    </x:xf>
    <x:xf numFmtId="0" fontId="2" fillId="0" borderId="3" xfId="0" applyNumberFormat="1" applyFont="1" applyFill="1" applyBorder="1"/>
    <x:xf numFmtId="164" fontId="2" fillId="0" borderId="0" xfId="0" applyNumberFormat="1" applyFont="1" applyFill="1" applyBorder="1"/>
    <x:xf numFmtId="164" fontId="2" fillId="0" borderId="4" xfId="0" applyNumberFormat="1" applyFont="1" applyFill="1" applyBorder="1"/>
    <x:xf numFmtId="0" fontId="2" fillId="0" borderId="5" xfId="0" applyNumberFormat="1" applyFont="1" applyFill="1" applyBorder="1"/>
    <x:xf numFmtId="0" fontId="2" fillId="0" borderId="8" xfId="0" applyNumberFormat="1" applyFont="1" applyFill="1" applyBorder="1"/>
    <x:xf numFmtId="164" fontId="2" fillId="0" borderId="8" xfId="0" applyNumberFormat="1" applyFont="1" applyFill="1" applyBorder="1"/>
    <x:xf numFmtId="164" fontId="2" fillId="0" borderId="6" xfId="0" applyNumberFormat="1" applyFont="1" applyFill="1" applyBorder="1"/>
    <x:xf numFmtId="0" fontId="1" fillId="0" borderId="1" xfId="0" applyNumberFormat="1" applyFont="1" applyFill="1" applyBorder="1" applyAlignment="1">
      <x:alignment wrapText="1"/>
    </x:xf>
    <x:xf numFmtId="0" fontId="1" fillId="0" borderId="3" xfId="0" applyNumberFormat="1" applyFont="1" applyFill="1" applyBorder="1" applyAlignment="1">
      <x:alignment wrapText="1"/>
    </x:xf>
    <x:xf numFmtId="0" fontId="2" fillId="0" borderId="0" xfId="0" applyNumberFormat="1" applyFont="1" applyFill="1" applyBorder="1" applyAlignment="1">
      <x:alignment wrapText="1"/>
    </x:xf>
    <x:xf numFmtId="0" fontId="1" fillId="0" borderId="5" xfId="0" applyNumberFormat="1" applyFont="1" applyFill="1" applyBorder="1" applyAlignment="1">
      <x:alignment wrapText="1"/>
    </x:xf>
    <x:xf numFmtId="0" fontId="2" fillId="0" borderId="8" xfId="0" applyNumberFormat="1" applyFont="1" applyFill="1" applyBorder="1" applyAlignment="1">
      <x:alignment wrapText="1"/>
    </x:xf>
    <x:xf numFmtId="164" fontId="2" fillId="0" borderId="0" xfId="0" applyNumberFormat="1" applyFont="1" applyFill="1" applyBorder="1" applyAlignment="1">
      <x:alignment wrapText="1"/>
    </x:xf>
    <x:xf numFmtId="164" fontId="2" fillId="0" borderId="8" xfId="0" applyNumberFormat="1" applyFont="1" applyFill="1" applyBorder="1" applyAlignment="1">
      <x:alignment wrapText="1"/>
    </x:xf>
    <x:xf numFmtId="165" fontId="2" fillId="0" borderId="4" xfId="0" applyNumberFormat="1" applyFont="1" applyFill="1" applyBorder="1"/>
    <x:xf numFmtId="165" fontId="2" fillId="0" borderId="6" xfId="0" applyNumberFormat="1" applyFont="1" applyFill="1" applyBorder="1"/>
    <x:xf numFmtId="165" fontId="2" fillId="0" borderId="0" xfId="0" applyNumberFormat="1" applyFont="1" applyFill="1" applyBorder="1"/>
    <x:xf numFmtId="165" fontId="2" fillId="0" borderId="8" xfId="0" applyNumberFormat="1" applyFont="1" applyFill="1" applyBorder="1"/>
    <x:xf numFmtId="166" fontId="2" fillId="0" borderId="4" xfId="0" applyNumberFormat="1" applyFont="1" applyFill="1" applyBorder="1"/>
    <x:xf numFmtId="166" fontId="2" fillId="0" borderId="6" xfId="0" applyNumberFormat="1" applyFont="1" applyFill="1" applyBorder="1"/>
    <x:xf numFmtId="166" fontId="2" fillId="0" borderId="0" xfId="0" applyNumberFormat="1" applyFont="1" applyFill="1" applyBorder="1"/>
    <x:xf numFmtId="2" fontId="2" fillId="0" borderId="4" xfId="0" applyNumberFormat="1" applyFont="1" applyFill="1" applyBorder="1"/>
    <x:xf numFmtId="166" fontId="2" fillId="0" borderId="8" xfId="0" applyNumberFormat="1" applyFont="1" applyFill="1" applyBorder="1"/>
    <x:xf numFmtId="2" fontId="2" fillId="0" borderId="6" xfId="0" applyNumberFormat="1" applyFont="1" applyFill="1" applyBorder="1"/>
    <x:xf numFmtId="164" fontId="2" fillId="0" borderId="4" xfId="0" applyNumberFormat="1" applyFont="1" applyFill="1" applyBorder="1" applyAlignment="1">
      <x:alignment wrapText="1"/>
    </x:xf>
    <x:xf numFmtId="164" fontId="2" fillId="0" borderId="6" xfId="0" applyNumberFormat="1" applyFont="1" applyFill="1" applyBorder="1" applyAlignment="1">
      <x:alignment wrapText="1"/>
    </x:xf>
    <x:xf numFmtId="0" fontId="2" fillId="0" borderId="4" xfId="0" applyNumberFormat="1" applyFont="1" applyFill="1" applyBorder="1"/>
    <x:xf numFmtId="0" fontId="2" fillId="0" borderId="6" xfId="0" applyNumberFormat="1" applyFont="1" applyFill="1" applyBorder="1"/>
    <x:xf numFmtId="0" fontId="4" fillId="4" borderId="1" xfId="0" applyNumberFormat="1" applyFont="1" applyFill="1" applyBorder="1" applyAlignment="1">
      <x:alignment horizontal="center" vertical="center" wrapText="1"/>
    </x:xf>
    <x:xf numFmtId="0" fontId="4" fillId="4" borderId="2" xfId="0" applyNumberFormat="1" applyFont="1" applyFill="1" applyBorder="1" applyAlignment="1">
      <x:alignment horizontal="center" vertical="center" wrapText="1"/>
    </x:xf>
    <x:xf numFmtId="0" fontId="4" fillId="4" borderId="7"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2" fillId="5" borderId="0" xfId="0" applyNumberFormat="1" applyFont="1" applyFill="1" applyBorder="1" applyAlignment="1">
      <x:alignment vertical="center" wrapText="1"/>
    </x:xf>
    <x:xf numFmtId="0" fontId="4" fillId="4" borderId="0" xfId="0" applyNumberFormat="1" applyFont="1" applyFill="1" applyBorder="1" applyAlignment="1">
      <x:alignment horizontal="center" vertical="center" wrapText="1"/>
    </x:xf>
    <x:xf numFmtId="0" fontId="2" fillId="0" borderId="7" xfId="0" applyNumberFormat="1" applyFont="1" applyFill="1" applyBorder="1" applyAlignment="1">
      <x:alignment wrapText="1"/>
    </x:xf>
    <x:xf numFmtId="0" fontId="2" fillId="0" borderId="2" xfId="0" applyNumberFormat="1" applyFont="1" applyFill="1" applyBorder="1" applyAlignment="1">
      <x:alignment wrapText="1"/>
    </x:xf>
    <x:xf numFmtId="0" fontId="2" fillId="6" borderId="0" xfId="0" applyNumberFormat="1" applyFont="1" applyFill="1" applyBorder="1" applyAlignment="1">
      <x:alignment vertical="center" wrapText="1"/>
    </x:xf>
    <x:xf numFmtId="0" fontId="5" fillId="0" borderId="0" xfId="0" applyNumberFormat="1" applyFont="1" applyFill="1" applyBorder="1"/>
    <x:xf numFmtId="0" fontId="7"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x:xf>
    <x:xf numFmtId="0" fontId="2" fillId="5" borderId="0" xfId="0" applyNumberFormat="1" applyFont="1" applyFill="1" applyBorder="1"/>
    <x:xf numFmtId="0" fontId="2" fillId="5" borderId="0" xfId="0" applyNumberFormat="1" applyFont="1" applyFill="1" applyBorder="1" applyAlignment="1">
      <x:alignment wrapText="1"/>
    </x:xf>
    <x:xf numFmtId="0" fontId="2" fillId="4" borderId="0" xfId="0" applyNumberFormat="1" applyFont="1" applyFill="1" applyBorder="1"/>
    <x:xf numFmtId="0" fontId="4" fillId="4" borderId="0" xfId="0" applyNumberFormat="1" applyFont="1" applyFill="1" applyBorder="1"/>
    <x:xf numFmtId="0" fontId="4" fillId="4" borderId="18" xfId="0" applyNumberFormat="1" applyFont="1" applyFill="1" applyBorder="1"/>
    <x:xf numFmtId="0" fontId="4" fillId="4" borderId="19" xfId="0" applyNumberFormat="1" applyFont="1" applyFill="1" applyBorder="1"/>
    <x:xf numFmtId="0" fontId="4" fillId="4" borderId="18" xfId="0" applyNumberFormat="1" applyFont="1" applyFill="1" applyBorder="1" applyAlignment="1">
      <x:alignment wrapText="1"/>
    </x:xf>
    <x:xf numFmtId="0" fontId="4" fillId="4" borderId="19" xfId="0" applyNumberFormat="1" applyFont="1" applyFill="1" applyBorder="1" applyAlignment="1">
      <x:alignment wrapText="1"/>
    </x:xf>
    <x:xf numFmtId="0" fontId="4" fillId="4" borderId="18" xfId="0" applyNumberFormat="1" applyFont="1" applyFill="1" applyBorder="1" applyAlignment="1">
      <x:alignment horizontal="center" wrapText="1"/>
    </x:xf>
    <x:xf numFmtId="0" fontId="4" fillId="4" borderId="19" xfId="0" applyNumberFormat="1" applyFont="1" applyFill="1" applyBorder="1" applyAlignment="1">
      <x:alignment horizontal="center" wrapText="1"/>
    </x:xf>
    <x:xf numFmtId="0" fontId="4" fillId="4" borderId="18" xfId="0" applyNumberFormat="1" applyFont="1" applyFill="1" applyBorder="1" applyAlignment="1">
      <x:alignment horizontal="center" vertical="center" wrapText="1"/>
    </x:xf>
    <x:xf numFmtId="0" fontId="4" fillId="4" borderId="19" xfId="0" applyNumberFormat="1" applyFont="1" applyFill="1" applyBorder="1" applyAlignment="1">
      <x:alignment horizontal="center" vertical="center" wrapText="1"/>
    </x:xf>
    <x:xf numFmtId="0" fontId="2" fillId="5" borderId="1" xfId="0" applyNumberFormat="1" applyFont="1" applyFill="1" applyBorder="1"/>
    <x:xf numFmtId="0" fontId="2" fillId="5" borderId="2" xfId="0" applyNumberFormat="1" applyFont="1" applyFill="1" applyBorder="1"/>
    <x:xf numFmtId="0" fontId="2" fillId="5" borderId="3" xfId="0" applyNumberFormat="1" applyFont="1" applyFill="1" applyBorder="1"/>
    <x:xf numFmtId="0" fontId="2" fillId="5" borderId="4" xfId="0" applyNumberFormat="1" applyFont="1" applyFill="1" applyBorder="1"/>
    <x:xf numFmtId="0" fontId="2" fillId="5" borderId="5" xfId="0" applyNumberFormat="1" applyFont="1" applyFill="1" applyBorder="1"/>
    <x:xf numFmtId="0" fontId="2" fillId="5" borderId="6" xfId="0" applyNumberFormat="1" applyFont="1" applyFill="1" applyBorder="1"/>
    <x:xf numFmtId="0" fontId="2" fillId="5" borderId="1" xfId="0" applyNumberFormat="1" applyFont="1" applyFill="1" applyBorder="1" applyAlignment="1">
      <x:alignment wrapText="1"/>
    </x:xf>
    <x:xf numFmtId="0" fontId="2" fillId="5" borderId="2" xfId="0" applyNumberFormat="1" applyFont="1" applyFill="1" applyBorder="1" applyAlignment="1">
      <x:alignment wrapText="1"/>
    </x:xf>
    <x:xf numFmtId="0" fontId="2" fillId="5" borderId="3" xfId="0" applyNumberFormat="1" applyFont="1" applyFill="1" applyBorder="1" applyAlignment="1">
      <x:alignment wrapText="1"/>
    </x:xf>
    <x:xf numFmtId="0" fontId="2" fillId="5" borderId="4" xfId="0" applyNumberFormat="1" applyFont="1" applyFill="1" applyBorder="1" applyAlignment="1">
      <x:alignment wrapText="1"/>
    </x:xf>
    <x:xf numFmtId="0" fontId="2" fillId="5" borderId="5" xfId="0" applyNumberFormat="1" applyFont="1" applyFill="1" applyBorder="1" applyAlignment="1">
      <x:alignment wrapText="1"/>
    </x:xf>
    <x:xf numFmtId="0" fontId="2" fillId="5" borderId="6" xfId="0" applyNumberFormat="1" applyFont="1" applyFill="1" applyBorder="1" applyAlignment="1">
      <x:alignment wrapText="1"/>
    </x:xf>
    <x:xf numFmtId="0" fontId="2" fillId="5" borderId="1" xfId="0" applyNumberFormat="1" applyFont="1" applyFill="1" applyBorder="1" applyAlignment="1">
      <x:alignment vertical="center" wrapText="1"/>
    </x:xf>
    <x:xf numFmtId="0" fontId="2" fillId="5" borderId="2" xfId="0" applyNumberFormat="1" applyFont="1" applyFill="1" applyBorder="1" applyAlignment="1">
      <x:alignment vertical="center" wrapText="1"/>
    </x:xf>
    <x:xf numFmtId="0" fontId="2" fillId="5" borderId="3" xfId="0" applyNumberFormat="1" applyFont="1" applyFill="1" applyBorder="1" applyAlignment="1">
      <x:alignment vertical="center" wrapText="1"/>
    </x:xf>
    <x:xf numFmtId="0" fontId="2" fillId="5" borderId="4" xfId="0" applyNumberFormat="1" applyFont="1" applyFill="1" applyBorder="1" applyAlignment="1">
      <x:alignment vertical="center" wrapText="1"/>
    </x:xf>
    <x:xf numFmtId="0" fontId="2" fillId="5" borderId="5" xfId="0" applyNumberFormat="1" applyFont="1" applyFill="1" applyBorder="1" applyAlignment="1">
      <x:alignment vertical="center" wrapText="1"/>
    </x:xf>
    <x:xf numFmtId="0" fontId="2" fillId="5" borderId="6" xfId="0" applyNumberFormat="1" applyFont="1" applyFill="1" applyBorder="1" applyAlignment="1">
      <x:alignment vertical="center" wrapText="1"/>
    </x:xf>
    <x:xf numFmtId="0" fontId="4" fillId="4" borderId="22" xfId="0" applyNumberFormat="1" applyFont="1" applyFill="1" applyBorder="1" applyAlignment="1">
      <x:alignment horizontal="center" vertical="center" wrapText="1"/>
    </x:xf>
    <x:xf numFmtId="0" fontId="4" fillId="4" borderId="22" xfId="0" applyNumberFormat="1" applyFont="1" applyFill="1" applyBorder="1"/>
    <x:xf numFmtId="0" fontId="4" fillId="4" borderId="22" xfId="0" applyNumberFormat="1" applyFont="1" applyFill="1" applyBorder="1" applyAlignment="1">
      <x:alignment wrapText="1"/>
    </x:xf>
    <x:xf numFmtId="0" fontId="4" fillId="4" borderId="22" xfId="0" applyNumberFormat="1" applyFont="1" applyFill="1" applyBorder="1" applyAlignment="1">
      <x:alignment horizontal="center" wrapText="1"/>
    </x:xf>
    <x:xf numFmtId="0" fontId="2" fillId="5" borderId="7" xfId="0" applyNumberFormat="1" applyFont="1" applyFill="1" applyBorder="1"/>
    <x:xf numFmtId="0" fontId="2" fillId="5" borderId="8" xfId="0" applyNumberFormat="1" applyFont="1" applyFill="1" applyBorder="1"/>
    <x:xf numFmtId="0" fontId="2" fillId="5" borderId="7" xfId="0" applyNumberFormat="1" applyFont="1" applyFill="1" applyBorder="1" applyAlignment="1">
      <x:alignment wrapText="1"/>
    </x:xf>
    <x:xf numFmtId="0" fontId="2" fillId="5" borderId="8" xfId="0" applyNumberFormat="1" applyFont="1" applyFill="1" applyBorder="1" applyAlignment="1">
      <x:alignment wrapText="1"/>
    </x:xf>
    <x:xf numFmtId="0" fontId="2" fillId="5" borderId="7" xfId="0" applyNumberFormat="1" applyFont="1" applyFill="1" applyBorder="1" applyAlignment="1">
      <x:alignment vertical="center" wrapText="1"/>
    </x:xf>
    <x:xf numFmtId="0" fontId="2" fillId="5" borderId="8" xfId="0" applyNumberFormat="1" applyFont="1" applyFill="1" applyBorder="1" applyAlignment="1">
      <x:alignment vertical="center" wrapText="1"/>
    </x:xf>
    <x:xf numFmtId="0" fontId="2" fillId="5" borderId="8"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4" borderId="0" xfId="0" applyNumberFormat="1" applyFont="1" applyFill="1" applyBorder="1"/>
    <x:xf numFmtId="0" fontId="0" fillId="5" borderId="0" xfId="0" applyNumberFormat="1" applyFont="1" applyFill="1" applyBorder="1"/>
    <x:xf numFmtId="0" fontId="2" fillId="5" borderId="18" xfId="0" applyNumberFormat="1" applyFont="1" applyFill="1" applyBorder="1" applyAlignment="1">
      <x:alignment vertical="center" wrapText="1"/>
    </x:xf>
    <x:xf numFmtId="0" fontId="2" fillId="5" borderId="22" xfId="0" applyNumberFormat="1" applyFont="1" applyFill="1" applyBorder="1" applyAlignment="1">
      <x:alignment vertical="center" wrapText="1"/>
    </x:xf>
    <x:xf numFmtId="0" fontId="2" fillId="5" borderId="19" xfId="0" applyNumberFormat="1" applyFont="1" applyFill="1" applyBorder="1" applyAlignment="1">
      <x:alignment vertical="center" wrapText="1"/>
    </x:xf>
    <x:xf numFmtId="0" fontId="2" fillId="5" borderId="8" xfId="0" applyNumberFormat="1" applyFont="1" applyFill="1" applyBorder="1" applyAlignment="1">
      <x:alignment horizontal="center" vertical="center" wrapText="1"/>
    </x:xf>
    <x:xf numFmtId="0" fontId="4" fillId="12" borderId="18" xfId="0" applyNumberFormat="1" applyFont="1" applyFill="1" applyBorder="1" applyAlignment="1">
      <x:alignment horizontal="center" vertical="center" wrapText="1"/>
    </x:xf>
    <x:xf numFmtId="0" fontId="4" fillId="12" borderId="22" xfId="0" applyNumberFormat="1" applyFont="1" applyFill="1" applyBorder="1" applyAlignment="1">
      <x:alignment horizontal="center" vertical="center" wrapText="1"/>
    </x:xf>
    <x:xf numFmtId="0" fontId="4" fillId="12" borderId="19" xfId="0" applyNumberFormat="1" applyFont="1" applyFill="1" applyBorder="1" applyAlignment="1">
      <x:alignment horizontal="center" vertical="center" wrapText="1"/>
    </x:xf>
    <x:xf numFmtId="0" fontId="2" fillId="13" borderId="1" xfId="0" applyNumberFormat="1" applyFont="1" applyFill="1" applyBorder="1" applyAlignment="1">
      <x:alignment vertical="top" wrapText="1"/>
    </x:xf>
    <x:xf numFmtId="0" fontId="2" fillId="13" borderId="7" xfId="0" applyNumberFormat="1" applyFont="1" applyFill="1" applyBorder="1" applyAlignment="1">
      <x:alignment vertical="top" wrapText="1"/>
    </x:xf>
    <x:xf numFmtId="0" fontId="2" fillId="13" borderId="2" xfId="0" applyNumberFormat="1" applyFont="1" applyFill="1" applyBorder="1" applyAlignment="1">
      <x:alignment vertical="top" wrapText="1"/>
    </x:xf>
    <x:xf numFmtId="0" fontId="2" fillId="13" borderId="3" xfId="0" applyNumberFormat="1" applyFont="1" applyFill="1" applyBorder="1" applyAlignment="1">
      <x:alignment vertical="top" wrapText="1"/>
    </x:xf>
    <x:xf numFmtId="0" fontId="2" fillId="13" borderId="0" xfId="0" applyNumberFormat="1" applyFont="1" applyFill="1" applyBorder="1" applyAlignment="1">
      <x:alignment vertical="top" wrapText="1"/>
    </x:xf>
    <x:xf numFmtId="0" fontId="2" fillId="13" borderId="4" xfId="0" applyNumberFormat="1" applyFont="1" applyFill="1" applyBorder="1" applyAlignment="1">
      <x:alignment vertical="top" wrapText="1"/>
    </x:xf>
    <x:xf numFmtId="0" fontId="2" fillId="13" xfId="0" applyNumberFormat="1" applyFont="1" applyFill="1" applyBorder="0" applyAlignment="1">
      <x:alignment vertical="top" wrapText="1"/>
    </x:xf>
    <x:xf numFmtId="0" fontId="2" fillId="13" borderId="5" xfId="0" applyNumberFormat="1" applyFont="1" applyFill="1" applyBorder="1" applyAlignment="1">
      <x:alignment vertical="top" wrapText="1"/>
    </x:xf>
    <x:xf numFmtId="0" fontId="2" fillId="13" borderId="8" xfId="0" applyNumberFormat="1" applyFont="1" applyFill="1" applyBorder="1" applyAlignment="1">
      <x:alignment vertical="top" wrapText="1"/>
    </x:xf>
    <x:xf numFmtId="0" fontId="2" fillId="13" borderId="6" xfId="0" applyNumberFormat="1" applyFont="1" applyFill="1" applyBorder="1" applyAlignment="1">
      <x:alignment vertical="top" wrapText="1"/>
    </x:xf>
    <x:xf numFmtId="0" fontId="3" fillId="14" borderId="0" xfId="0" applyNumberFormat="1" applyFont="1" applyFill="1" applyBorder="1" applyAlignment="1">
      <x:alignment horizontal="left" vertical="center"/>
    </x:xf>
    <x:xf numFmtId="0" fontId="2" fillId="13" borderId="0" xfId="0" applyNumberFormat="1" applyFont="1" applyFill="1" applyBorder="1" applyAlignment="1">
      <x:alignment vertical="center" wrapText="1"/>
    </x:xf>
    <x:xf numFmtId="0" fontId="3" fillId="14"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9cc58a8fa934ec5" /><Relationship Type="http://schemas.openxmlformats.org/officeDocument/2006/relationships/theme" Target="/xl/theme/theme1.xml" Id="R2ac7f2704efa46bc" /><Relationship Type="http://schemas.openxmlformats.org/officeDocument/2006/relationships/sharedStrings" Target="/xl/sharedStrings.xml" Id="Rff3e1147295c4031" /><Relationship Type="http://schemas.openxmlformats.org/officeDocument/2006/relationships/worksheet" Target="/xl/worksheets/sheet1.xml" Id="Re71d2bf7c3cc46d8" /><Relationship Type="http://schemas.openxmlformats.org/officeDocument/2006/relationships/worksheet" Target="/xl/worksheets/sheet2.xml" Id="Rc07082c56a914dfc" /><Relationship Type="http://schemas.openxmlformats.org/officeDocument/2006/relationships/worksheet" Target="/xl/worksheets/sheet3.xml" Id="R2a0db2bd59864d32" /><Relationship Type="http://schemas.openxmlformats.org/officeDocument/2006/relationships/worksheet" Target="/xl/worksheets/sheet4.xml" Id="Ra1982ef9ccb84088" /><Relationship Type="http://schemas.openxmlformats.org/officeDocument/2006/relationships/worksheet" Target="/xl/worksheets/sheet5.xml" Id="Rdc96097be21a4d88" /><Relationship Type="http://schemas.openxmlformats.org/officeDocument/2006/relationships/worksheet" Target="/xl/worksheets/sheet6.xml" Id="R6535a57078a84577" /><Relationship Type="http://schemas.openxmlformats.org/officeDocument/2006/relationships/worksheet" Target="/xl/worksheets/sheet7.xml" Id="R258b26c470ae4381" /><Relationship Type="http://schemas.openxmlformats.org/officeDocument/2006/relationships/worksheet" Target="/xl/worksheets/sheet8.xml" Id="R1c10893784f64630" /><Relationship Type="http://schemas.openxmlformats.org/officeDocument/2006/relationships/worksheet" Target="/xl/worksheets/sheet9.xml" Id="Ra2a37b1ec8804e31" /><Relationship Type="http://schemas.openxmlformats.org/officeDocument/2006/relationships/worksheet" Target="/xl/worksheets/sheet10.xml" Id="R4d1c49b4c3af41c6" /><Relationship Type="http://schemas.openxmlformats.org/officeDocument/2006/relationships/worksheet" Target="/xl/worksheets/sheet11.xml" Id="R57492445db56492e" /><Relationship Type="http://schemas.openxmlformats.org/officeDocument/2006/relationships/worksheet" Target="/xl/worksheets/sheet12.xml" Id="R9cab0fa6a50a438a" /><Relationship Type="http://schemas.openxmlformats.org/officeDocument/2006/relationships/worksheet" Target="/xl/worksheets/sheet13.xml" Id="Ref814de780cc44cc" /><Relationship Type="http://schemas.openxmlformats.org/officeDocument/2006/relationships/worksheet" Target="/xl/worksheets/sheet14.xml" Id="Rb0198802d276404e" /></Relationships>
</file>

<file path=xl/drawings/_rels/drawing1.xml.rels>&#65279;<?xml version="1.0" encoding="utf-8"?><Relationships xmlns="http://schemas.openxmlformats.org/package/2006/relationships"><Relationship Type="http://schemas.openxmlformats.org/officeDocument/2006/relationships/chart" Target="/xl/drawings/charts/chart1.xml" Id="Rd94a56cef09d42a4" /><Relationship Type="http://schemas.openxmlformats.org/officeDocument/2006/relationships/chart" Target="/xl/drawings/charts/chart2.xml" Id="R80ceeef34c7e4767" /></Relationships>
</file>

<file path=xl/drawings/_rels/drawing2.xml.rels>&#65279;<?xml version="1.0" encoding="utf-8"?><Relationships xmlns="http://schemas.openxmlformats.org/package/2006/relationships"><Relationship Type="http://schemas.openxmlformats.org/officeDocument/2006/relationships/chart" Target="/xl/drawings/charts/chart3.xml" Id="R0fbc89c799bf423e" /></Relationships>
</file>

<file path=xl/drawings/_rels/drawing3.xml.rels>&#65279;<?xml version="1.0" encoding="utf-8"?><Relationships xmlns="http://schemas.openxmlformats.org/package/2006/relationships"><Relationship Type="http://schemas.openxmlformats.org/officeDocument/2006/relationships/chart" Target="/xl/drawings/charts/chart4.xml" Id="R77516a02dce64e7a" /></Relationships>
</file>

<file path=xl/drawings/_rels/drawing4.xml.rels>&#65279;<?xml version="1.0" encoding="utf-8"?><Relationships xmlns="http://schemas.openxmlformats.org/package/2006/relationships"><Relationship Type="http://schemas.openxmlformats.org/officeDocument/2006/relationships/chart" Target="/xl/drawings/charts/chart5.xml" Id="Rfa1dcf1f1b4c4b3c" /></Relationships>
</file>

<file path=xl/drawings/_rels/drawing5.xml.rels>&#65279;<?xml version="1.0" encoding="utf-8"?><Relationships xmlns="http://schemas.openxmlformats.org/package/2006/relationships"><Relationship Type="http://schemas.openxmlformats.org/officeDocument/2006/relationships/chart" Target="/xl/drawings/charts/chart6.xml" Id="R27f0e53fb4524263" /></Relationships>
</file>

<file path=xl/drawings/_rels/drawing6.xml.rels>&#65279;<?xml version="1.0" encoding="utf-8"?><Relationships xmlns="http://schemas.openxmlformats.org/package/2006/relationships"><Relationship Type="http://schemas.openxmlformats.org/officeDocument/2006/relationships/chart" Target="/xl/drawings/charts/chart7.xml" Id="Rf06ac5c4e02e42f4" /></Relationships>
</file>

<file path=xl/drawings/_rels/drawing7.xml.rels>&#65279;<?xml version="1.0" encoding="utf-8"?><Relationships xmlns="http://schemas.openxmlformats.org/package/2006/relationships"><Relationship Type="http://schemas.openxmlformats.org/officeDocument/2006/relationships/chart" Target="/xl/drawings/charts/chart8.xml" Id="Rbfb30bba3735426d"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a:t>Best cleaned accuracy and F1 by provider</a:t>
            </a:r>
          </a:p>
        </c:rich>
      </c:tx>
      <c:overlay val="0"/>
    </c:title>
    <c:autoTitleDeleted val="0"/>
    <c:plotArea>
      <c:layout/>
      <c:barChart>
        <c:barDir val="col"/>
        <c:grouping val="clustered"/>
        <c:varyColors val="0"/>
        <c:ser>
          <c:idx val="0"/>
          <c:order val="0"/>
          <c:tx>
            <c:v>Accuracy</c:v>
          </c:tx>
          <c:cat>
            <c:strRef>
              <c:f>Dashboard!$P$6:$P$8</c:f>
              <c:strCache>
                <c:ptCount val="3"/>
                <c:pt idx="0">
                  <c:v>OpenAI</c:v>
                </c:pt>
                <c:pt idx="1">
                  <c:v>Google</c:v>
                </c:pt>
                <c:pt idx="2">
                  <c:v>Anthropic</c:v>
                </c:pt>
              </c:strCache>
            </c:strRef>
          </c:cat>
          <c:val>
            <c:numRef>
              <c:f>Dashboard!$Q$6:$Q$8</c:f>
              <c:numCache>
                <c:formatCode>0.0%</c:formatCode>
                <c:ptCount val="3"/>
                <c:pt idx="0">
                  <c:v>0.725</c:v>
                </c:pt>
                <c:pt idx="1">
                  <c:v>0.7173913043</c:v>
                </c:pt>
                <c:pt idx="2">
                  <c:v>0.7</c:v>
                </c:pt>
              </c:numCache>
            </c:numRef>
          </c:val>
        </c:ser>
        <c:ser>
          <c:idx val="1"/>
          <c:order val="1"/>
          <c:tx>
            <c:v>F1</c:v>
          </c:tx>
          <c:cat>
            <c:strRef>
              <c:f>Dashboard!$P$6:$P$8</c:f>
              <c:strCache>
                <c:ptCount val="3"/>
                <c:pt idx="0">
                  <c:v>OpenAI</c:v>
                </c:pt>
                <c:pt idx="1">
                  <c:v>Google</c:v>
                </c:pt>
                <c:pt idx="2">
                  <c:v>Anthropic</c:v>
                </c:pt>
              </c:strCache>
            </c:strRef>
          </c:cat>
          <c:val>
            <c:numRef>
              <c:f>Dashboard!$R$6:$R$8</c:f>
              <c:numCache>
                <c:formatCode>0.0%</c:formatCode>
                <c:ptCount val="3"/>
                <c:pt idx="0">
                  <c:v>0.8070175439</c:v>
                </c:pt>
                <c:pt idx="1">
                  <c:v>0.8115942029</c:v>
                </c:pt>
                <c:pt idx="2">
                  <c:v>0.8064516129</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a:t>Production inter-coder reliability</a:t>
            </a:r>
          </a:p>
        </c:rich>
      </c:tx>
      <c:overlay val="0"/>
    </c:title>
    <c:autoTitleDeleted val="0"/>
    <c:plotArea>
      <c:layout/>
      <c:barChart>
        <c:barDir val="col"/>
        <c:grouping val="clustered"/>
        <c:varyColors val="0"/>
        <c:ser>
          <c:idx val="0"/>
          <c:order val="0"/>
          <c:tx>
            <c:v>Unanimous agreement</c:v>
          </c:tx>
          <c:cat>
            <c:strRef>
              <c:f>Dashboard!$P$13:$P$15</c:f>
              <c:strCache>
                <c:ptCount val="3"/>
                <c:pt idx="0">
                  <c:v>Unlearning binary</c:v>
                </c:pt>
                <c:pt idx="1">
                  <c:v>Target including none</c:v>
                </c:pt>
                <c:pt idx="2">
                  <c:v>Target on positive rows</c:v>
                </c:pt>
              </c:strCache>
            </c:strRef>
          </c:cat>
          <c:val>
            <c:numRef>
              <c:f>Dashboard!$Q$13:$Q$15</c:f>
              <c:numCache>
                <c:formatCode>0.0%</c:formatCode>
                <c:ptCount val="3"/>
                <c:pt idx="0">
                  <c:v>0.846154</c:v>
                </c:pt>
                <c:pt idx="1">
                  <c:v>0.846154</c:v>
                </c:pt>
                <c:pt idx="2">
                  <c:v>0.222222</c:v>
                </c:pt>
              </c:numCache>
            </c:numRef>
          </c:val>
        </c:ser>
        <c:ser>
          <c:idx val="1"/>
          <c:order val="1"/>
          <c:tx>
            <c:v>Fleiss κ</c:v>
          </c:tx>
          <c:cat>
            <c:strRef>
              <c:f>Dashboard!$P$13:$P$15</c:f>
              <c:strCache>
                <c:ptCount val="3"/>
                <c:pt idx="0">
                  <c:v>Unlearning binary</c:v>
                </c:pt>
                <c:pt idx="1">
                  <c:v>Target including none</c:v>
                </c:pt>
                <c:pt idx="2">
                  <c:v>Target on positive rows</c:v>
                </c:pt>
              </c:strCache>
            </c:strRef>
          </c:cat>
          <c:val>
            <c:numRef>
              <c:f>Dashboard!$R$13:$R$15</c:f>
              <c:numCache>
                <c:formatCode>0.0%</c:formatCode>
                <c:ptCount val="3"/>
                <c:pt idx="0">
                  <c:v>0.490536</c:v>
                </c:pt>
                <c:pt idx="1">
                  <c:v>0.488764</c:v>
                </c:pt>
                <c:pt idx="2">
                  <c:v>0.179245</c:v>
                </c:pt>
              </c:numCache>
            </c:numRef>
          </c:val>
        </c:ser>
        <c:ser>
          <c:idx val="2"/>
          <c:order val="2"/>
          <c:tx>
            <c:v>Krippendorff α</c:v>
          </c:tx>
          <c:cat>
            <c:strRef>
              <c:f>Dashboard!$P$13:$P$15</c:f>
              <c:strCache>
                <c:ptCount val="3"/>
                <c:pt idx="0">
                  <c:v>Unlearning binary</c:v>
                </c:pt>
                <c:pt idx="1">
                  <c:v>Target including none</c:v>
                </c:pt>
                <c:pt idx="2">
                  <c:v>Target on positive rows</c:v>
                </c:pt>
              </c:strCache>
            </c:strRef>
          </c:cat>
          <c:val>
            <c:numRef>
              <c:f>Dashboard!$S$13:$S$15</c:f>
              <c:numCache>
                <c:formatCode>0.0%</c:formatCode>
                <c:ptCount val="3"/>
                <c:pt idx="0">
                  <c:v>0.492402</c:v>
                </c:pt>
                <c:pt idx="1">
                  <c:v>0.490637</c:v>
                </c:pt>
                <c:pt idx="2">
                  <c:v>0.194444</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a:t>Yes recall by prompt</a:t>
            </a:r>
          </a:p>
        </c:rich>
      </c:tx>
      <c:overlay val="0"/>
    </c:title>
    <c:autoTitleDeleted val="0"/>
    <c:plotArea>
      <c:layout/>
      <c:barChart>
        <c:barDir val="col"/>
        <c:grouping val="clustered"/>
        <c:varyColors val="0"/>
        <c:ser>
          <c:idx val="0"/>
          <c:order val="0"/>
          <c:tx>
            <c:v>Yes recall</c:v>
          </c:tx>
          <c:cat>
            <c:strRef>
              <c:f>'v3 Prompt Parity'!$I$6:$I$9</c:f>
              <c:strCache>
                <c:ptCount val="4"/>
                <c:pt idx="0">
                  <c:v>Direct</c:v>
                </c:pt>
                <c:pt idx="1">
                  <c:v>Definitions</c:v>
                </c:pt>
                <c:pt idx="2">
                  <c:v>Definitions + examples</c:v>
                </c:pt>
                <c:pt idx="3">
                  <c:v>Definitions + examples + metadata</c:v>
                </c:pt>
              </c:strCache>
            </c:strRef>
          </c:cat>
          <c:val>
            <c:numRef>
              <c:f>'v3 Prompt Parity'!$J$6:$J$9</c:f>
              <c:numCache>
                <c:formatCode>0.0%</c:formatCode>
                <c:ptCount val="4"/>
                <c:pt idx="0">
                  <c:v>0.1818181818</c:v>
                </c:pt>
                <c:pt idx="1">
                  <c:v>0.5454545455</c:v>
                </c:pt>
                <c:pt idx="2">
                  <c:v>0.6363636364</c:v>
                </c:pt>
                <c:pt idx="3">
                  <c:v>0.7272727273</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a:t>Mean Yes recall across complete groups</a:t>
            </a:r>
          </a:p>
        </c:rich>
      </c:tx>
      <c:overlay val="0"/>
    </c:title>
    <c:autoTitleDeleted val="0"/>
    <c:plotArea>
      <c:layout/>
      <c:barChart>
        <c:barDir val="col"/>
        <c:grouping val="clustered"/>
        <c:varyColors val="0"/>
        <c:ser>
          <c:idx val="0"/>
          <c:order val="0"/>
          <c:tx>
            <c:v>Mean recall</c:v>
          </c:tx>
          <c:cat>
            <c:strRef>
              <c:f>'v4 Model Grid'!$I$6:$I$9</c:f>
              <c:strCache>
                <c:ptCount val="4"/>
                <c:pt idx="0">
                  <c:v>Direct</c:v>
                </c:pt>
                <c:pt idx="1">
                  <c:v>Definitions</c:v>
                </c:pt>
                <c:pt idx="2">
                  <c:v>Definitions + examples</c:v>
                </c:pt>
                <c:pt idx="3">
                  <c:v>Definitions + examples + metadata</c:v>
                </c:pt>
              </c:strCache>
            </c:strRef>
          </c:cat>
          <c:val>
            <c:numRef>
              <c:f>'v4 Model Grid'!$J$6:$J$9</c:f>
              <c:numCache>
                <c:formatCode>0.0%</c:formatCode>
                <c:ptCount val="4"/>
                <c:pt idx="0">
                  <c:v>0.6103896104</c:v>
                </c:pt>
                <c:pt idx="1">
                  <c:v>0.7727272727</c:v>
                </c:pt>
                <c:pt idx="2">
                  <c:v>0.8545454545</c:v>
                </c:pt>
                <c:pt idx="3">
                  <c:v>0.7818181818</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a:t>Positive recall by model</a:t>
            </a:r>
          </a:p>
        </c:rich>
      </c:tx>
      <c:overlay val="0"/>
    </c:title>
    <c:autoTitleDeleted val="0"/>
    <c:plotArea>
      <c:layout/>
      <c:barChart>
        <c:barDir val="col"/>
        <c:grouping val="clustered"/>
        <c:varyColors val="0"/>
        <c:ser>
          <c:idx val="0"/>
          <c:order val="0"/>
          <c:tx>
            <c:v>Recall</c:v>
          </c:tx>
          <c:cat>
            <c:strRef>
              <c:f>'v5 Mixed Benchmark'!$S$6:$S$10</c:f>
              <c:strCache>
                <c:ptCount val="5"/>
                <c:pt idx="0">
                  <c:v>Claude 3.5 Haiku</c:v>
                </c:pt>
                <c:pt idx="1">
                  <c:v>Gemini 3.1 Flash Lite</c:v>
                </c:pt>
                <c:pt idx="2">
                  <c:v>Claude Sonnet 5</c:v>
                </c:pt>
                <c:pt idx="3">
                  <c:v>GPT-5.4</c:v>
                </c:pt>
                <c:pt idx="4">
                  <c:v>GPT-5.6 Terra</c:v>
                </c:pt>
              </c:strCache>
            </c:strRef>
          </c:cat>
          <c:val>
            <c:numRef>
              <c:f>'v5 Mixed Benchmark'!$T$6:$T$10</c:f>
              <c:numCache>
                <c:formatCode>0.0%</c:formatCode>
                <c:ptCount val="5"/>
                <c:pt idx="0">
                  <c:v>0.5384615384615384</c:v>
                </c:pt>
                <c:pt idx="1">
                  <c:v>0.46153846153846156</c:v>
                </c:pt>
                <c:pt idx="2">
                  <c:v>0.358974358974359</c:v>
                </c:pt>
                <c:pt idx="3">
                  <c:v>0.28205128205128205</c:v>
                </c:pt>
                <c:pt idx="4">
                  <c:v>0.23076923076923078</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a:t>Best cleaned strategy by provider</a:t>
            </a:r>
          </a:p>
        </c:rich>
      </c:tx>
      <c:overlay val="0"/>
    </c:title>
    <c:autoTitleDeleted val="0"/>
    <c:plotArea>
      <c:layout/>
      <c:barChart>
        <c:barDir val="col"/>
        <c:grouping val="clustered"/>
        <c:varyColors val="0"/>
        <c:ser>
          <c:idx val="0"/>
          <c:order val="0"/>
          <c:tx>
            <c:v>Accuracy</c:v>
          </c:tx>
          <c:cat>
            <c:strRef>
              <c:f>'Cleaned Benchmark'!$Q$6:$Q$8</c:f>
              <c:strCache>
                <c:ptCount val="3"/>
                <c:pt idx="0">
                  <c:v>OpenAI</c:v>
                </c:pt>
                <c:pt idx="1">
                  <c:v>Google</c:v>
                </c:pt>
                <c:pt idx="2">
                  <c:v>Anthropic</c:v>
                </c:pt>
              </c:strCache>
            </c:strRef>
          </c:cat>
          <c:val>
            <c:numRef>
              <c:f>'Cleaned Benchmark'!$R$6:$R$8</c:f>
              <c:numCache>
                <c:formatCode>0.0%</c:formatCode>
                <c:ptCount val="3"/>
                <c:pt idx="0">
                  <c:v>0.725</c:v>
                </c:pt>
                <c:pt idx="1">
                  <c:v>0.717391304347826</c:v>
                </c:pt>
                <c:pt idx="2">
                  <c:v>0.7</c:v>
                </c:pt>
              </c:numCache>
            </c:numRef>
          </c:val>
        </c:ser>
        <c:ser>
          <c:idx val="1"/>
          <c:order val="1"/>
          <c:tx>
            <c:v>F1</c:v>
          </c:tx>
          <c:cat>
            <c:strRef>
              <c:f>'Cleaned Benchmark'!$Q$6:$Q$8</c:f>
              <c:strCache>
                <c:ptCount val="3"/>
                <c:pt idx="0">
                  <c:v>OpenAI</c:v>
                </c:pt>
                <c:pt idx="1">
                  <c:v>Google</c:v>
                </c:pt>
                <c:pt idx="2">
                  <c:v>Anthropic</c:v>
                </c:pt>
              </c:strCache>
            </c:strRef>
          </c:cat>
          <c:val>
            <c:numRef>
              <c:f>'Cleaned Benchmark'!$S$6:$S$8</c:f>
              <c:numCache>
                <c:formatCode>0.0%</c:formatCode>
                <c:ptCount val="3"/>
                <c:pt idx="0">
                  <c:v>0.8070175438596491</c:v>
                </c:pt>
                <c:pt idx="1">
                  <c:v>0.8115942028985508</c:v>
                </c:pt>
                <c:pt idx="2">
                  <c:v>0.8064516129032258</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a:t>Model–human Cohen κ</a:t>
            </a:r>
          </a:p>
        </c:rich>
      </c:tx>
      <c:overlay val="0"/>
    </c:title>
    <c:autoTitleDeleted val="0"/>
    <c:plotArea>
      <c:layout/>
      <c:barChart>
        <c:barDir val="col"/>
        <c:grouping val="clustered"/>
        <c:varyColors val="0"/>
        <c:ser>
          <c:idx val="0"/>
          <c:order val="0"/>
          <c:tx>
            <c:v>Cohen κ</c:v>
          </c:tx>
          <c:cat>
            <c:strRef>
              <c:f>Reliability!$I$6:$I$11</c:f>
              <c:strCache>
                <c:ptCount val="6"/>
                <c:pt idx="0">
                  <c:v>GPT-5.6 Terra — examples</c:v>
                </c:pt>
                <c:pt idx="1">
                  <c:v>Gemini 3.1 Flash Lite — direct</c:v>
                </c:pt>
                <c:pt idx="2">
                  <c:v>Claude Sonnet 5 — examples</c:v>
                </c:pt>
                <c:pt idx="3">
                  <c:v>Gemini 3.1 Flash Lite</c:v>
                </c:pt>
                <c:pt idx="4">
                  <c:v>Claude Sonnet 5</c:v>
                </c:pt>
                <c:pt idx="5">
                  <c:v>GPT-5.6 Terra</c:v>
                </c:pt>
              </c:strCache>
            </c:strRef>
          </c:cat>
          <c:val>
            <c:numRef>
              <c:f>Reliability!$J$6:$J$11</c:f>
              <c:numCache>
                <c:formatCode>0.0%</c:formatCode>
                <c:ptCount val="6"/>
                <c:pt idx="0">
                  <c:v>0.367816092</c:v>
                </c:pt>
                <c:pt idx="1">
                  <c:v>0.2506265664</c:v>
                </c:pt>
                <c:pt idx="2">
                  <c:v>0.1519434629</c:v>
                </c:pt>
                <c:pt idx="3">
                  <c:v>0.2130177515</c:v>
                </c:pt>
                <c:pt idx="4">
                  <c:v>0.1570680628</c:v>
                </c:pt>
                <c:pt idx="5">
                  <c:v>0.1176470588</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a:t>Three-model consensus distribution</a:t>
            </a:r>
          </a:p>
        </c:rich>
      </c:tx>
      <c:overlay val="0"/>
    </c:title>
    <c:autoTitleDeleted val="0"/>
    <c:plotArea>
      <c:layout/>
      <c:barChart>
        <c:barDir val="col"/>
        <c:grouping val="clustered"/>
        <c:varyColors val="0"/>
        <c:ser>
          <c:idx val="0"/>
          <c:order val="0"/>
          <c:cat>
            <c:strRef>
              <c:f>'Production Run'!$E$6:$E$9</c:f>
              <c:strCache>
                <c:ptCount val="4"/>
                <c:pt idx="0">
                  <c:v>Unanimous No</c:v>
                </c:pt>
                <c:pt idx="1">
                  <c:v>Majority No / one positive</c:v>
                </c:pt>
                <c:pt idx="2">
                  <c:v>Majority Yes</c:v>
                </c:pt>
                <c:pt idx="3">
                  <c:v>Unanimous Yes</c:v>
                </c:pt>
              </c:strCache>
            </c:strRef>
          </c:cat>
          <c:val>
            <c:numRef>
              <c:f>'Production Run'!$F$6:$F$9</c:f>
              <c:numCache>
                <c:formatCode>General</c:formatCode>
                <c:ptCount val="4"/>
                <c:pt idx="0">
                  <c:v>78</c:v>
                </c:pt>
                <c:pt idx="1">
                  <c:v>9</c:v>
                </c:pt>
                <c:pt idx="2">
                  <c:v>5</c:v>
                </c:pt>
                <c:pt idx="3">
                  <c:v>4</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4</xdr:row>
      <xdr:rowOff>0</xdr:rowOff>
    </xdr:from>
    <xdr:to>
      <xdr:col>14</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94a56cef09d42a4"/>
        </a:graphicData>
      </a:graphic>
    </xdr:graphicFrame>
    <xdr:clientData/>
  </xdr:twoCellAnchor>
  <xdr:twoCellAnchor>
    <xdr:from>
      <xdr:col>8</xdr:col>
      <xdr:colOff>0</xdr:colOff>
      <xdr:row>17</xdr:row>
      <xdr:rowOff>0</xdr:rowOff>
    </xdr:from>
    <xdr:to>
      <xdr:col>14</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0ceeef34c7e4767"/>
        </a:graphicData>
      </a:graphic>
    </xdr:graphicFrame>
    <xdr:clientData/>
  </xdr:twoCellAnchor>
</xdr:wsDr>
</file>

<file path=xl/drawings/drawing2.xml><?xml version="1.0" encoding="utf-8"?>
<xdr:wsDr xmlns:xdr="http://schemas.openxmlformats.org/drawingml/2006/spreadsheetDrawing">
  <xdr:twoCellAnchor>
    <xdr:from>
      <xdr:col>8</xdr:col>
      <xdr:colOff>0</xdr:colOff>
      <xdr:row>10</xdr:row>
      <xdr:rowOff>0</xdr:rowOff>
    </xdr:from>
    <xdr:to>
      <xdr:col>14</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fbc89c799bf423e"/>
        </a:graphicData>
      </a:graphic>
    </xdr:graphicFrame>
    <xdr:clientData/>
  </xdr:twoCellAnchor>
</xdr:wsDr>
</file>

<file path=xl/drawings/drawing3.xml><?xml version="1.0" encoding="utf-8"?>
<xdr:wsDr xmlns:xdr="http://schemas.openxmlformats.org/drawingml/2006/spreadsheetDrawing">
  <xdr:twoCellAnchor>
    <xdr:from>
      <xdr:col>8</xdr:col>
      <xdr:colOff>0</xdr:colOff>
      <xdr:row>10</xdr:row>
      <xdr:rowOff>0</xdr:rowOff>
    </xdr:from>
    <xdr:to>
      <xdr:col>14</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7516a02dce64e7a"/>
        </a:graphicData>
      </a:graphic>
    </xdr:graphicFrame>
    <xdr:clientData/>
  </xdr:twoCellAnchor>
</xdr:wsDr>
</file>

<file path=xl/drawings/drawing4.xml><?xml version="1.0" encoding="utf-8"?>
<xdr:wsDr xmlns:xdr="http://schemas.openxmlformats.org/drawingml/2006/spreadsheetDrawing">
  <xdr:twoCellAnchor>
    <xdr:from>
      <xdr:col>18</xdr:col>
      <xdr:colOff>0</xdr:colOff>
      <xdr:row>11</xdr:row>
      <xdr:rowOff>0</xdr:rowOff>
    </xdr:from>
    <xdr:to>
      <xdr:col>25</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a1dcf1f1b4c4b3c"/>
        </a:graphicData>
      </a:graphic>
    </xdr:graphicFrame>
    <xdr:clientData/>
  </xdr:twoCellAnchor>
</xdr:wsDr>
</file>

<file path=xl/drawings/drawing5.xml><?xml version="1.0" encoding="utf-8"?>
<xdr:wsDr xmlns:xdr="http://schemas.openxmlformats.org/drawingml/2006/spreadsheetDrawing">
  <xdr:twoCellAnchor>
    <xdr:from>
      <xdr:col>16</xdr:col>
      <xdr:colOff>0</xdr:colOff>
      <xdr:row>9</xdr:row>
      <xdr:rowOff>0</xdr:rowOff>
    </xdr:from>
    <xdr:to>
      <xdr:col>23</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7f0e53fb4524263"/>
        </a:graphicData>
      </a:graphic>
    </xdr:graphicFrame>
    <xdr:clientData/>
  </xdr:twoCellAnchor>
</xdr:wsDr>
</file>

<file path=xl/drawings/drawing6.xml><?xml version="1.0" encoding="utf-8"?>
<xdr:wsDr xmlns:xdr="http://schemas.openxmlformats.org/drawingml/2006/spreadsheetDrawing">
  <xdr:twoCellAnchor>
    <xdr:from>
      <xdr:col>8</xdr:col>
      <xdr:colOff>0</xdr:colOff>
      <xdr:row>12</xdr:row>
      <xdr:rowOff>0</xdr:rowOff>
    </xdr:from>
    <xdr:to>
      <xdr:col>15</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06ac5c4e02e42f4"/>
        </a:graphicData>
      </a:graphic>
    </xdr:graphicFrame>
    <xdr:clientData/>
  </xdr:twoCellAnchor>
</xdr:wsDr>
</file>

<file path=xl/drawings/drawing7.xml><?xml version="1.0" encoding="utf-8"?>
<xdr:wsDr xmlns:xdr="http://schemas.openxmlformats.org/drawingml/2006/spreadsheetDrawing">
  <xdr:twoCellAnchor>
    <xdr:from>
      <xdr:col>4</xdr:col>
      <xdr:colOff>0</xdr:colOff>
      <xdr:row>10</xdr:row>
      <xdr:rowOff>0</xdr:rowOff>
    </xdr:from>
    <xdr:to>
      <xdr:col>11</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fb30bba3735426d"/>
        </a:graphicData>
      </a:graphic>
    </xdr:graphicFrame>
    <xdr:clientData/>
  </xdr:twoCellAnchor>
</xdr:wsDr>
</file>

<file path=xl/tables/table1.xml><?xml version="1.0" encoding="utf-8"?>
<x:table xmlns:x="http://schemas.openxmlformats.org/spreadsheetml/2006/main" id="1" name="VersionOverviewTable" displayName="VersionOverviewTable" ref="A5:G12">
  <x:tableColumns count="7">
    <x:tableColumn id="1" name="Version"/>
    <x:tableColumn id="2" name="Purpose"/>
    <x:tableColumn id="3" name="Evaluation set"/>
    <x:tableColumn id="4" name="Run design"/>
    <x:tableColumn id="5" name="Completion"/>
    <x:tableColumn id="6" name="Primary metric"/>
    <x:tableColumn id="7" name="Best-supported takeaway"/>
  </x:tableColumns>
  <x:tableStyleInfo name="TableStyleMedium2" showRowStripes="1"/>
</x:table>
</file>

<file path=xl/tables/table2.xml><?xml version="1.0" encoding="utf-8"?>
<x:table xmlns:x="http://schemas.openxmlformats.org/spreadsheetml/2006/main" id="2" name="V2OpenAITable" displayName="V2OpenAITable" ref="A5:G9">
  <x:tableColumns count="7">
    <x:tableColumn id="1" name="OpenAI prompt"/>
    <x:tableColumn id="2" name="Rows"/>
    <x:tableColumn id="3" name="Predicted Yes"/>
    <x:tableColumn id="4" name="Predicted No"/>
    <x:tableColumn id="5" name="Yes recall"/>
    <x:tableColumn id="6" name="Avg tokens / passage"/>
    <x:tableColumn id="7" name="Estimated cost USD"/>
  </x:tableColumns>
  <x:tableStyleInfo name="TableStyleMedium2" showRowStripes="1"/>
</x:table>
</file>

<file path=xl/tables/table3.xml><?xml version="1.0" encoding="utf-8"?>
<x:table xmlns:x="http://schemas.openxmlformats.org/spreadsheetml/2006/main" id="3" name="V2CoverageTable" displayName="V2CoverageTable" ref="A12:F15">
  <x:tableColumns count="6">
    <x:tableColumn id="1" name="Provider"/>
    <x:tableColumn id="2" name="Model / run"/>
    <x:tableColumn id="3" name="Planned calls"/>
    <x:tableColumn id="4" name="Usable outputs"/>
    <x:tableColumn id="5" name="Unavailable outputs"/>
    <x:tableColumn id="6" name="Coverage note"/>
  </x:tableColumns>
  <x:tableStyleInfo name="TableStyleMedium2" showRowStripes="1"/>
</x:table>
</file>

<file path=xl/tables/table4.xml><?xml version="1.0" encoding="utf-8"?>
<x:table xmlns:x="http://schemas.openxmlformats.org/spreadsheetml/2006/main" id="4" name="V3PromptTable" displayName="V3PromptTable" ref="A5:G9">
  <x:tableColumns count="7">
    <x:tableColumn id="1" name="Prompt strategy"/>
    <x:tableColumn id="2" name="Rows"/>
    <x:tableColumn id="3" name="Predicted Yes"/>
    <x:tableColumn id="4" name="Predicted No"/>
    <x:tableColumn id="5" name="Total tokens"/>
    <x:tableColumn id="6" name="Cost USD"/>
    <x:tableColumn id="7" name="Yes recall"/>
  </x:tableColumns>
  <x:tableStyleInfo name="TableStyleMedium2" showRowStripes="1"/>
</x:table>
</file>

<file path=xl/tables/table5.xml><?xml version="1.0" encoding="utf-8"?>
<x:table xmlns:x="http://schemas.openxmlformats.org/spreadsheetml/2006/main" id="5" name="V4PromptSummaryTable" displayName="V4PromptSummaryTable" ref="A5:G9">
  <x:tableColumns count="7">
    <x:tableColumn id="1" name="Prompt strategy"/>
    <x:tableColumn id="2" name="Complete model groups"/>
    <x:tableColumn id="3" name="Mean Yes recall"/>
    <x:tableColumn id="4" name="Median Yes recall"/>
    <x:tableColumn id="5" name="Minimum recall"/>
    <x:tableColumn id="6" name="Maximum recall"/>
    <x:tableColumn id="7" name="Total cost USD"/>
  </x:tableColumns>
  <x:tableStyleInfo name="TableStyleMedium2" showRowStripes="1"/>
</x:table>
</file>

<file path=xl/tables/table6.xml><?xml version="1.0" encoding="utf-8"?>
<x:table xmlns:x="http://schemas.openxmlformats.org/spreadsheetml/2006/main" id="6" name="V5MetricsTable" displayName="V5MetricsTable" ref="A5:Q10">
  <x:tableColumns count="17">
    <x:tableColumn id="1" name="Provider"/>
    <x:tableColumn id="2" name="Model"/>
    <x:tableColumn id="3" name="N"/>
    <x:tableColumn id="4" name="TP"/>
    <x:tableColumn id="5" name="TN"/>
    <x:tableColumn id="6" name="FP"/>
    <x:tableColumn id="7" name="FN"/>
    <x:tableColumn id="8" name="Accuracy"/>
    <x:tableColumn id="9" name="Precision"/>
    <x:tableColumn id="10" name="Recall"/>
    <x:tableColumn id="11" name="Specificity"/>
    <x:tableColumn id="12" name="F1"/>
    <x:tableColumn id="13" name="Balanced accuracy"/>
    <x:tableColumn id="14" name="Cohen κ"/>
    <x:tableColumn id="15" name="Mean confidence"/>
    <x:tableColumn id="16" name="Cost USD"/>
    <x:tableColumn id="17" name="Avg latency (s)"/>
  </x:tableColumns>
  <x:tableStyleInfo name="TableStyleMedium2" showRowStripes="1"/>
</x:table>
</file>

<file path=xl/tables/table7.xml><?xml version="1.0" encoding="utf-8"?>
<x:table xmlns:x="http://schemas.openxmlformats.org/spreadsheetml/2006/main" id="7" name="LocalOverallMetricsTable" displayName="LocalOverallMetricsTable" ref="A5:Q8">
  <x:tableColumns count="17">
    <x:tableColumn id="1" name="Provider"/>
    <x:tableColumn id="2" name="Model"/>
    <x:tableColumn id="3" name="N"/>
    <x:tableColumn id="4" name="TP"/>
    <x:tableColumn id="5" name="TN"/>
    <x:tableColumn id="6" name="FP"/>
    <x:tableColumn id="7" name="FN"/>
    <x:tableColumn id="8" name="Accuracy"/>
    <x:tableColumn id="9" name="Precision"/>
    <x:tableColumn id="10" name="Recall"/>
    <x:tableColumn id="11" name="Specificity"/>
    <x:tableColumn id="12" name="F1"/>
    <x:tableColumn id="13" name="Balanced accuracy"/>
    <x:tableColumn id="14" name="Cohen κ"/>
    <x:tableColumn id="15" name="Mean confidence"/>
    <x:tableColumn id="16" name="Cost USD"/>
    <x:tableColumn id="17" name="Avg latency (s)"/>
  </x:tableColumns>
  <x:tableStyleInfo name="TableStyleMedium2" showRowStripes="1"/>
</x:table>
</file>

<file path=xl/tables/table8.xml><?xml version="1.0" encoding="utf-8"?>
<x:table xmlns:x="http://schemas.openxmlformats.org/spreadsheetml/2006/main" id="8" name="LocalDocumentMetricsTable" displayName="LocalDocumentMetricsTable" ref="A11:N20">
  <x:tableColumns count="14">
    <x:tableColumn id="1" name="Document"/>
    <x:tableColumn id="2" name="Model"/>
    <x:tableColumn id="3" name="N"/>
    <x:tableColumn id="4" name="TP"/>
    <x:tableColumn id="5" name="TN"/>
    <x:tableColumn id="6" name="FP"/>
    <x:tableColumn id="7" name="FN"/>
    <x:tableColumn id="8" name="Accuracy"/>
    <x:tableColumn id="9" name="Precision"/>
    <x:tableColumn id="10" name="Recall"/>
    <x:tableColumn id="11" name="Specificity"/>
    <x:tableColumn id="12" name="F1"/>
    <x:tableColumn id="13" name="Balanced accuracy"/>
    <x:tableColumn id="14" name="Cohen κ"/>
  </x:tableColumns>
  <x:tableStyleInfo name="TableStyleMedium2" showRowStripes="1"/>
</x:table>
</file>

<file path=xl/tables/table9.xml><?xml version="1.0" encoding="utf-8"?>
<x:table xmlns:x="http://schemas.openxmlformats.org/spreadsheetml/2006/main" id="9" name="CleanedBenchmarkTable" displayName="CleanedBenchmarkTable" ref="A5:O17">
  <x:tableColumns count="15">
    <x:tableColumn id="1" name="Provider"/>
    <x:tableColumn id="2" name="Model"/>
    <x:tableColumn id="3" name="Prompt strategy"/>
    <x:tableColumn id="4" name="N"/>
    <x:tableColumn id="5" name="TP"/>
    <x:tableColumn id="6" name="TN"/>
    <x:tableColumn id="7" name="FP"/>
    <x:tableColumn id="8" name="FN"/>
    <x:tableColumn id="9" name="Accuracy"/>
    <x:tableColumn id="10" name="Precision"/>
    <x:tableColumn id="11" name="Recall"/>
    <x:tableColumn id="12" name="Specificity"/>
    <x:tableColumn id="13" name="F1"/>
    <x:tableColumn id="14" name="Balanced accuracy"/>
    <x:tableColumn id="15" name="Cohen κ"/>
  </x:tableColumns>
  <x:tableStyleInfo name="TableStyleMedium2" showRowStripes="1"/>
</x:table>
</file>

<file path=xl/tables/table10.xml><?xml version="1.0" encoding="utf-8"?>
<x:table xmlns:x="http://schemas.openxmlformats.org/spreadsheetml/2006/main" id="10" name="ProviderRecommendationTable" displayName="ProviderRecommendationTable" ref="A20:H23">
  <x:tableColumns count="8">
    <x:tableColumn id="1" name="Provider"/>
    <x:tableColumn id="2" name="Recommended strategy"/>
    <x:tableColumn id="3" name="N"/>
    <x:tableColumn id="4" name="Accuracy"/>
    <x:tableColumn id="5" name="F1"/>
    <x:tableColumn id="6" name="Cohen κ"/>
    <x:tableColumn id="7" name="False positives"/>
    <x:tableColumn id="8" name="Recommended role"/>
  </x:tableColumns>
  <x:tableStyleInfo name="TableStyleMedium2" showRowStripes="1"/>
</x:table>
</file>

<file path=xl/tables/table11.xml><?xml version="1.0" encoding="utf-8"?>
<x:table xmlns:x="http://schemas.openxmlformats.org/spreadsheetml/2006/main" id="11" name="ModelHumanReliabilityTable" displayName="ModelHumanReliabilityTable" ref="A5:G11">
  <x:tableColumns count="7">
    <x:tableColumn id="1" name="Evaluation"/>
    <x:tableColumn id="2" name="Provider"/>
    <x:tableColumn id="3" name="Model / strategy"/>
    <x:tableColumn id="4" name="N"/>
    <x:tableColumn id="5" name="Accuracy"/>
    <x:tableColumn id="6" name="F1"/>
    <x:tableColumn id="7" name="Cohen κ vs human"/>
  </x:tableColumns>
  <x:tableStyleInfo name="TableStyleMedium2" showRowStripes="1"/>
</x:table>
</file>

<file path=xl/tables/table12.xml><?xml version="1.0" encoding="utf-8"?>
<x:table xmlns:x="http://schemas.openxmlformats.org/spreadsheetml/2006/main" id="12" name="ProductionOverallReliabilityTable" displayName="ProductionOverallReliabilityTable" ref="A14:F20">
  <x:tableColumns count="6">
    <x:tableColumn id="1" name="Dimension"/>
    <x:tableColumn id="2" name="Scope"/>
    <x:tableColumn id="3" name="Units"/>
    <x:tableColumn id="4" name="Unanimous agreement"/>
    <x:tableColumn id="5" name="Fleiss κ"/>
    <x:tableColumn id="6" name="Krippendorff α"/>
  </x:tableColumns>
  <x:tableStyleInfo name="TableStyleMedium2" showRowStripes="1"/>
</x:table>
</file>

<file path=xl/tables/table13.xml><?xml version="1.0" encoding="utf-8"?>
<x:table xmlns:x="http://schemas.openxmlformats.org/spreadsheetml/2006/main" id="13" name="ProductionPairwiseReliabilityTable" displayName="ProductionPairwiseReliabilityTable" ref="A23:G32">
  <x:tableColumns count="7">
    <x:tableColumn id="1" name="Dimension"/>
    <x:tableColumn id="2" name="Scope"/>
    <x:tableColumn id="3" name="Coder A"/>
    <x:tableColumn id="4" name="Coder B"/>
    <x:tableColumn id="5" name="Units"/>
    <x:tableColumn id="6" name="Percent agreement"/>
    <x:tableColumn id="7" name="Cohen κ"/>
  </x:tableColumns>
  <x:tableStyleInfo name="TableStyleMedium2" showRowStripes="1"/>
</x:table>
</file>

<file path=xl/tables/table14.xml><?xml version="1.0" encoding="utf-8"?>
<x:table xmlns:x="http://schemas.openxmlformats.org/spreadsheetml/2006/main" id="14" name="ProductionSummaryTable" displayName="ProductionSummaryTable" ref="A5:C16">
  <x:tableColumns count="3">
    <x:tableColumn id="1" name="Output measure"/>
    <x:tableColumn id="2" name="Value"/>
    <x:tableColumn id="3" name="Meaning"/>
  </x:tableColumns>
  <x:tableStyleInfo name="TableStyleMedium2" showRowStripes="1"/>
</x:table>
</file>

<file path=xl/tables/table15.xml><?xml version="1.0" encoding="utf-8"?>
<x:table xmlns:x="http://schemas.openxmlformats.org/spreadsheetml/2006/main" id="15" name="ProductionAgreementTable" displayName="ProductionAgreementTable" ref="E5:F9">
  <x:tableColumns count="2">
    <x:tableColumn id="1" name="Agreement bucket"/>
    <x:tableColumn id="2" name="Paragraph occurrenc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df3ed4c063f14bce" /></Relationships>
</file>

<file path=xl/worksheets/_rels/sheet3.xml.rels>&#65279;<?xml version="1.0" encoding="utf-8"?><Relationships xmlns="http://schemas.openxmlformats.org/package/2006/relationships"><Relationship Type="http://schemas.openxmlformats.org/officeDocument/2006/relationships/table" Target="/xl/tables/table1.xml" Id="R6e6e521aa591443f" /></Relationships>
</file>

<file path=xl/worksheets/_rels/sheet4.xml.rels>&#65279;<?xml version="1.0" encoding="utf-8"?><Relationships xmlns="http://schemas.openxmlformats.org/package/2006/relationships"><Relationship Type="http://schemas.openxmlformats.org/officeDocument/2006/relationships/table" Target="/xl/tables/table2.xml" Id="R3a2a0ddce80c4c74" /><Relationship Type="http://schemas.openxmlformats.org/officeDocument/2006/relationships/table" Target="/xl/tables/table3.xml" Id="R212fc4cab1644a48" /></Relationships>
</file>

<file path=xl/worksheets/_rels/sheet5.xml.rels>&#65279;<?xml version="1.0" encoding="utf-8"?><Relationships xmlns="http://schemas.openxmlformats.org/package/2006/relationships"><Relationship Type="http://schemas.openxmlformats.org/officeDocument/2006/relationships/drawing" Target="/xl/drawings/drawing2.xml" Id="R918d44d3653343e0" /><Relationship Type="http://schemas.openxmlformats.org/officeDocument/2006/relationships/table" Target="/xl/tables/table4.xml" Id="R882608fef40a49ad" /></Relationships>
</file>

<file path=xl/worksheets/_rels/sheet6.xml.rels>&#65279;<?xml version="1.0" encoding="utf-8"?><Relationships xmlns="http://schemas.openxmlformats.org/package/2006/relationships"><Relationship Type="http://schemas.openxmlformats.org/officeDocument/2006/relationships/drawing" Target="/xl/drawings/drawing3.xml" Id="R035a4365e3414812" /><Relationship Type="http://schemas.openxmlformats.org/officeDocument/2006/relationships/table" Target="/xl/tables/table5.xml" Id="Rac674c9461044ac3" /></Relationships>
</file>

<file path=xl/worksheets/_rels/sheet7.xml.rels>&#65279;<?xml version="1.0" encoding="utf-8"?><Relationships xmlns="http://schemas.openxmlformats.org/package/2006/relationships"><Relationship Type="http://schemas.openxmlformats.org/officeDocument/2006/relationships/drawing" Target="/xl/drawings/drawing4.xml" Id="R9929fee0521a4d6e" /><Relationship Type="http://schemas.openxmlformats.org/officeDocument/2006/relationships/table" Target="/xl/tables/table6.xml" Id="R44b2fb90b25e4898" /></Relationships>
</file>

<file path=xl/worksheets/_rels/sheet8.xml.rels>&#65279;<?xml version="1.0" encoding="utf-8"?><Relationships xmlns="http://schemas.openxmlformats.org/package/2006/relationships"><Relationship Type="http://schemas.openxmlformats.org/officeDocument/2006/relationships/table" Target="/xl/tables/table7.xml" Id="R735cab66fdc7437e" /><Relationship Type="http://schemas.openxmlformats.org/officeDocument/2006/relationships/table" Target="/xl/tables/table8.xml" Id="R6d12dc46b5744d73" /></Relationships>
</file>

<file path=xl/worksheets/_rels/sheet9.xml.rels>&#65279;<?xml version="1.0" encoding="utf-8"?><Relationships xmlns="http://schemas.openxmlformats.org/package/2006/relationships"><Relationship Type="http://schemas.openxmlformats.org/officeDocument/2006/relationships/drawing" Target="/xl/drawings/drawing5.xml" Id="Rc398c79b1b3b4440" /><Relationship Type="http://schemas.openxmlformats.org/officeDocument/2006/relationships/table" Target="/xl/tables/table9.xml" Id="R06c9c97ad59b4e2b" /><Relationship Type="http://schemas.openxmlformats.org/officeDocument/2006/relationships/table" Target="/xl/tables/table10.xml" Id="Rc2561d09a1e84f01" /></Relationships>
</file>

<file path=xl/worksheets/_rels/sheet10.xml.rels>&#65279;<?xml version="1.0" encoding="utf-8"?><Relationships xmlns="http://schemas.openxmlformats.org/package/2006/relationships"><Relationship Type="http://schemas.openxmlformats.org/officeDocument/2006/relationships/drawing" Target="/xl/drawings/drawing6.xml" Id="R406e739098564a2a" /><Relationship Type="http://schemas.openxmlformats.org/officeDocument/2006/relationships/table" Target="/xl/tables/table11.xml" Id="R803ec67036a14b87" /><Relationship Type="http://schemas.openxmlformats.org/officeDocument/2006/relationships/table" Target="/xl/tables/table12.xml" Id="R0b776bf322ba40f6" /><Relationship Type="http://schemas.openxmlformats.org/officeDocument/2006/relationships/table" Target="/xl/tables/table13.xml" Id="Rf3fa48ce67b24d8c" /></Relationships>
</file>

<file path=xl/worksheets/_rels/sheet11.xml.rels>&#65279;<?xml version="1.0" encoding="utf-8"?><Relationships xmlns="http://schemas.openxmlformats.org/package/2006/relationships"><Relationship Type="http://schemas.openxmlformats.org/officeDocument/2006/relationships/drawing" Target="/xl/drawings/drawing7.xml" Id="R318f3d3840a54ce4" /><Relationship Type="http://schemas.openxmlformats.org/officeDocument/2006/relationships/table" Target="/xl/tables/table14.xml" Id="R2ac8cb8711d34b43" /><Relationship Type="http://schemas.openxmlformats.org/officeDocument/2006/relationships/table" Target="/xl/tables/table15.xml" Id="R59f3ace38f6f41d9" /></Relationships>
</file>

<file path=xl/worksheets/sheet1.xml><?xml version="1.0" encoding="utf-8"?>
<x:worksheet xmlns:x="http://schemas.openxmlformats.org/spreadsheetml/2006/main">
  <x:sheetFormatPr defaultRowHeight="14"/>
  <x:cols>
    <x:col min="1" max="1" width="26" hidden="0" customWidth="1"/>
    <x:col min="2" max="2" width="40" hidden="0" customWidth="1"/>
  </x:cols>
  <x:sheetData>
    <x:row r="1" ht="28" customHeight="1">
      <x:c r="A1" s="490" t="str">
        <x:v>Unlearning Project — Consolidated Results Workbook</x:v>
      </x:c>
      <x:c r="B1" s="490"/>
      <x:c r="C1" s="38"/>
      <x:c r="D1" s="38"/>
      <x:c r="E1" s="38"/>
      <x:c r="F1" s="38"/>
      <x:c r="G1" s="38"/>
      <x:c r="H1" s="38"/>
      <x:c r="I1" s="38"/>
      <x:c r="J1" s="38"/>
      <x:c r="K1" s="6"/>
      <x:c r="L1" s="6"/>
      <x:c r="M1" s="6"/>
      <x:c r="N1" s="6"/>
      <x:c r="O1" s="6"/>
      <x:c r="P1" s="6"/>
      <x:c r="Q1" s="6"/>
      <x:c r="R1" s="6"/>
      <x:c r="S1" s="6"/>
      <x:c r="T1" s="6"/>
      <x:c r="U1" s="6"/>
      <x:c r="V1" s="6"/>
      <x:c r="W1" s="6"/>
      <x:c r="X1" s="6"/>
      <x:c r="Y1" s="6"/>
      <x:c r="Z1" s="6"/>
    </x:row>
    <x:row r="2" ht="20" customHeight="1">
      <x:c r="A2" s="491"/>
      <x:c r="B2" s="491"/>
      <x:c r="C2" s="1"/>
      <x:c r="D2" s="1"/>
      <x:c r="E2" s="1"/>
      <x:c r="F2" s="1"/>
      <x:c r="G2" s="1"/>
      <x:c r="H2" s="1"/>
      <x:c r="I2" s="1"/>
      <x:c r="J2" s="1"/>
      <x:c r="K2" s="1"/>
      <x:c r="L2" s="1"/>
      <x:c r="M2" s="1"/>
      <x:c r="N2" s="1"/>
      <x:c r="O2" s="1"/>
      <x:c r="P2" s="1"/>
      <x:c r="Q2" s="1"/>
      <x:c r="R2" s="1"/>
      <x:c r="S2" s="1"/>
      <x:c r="T2" s="1"/>
      <x:c r="U2" s="1"/>
      <x:c r="V2" s="1"/>
      <x:c r="W2" s="1"/>
      <x:c r="X2" s="1"/>
      <x:c r="Y2" s="1"/>
      <x:c r="Z2" s="1"/>
    </x:row>
    <x:row r="3" ht="20" customHeight="1">
      <x:c r="A3" s="491"/>
      <x:c r="B3" s="491"/>
      <x:c r="C3" s="1"/>
      <x:c r="D3" s="1"/>
      <x:c r="E3" s="1"/>
      <x:c r="F3" s="1"/>
      <x:c r="G3" s="1"/>
      <x:c r="H3" s="1"/>
      <x:c r="I3" s="1"/>
      <x:c r="J3" s="1"/>
      <x:c r="K3" s="1"/>
      <x:c r="L3" s="1"/>
      <x:c r="M3" s="1"/>
      <x:c r="N3" s="1"/>
      <x:c r="O3" s="1"/>
      <x:c r="P3" s="1"/>
      <x:c r="Q3" s="1"/>
      <x:c r="R3" s="1"/>
      <x:c r="S3" s="1"/>
      <x:c r="T3" s="1"/>
      <x:c r="U3" s="1"/>
      <x:c r="V3" s="1"/>
      <x:c r="W3" s="1"/>
      <x:c r="X3" s="1"/>
      <x:c r="Y3" s="1"/>
      <x:c r="Z3" s="1"/>
    </x:row>
    <x:row r="4">
      <x:c r="A4" s="35" t="s">
        <x:v>0</x:v>
      </x:c>
      <x:c r="B4" s="36" t="s">
        <x:v>1</x:v>
      </x:c>
      <x:c r="C4" s="1"/>
      <x:c r="D4" s="1"/>
      <x:c r="E4" s="1"/>
      <x:c r="F4" s="1"/>
      <x:c r="G4" s="1"/>
      <x:c r="H4" s="1"/>
      <x:c r="I4" s="1"/>
      <x:c r="J4" s="1"/>
      <x:c r="K4" s="1"/>
      <x:c r="L4" s="1"/>
      <x:c r="M4" s="1"/>
      <x:c r="N4" s="1"/>
      <x:c r="O4" s="1"/>
      <x:c r="P4" s="1"/>
      <x:c r="Q4" s="1"/>
      <x:c r="R4" s="1"/>
      <x:c r="S4" s="1"/>
      <x:c r="T4" s="1"/>
      <x:c r="U4" s="1"/>
      <x:c r="V4" s="1"/>
      <x:c r="W4" s="1"/>
      <x:c r="X4" s="1"/>
      <x:c r="Y4" s="1"/>
      <x:c r="Z4" s="1"/>
    </x:row>
    <x:row r="5">
      <x:c r="A5" s="53" t="s">
        <x:v>2</x:v>
      </x:c>
      <x:c r="B5" s="3" t="s">
        <x:v>3</x:v>
      </x:c>
      <x:c r="C5" s="1"/>
      <x:c r="D5" s="1"/>
      <x:c r="E5" s="1"/>
      <x:c r="F5" s="1"/>
      <x:c r="G5" s="1"/>
      <x:c r="H5" s="1"/>
      <x:c r="I5" s="1"/>
      <x:c r="J5" s="1"/>
      <x:c r="K5" s="1"/>
      <x:c r="L5" s="1"/>
      <x:c r="M5" s="1"/>
      <x:c r="N5" s="1"/>
      <x:c r="O5" s="1"/>
      <x:c r="P5" s="1"/>
      <x:c r="Q5" s="1"/>
      <x:c r="R5" s="1"/>
      <x:c r="S5" s="1"/>
      <x:c r="T5" s="1"/>
      <x:c r="U5" s="1"/>
      <x:c r="V5" s="1"/>
      <x:c r="W5" s="1"/>
      <x:c r="X5" s="1"/>
      <x:c r="Y5" s="1"/>
      <x:c r="Z5" s="1"/>
    </x:row>
    <x:row r="6">
      <x:c r="A6" s="53" t="s">
        <x:v>4</x:v>
      </x:c>
      <x:c r="B6" s="3" t="s">
        <x:v>5</x:v>
      </x:c>
      <x:c r="C6" s="1"/>
      <x:c r="D6" s="1"/>
      <x:c r="E6" s="1"/>
      <x:c r="F6" s="1"/>
      <x:c r="G6" s="1"/>
      <x:c r="H6" s="1"/>
      <x:c r="I6" s="1"/>
      <x:c r="J6" s="1"/>
      <x:c r="K6" s="1"/>
      <x:c r="L6" s="1"/>
      <x:c r="M6" s="1"/>
      <x:c r="N6" s="1"/>
      <x:c r="O6" s="1"/>
      <x:c r="P6" s="1"/>
      <x:c r="Q6" s="1"/>
      <x:c r="R6" s="1"/>
      <x:c r="S6" s="1"/>
      <x:c r="T6" s="1"/>
      <x:c r="U6" s="1"/>
      <x:c r="V6" s="1"/>
      <x:c r="W6" s="1"/>
      <x:c r="X6" s="1"/>
      <x:c r="Y6" s="1"/>
      <x:c r="Z6" s="1"/>
    </x:row>
    <x:row r="7">
      <x:c r="A7" s="53" t="s">
        <x:v>6</x:v>
      </x:c>
      <x:c r="B7" s="3" t="s">
        <x:v>7</x:v>
      </x:c>
      <x:c r="C7" s="1"/>
      <x:c r="D7" s="1"/>
      <x:c r="E7" s="1"/>
      <x:c r="F7" s="1"/>
      <x:c r="G7" s="1"/>
      <x:c r="H7" s="1"/>
      <x:c r="I7" s="1"/>
      <x:c r="J7" s="1"/>
      <x:c r="K7" s="1"/>
      <x:c r="L7" s="1"/>
      <x:c r="M7" s="1"/>
      <x:c r="N7" s="1"/>
      <x:c r="O7" s="1"/>
      <x:c r="P7" s="1"/>
      <x:c r="Q7" s="1"/>
      <x:c r="R7" s="1"/>
      <x:c r="S7" s="1"/>
      <x:c r="T7" s="1"/>
      <x:c r="U7" s="1"/>
      <x:c r="V7" s="1"/>
      <x:c r="W7" s="1"/>
      <x:c r="X7" s="1"/>
      <x:c r="Y7" s="1"/>
      <x:c r="Z7" s="1"/>
    </x:row>
    <x:row r="8">
      <x:c r="A8" s="53" t="s">
        <x:v>8</x:v>
      </x:c>
      <x:c r="B8" s="3" t="s">
        <x:v>9</x:v>
      </x:c>
      <x:c r="C8" s="1"/>
      <x:c r="D8" s="1"/>
      <x:c r="E8" s="1"/>
      <x:c r="F8" s="1"/>
      <x:c r="G8" s="1"/>
      <x:c r="H8" s="1"/>
      <x:c r="I8" s="1"/>
      <x:c r="J8" s="1"/>
      <x:c r="K8" s="1"/>
      <x:c r="L8" s="1"/>
      <x:c r="M8" s="1"/>
      <x:c r="N8" s="1"/>
      <x:c r="O8" s="1"/>
      <x:c r="P8" s="1"/>
      <x:c r="Q8" s="1"/>
      <x:c r="R8" s="1"/>
      <x:c r="S8" s="1"/>
      <x:c r="T8" s="1"/>
      <x:c r="U8" s="1"/>
      <x:c r="V8" s="1"/>
      <x:c r="W8" s="1"/>
      <x:c r="X8" s="1"/>
      <x:c r="Y8" s="1"/>
      <x:c r="Z8" s="1"/>
    </x:row>
    <x:row r="9">
      <x:c r="A9" s="53" t="s">
        <x:v>10</x:v>
      </x:c>
      <x:c r="B9" s="3" t="s">
        <x:v>11</x:v>
      </x:c>
      <x:c r="C9" s="1"/>
      <x:c r="D9" s="1"/>
      <x:c r="E9" s="1"/>
      <x:c r="F9" s="1"/>
      <x:c r="G9" s="1"/>
      <x:c r="H9" s="1"/>
      <x:c r="I9" s="1"/>
      <x:c r="J9" s="1"/>
      <x:c r="K9" s="1"/>
      <x:c r="L9" s="1"/>
      <x:c r="M9" s="1"/>
      <x:c r="N9" s="1"/>
      <x:c r="O9" s="1"/>
      <x:c r="P9" s="1"/>
      <x:c r="Q9" s="1"/>
      <x:c r="R9" s="1"/>
      <x:c r="S9" s="1"/>
      <x:c r="T9" s="1"/>
      <x:c r="U9" s="1"/>
      <x:c r="V9" s="1"/>
      <x:c r="W9" s="1"/>
      <x:c r="X9" s="1"/>
      <x:c r="Y9" s="1"/>
      <x:c r="Z9" s="1"/>
    </x:row>
    <x:row r="10">
      <x:c r="A10" s="53" t="s">
        <x:v>12</x:v>
      </x:c>
      <x:c r="B10" s="3" t="s">
        <x:v>13</x:v>
      </x:c>
      <x:c r="C10" s="1"/>
      <x:c r="D10" s="1"/>
      <x:c r="E10" s="1"/>
      <x:c r="F10" s="1"/>
      <x:c r="G10" s="1"/>
      <x:c r="H10" s="1"/>
      <x:c r="I10" s="1"/>
      <x:c r="J10" s="1"/>
      <x:c r="K10" s="1"/>
      <x:c r="L10" s="1"/>
      <x:c r="M10" s="1"/>
      <x:c r="N10" s="1"/>
      <x:c r="O10" s="1"/>
      <x:c r="P10" s="1"/>
      <x:c r="Q10" s="1"/>
      <x:c r="R10" s="1"/>
      <x:c r="S10" s="1"/>
      <x:c r="T10" s="1"/>
      <x:c r="U10" s="1"/>
      <x:c r="V10" s="1"/>
      <x:c r="W10" s="1"/>
      <x:c r="X10" s="1"/>
      <x:c r="Y10" s="1"/>
      <x:c r="Z10" s="1"/>
    </x:row>
    <x:row r="11">
      <x:c r="A11" s="53" t="s">
        <x:v>14</x:v>
      </x:c>
      <x:c r="B11" s="3" t="s">
        <x:v>15</x:v>
      </x:c>
      <x:c r="C11" s="1"/>
      <x:c r="D11" s="1"/>
      <x:c r="E11" s="1"/>
      <x:c r="F11" s="1"/>
      <x:c r="G11" s="1"/>
      <x:c r="H11" s="1"/>
      <x:c r="I11" s="1"/>
      <x:c r="J11" s="1"/>
      <x:c r="K11" s="1"/>
      <x:c r="L11" s="1"/>
      <x:c r="M11" s="1"/>
      <x:c r="N11" s="1"/>
      <x:c r="O11" s="1"/>
      <x:c r="P11" s="1"/>
      <x:c r="Q11" s="1"/>
      <x:c r="R11" s="1"/>
      <x:c r="S11" s="1"/>
      <x:c r="T11" s="1"/>
      <x:c r="U11" s="1"/>
      <x:c r="V11" s="1"/>
      <x:c r="W11" s="1"/>
      <x:c r="X11" s="1"/>
      <x:c r="Y11" s="1"/>
      <x:c r="Z11" s="1"/>
    </x:row>
    <x:row r="12">
      <x:c r="A12" s="53" t="s">
        <x:v>16</x:v>
      </x:c>
      <x:c r="B12" s="3" t="s">
        <x:v>17</x:v>
      </x:c>
      <x:c r="C12" s="1"/>
      <x:c r="D12" s="1"/>
      <x:c r="E12" s="1"/>
      <x:c r="F12" s="1"/>
      <x:c r="G12" s="1"/>
      <x:c r="H12" s="1"/>
      <x:c r="I12" s="1"/>
      <x:c r="J12" s="1"/>
      <x:c r="K12" s="1"/>
      <x:c r="L12" s="1"/>
      <x:c r="M12" s="1"/>
      <x:c r="N12" s="1"/>
      <x:c r="O12" s="1"/>
      <x:c r="P12" s="1"/>
      <x:c r="Q12" s="1"/>
      <x:c r="R12" s="1"/>
      <x:c r="S12" s="1"/>
      <x:c r="T12" s="1"/>
      <x:c r="U12" s="1"/>
      <x:c r="V12" s="1"/>
      <x:c r="W12" s="1"/>
      <x:c r="X12" s="1"/>
      <x:c r="Y12" s="1"/>
      <x:c r="Z12" s="1"/>
    </x:row>
    <x:row r="13">
      <x:c r="A13" s="53" t="s">
        <x:v>18</x:v>
      </x:c>
      <x:c r="B13" s="3" t="s">
        <x:v>19</x:v>
      </x:c>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53" t="s">
        <x:v>20</x:v>
      </x:c>
      <x:c r="B14" s="3" t="s">
        <x:v>21</x:v>
      </x:c>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4"/>
      <x:c r="B15" s="5"/>
      <x:c r="C15" s="1"/>
      <x:c r="D15" s="1"/>
      <x:c r="E15" s="1"/>
      <x:c r="F15" s="1"/>
      <x:c r="G15" s="1"/>
      <x:c r="H15" s="1"/>
      <x:c r="I15" s="1"/>
      <x:c r="J15" s="1"/>
      <x:c r="K15" s="1"/>
      <x:c r="L15" s="1"/>
      <x:c r="M15" s="1"/>
      <x:c r="N15" s="1"/>
      <x:c r="O15" s="1"/>
      <x:c r="P15" s="1"/>
      <x:c r="Q15" s="1"/>
      <x:c r="R15" s="1"/>
      <x:c r="S15" s="1"/>
      <x:c r="T15" s="1"/>
      <x:c r="U15" s="1"/>
      <x:c r="V15" s="1"/>
      <x:c r="W15" s="1"/>
      <x:c r="X15" s="1"/>
      <x:c r="Y15" s="1"/>
      <x:c r="Z15" s="1"/>
    </x:row>
    <x:row r="16" ht="22" customHeight="1">
      <x:c r="A16" s="123" t="str">
        <x:v>Supporting Analysis Sheets</x:v>
      </x:c>
      <x:c r="B16" s="123"/>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36" t="str">
        <x:v>Sheet</x:v>
      </x:c>
      <x:c r="B17" s="137" t="str">
        <x:v>Purpose</x:v>
      </x:c>
      <x:c r="C17" s="1"/>
      <x:c r="D17" s="1"/>
      <x:c r="E17" s="1"/>
      <x:c r="F17" s="1"/>
      <x:c r="G17" s="1"/>
      <x:c r="H17" s="1"/>
      <x:c r="I17" s="1"/>
      <x:c r="J17" s="1"/>
      <x:c r="K17" s="1"/>
      <x:c r="L17" s="1"/>
      <x:c r="M17" s="1"/>
      <x:c r="N17" s="1"/>
      <x:c r="O17" s="1"/>
      <x:c r="P17" s="1"/>
      <x:c r="Q17" s="1"/>
      <x:c r="R17" s="1"/>
      <x:c r="S17" s="1"/>
      <x:c r="T17" s="1"/>
      <x:c r="U17" s="1"/>
      <x:c r="V17" s="1"/>
      <x:c r="W17" s="1"/>
      <x:c r="X17" s="1"/>
      <x:c r="Y17" s="1"/>
      <x:c r="Z17" s="1"/>
    </x:row>
    <x:row r="18" ht="38" customHeight="1">
      <x:c r="A18" s="160" t="str">
        <x:v>Codebook Comparison</x:v>
      </x:c>
      <x:c r="B18" s="161" t="str">
        <x:v>Old-versus-new codebook interpretation and historical evidence.</x:v>
      </x:c>
      <x:c r="C18" s="1"/>
      <x:c r="D18" s="1"/>
      <x:c r="E18" s="1"/>
      <x:c r="F18" s="1"/>
      <x:c r="G18" s="1"/>
      <x:c r="H18" s="1"/>
      <x:c r="I18" s="1"/>
      <x:c r="J18" s="1"/>
      <x:c r="K18" s="1"/>
      <x:c r="L18" s="1"/>
      <x:c r="M18" s="1"/>
      <x:c r="N18" s="1"/>
      <x:c r="O18" s="1"/>
      <x:c r="P18" s="1"/>
      <x:c r="Q18" s="1"/>
      <x:c r="R18" s="1"/>
      <x:c r="S18" s="1"/>
      <x:c r="T18" s="1"/>
      <x:c r="U18" s="1"/>
      <x:c r="V18" s="1"/>
      <x:c r="W18" s="1"/>
      <x:c r="X18" s="1"/>
      <x:c r="Y18" s="1"/>
      <x:c r="Z18" s="1"/>
    </x:row>
    <x:row r="19" ht="38" customHeight="1">
      <x:c r="A19" s="162" t="str">
        <x:v>Metric Guide &amp; Insights</x:v>
      </x:c>
      <x:c r="B19" s="163" t="str">
        <x:v>Plain-language metrics and substantive findings for domain experts.</x:v>
      </x:c>
      <x:c r="C19" s="1"/>
      <x:c r="D19" s="1"/>
      <x:c r="E19" s="1"/>
      <x:c r="F19" s="1"/>
      <x:c r="G19" s="1"/>
      <x:c r="H19" s="1"/>
      <x:c r="I19" s="1"/>
      <x:c r="J19" s="1"/>
      <x:c r="K19" s="1"/>
      <x:c r="L19" s="1"/>
      <x:c r="M19" s="1"/>
      <x:c r="N19" s="1"/>
      <x:c r="O19" s="1"/>
      <x:c r="P19" s="1"/>
    </x:row>
    <x:row r="20" ht="38" customHeight="1">
      <x:c r="A20" s="164" t="str">
        <x:v>Sources</x:v>
      </x:c>
      <x:c r="B20" s="165" t="str">
        <x:v>Notebook and workbook artifacts used to verify the analysis.</x:v>
      </x:c>
      <x:c r="C20" s="1"/>
      <x:c r="D20" s="1"/>
      <x:c r="E20" s="1"/>
      <x:c r="F20" s="1"/>
      <x:c r="G20" s="1"/>
      <x:c r="H20" s="1"/>
      <x:c r="I20" s="1"/>
      <x:c r="J20" s="1"/>
      <x:c r="K20" s="1"/>
      <x:c r="L20" s="1"/>
      <x:c r="M20" s="1"/>
      <x:c r="N20" s="1"/>
      <x:c r="O20" s="1"/>
      <x:c r="P20" s="1"/>
    </x:row>
    <x:row r="21">
      <x:c r="A21" s="1"/>
      <x:c r="B21" s="1"/>
      <x:c r="C21" s="1"/>
      <x:c r="D21" s="1"/>
      <x:c r="E21" s="1"/>
      <x:c r="F21" s="1"/>
      <x:c r="G21" s="1"/>
      <x:c r="H21" s="1"/>
      <x:c r="I21" s="1"/>
      <x:c r="J21" s="1"/>
      <x:c r="K21" s="1"/>
      <x:c r="L21" s="1"/>
      <x:c r="M21" s="1"/>
      <x:c r="N21" s="1"/>
      <x:c r="O21" s="1"/>
      <x:c r="P21" s="1"/>
    </x:row>
    <x:row r="22" ht="58" customHeight="1">
      <x:c r="A22" s="196" t="str">
        <x:v>Reading rule: compare models only when they used the same rows, codebook, and prompt design. The original 11-row test contained only positive examples, so its score is positive recall—not mixed-class accuracy. Production results have no human gold labels and should be interpreted through agreement, rationales, and human review.</x:v>
      </x:c>
      <x:c r="B22" s="197"/>
      <x:c r="C22" s="1"/>
      <x:c r="D22" s="1"/>
      <x:c r="E22" s="1"/>
      <x:c r="F22" s="1"/>
      <x:c r="G22" s="1"/>
      <x:c r="H22" s="1"/>
      <x:c r="I22" s="1"/>
      <x:c r="J22" s="1"/>
      <x:c r="K22" s="1"/>
      <x:c r="L22" s="1"/>
      <x:c r="M22" s="1"/>
      <x:c r="N22" s="1"/>
      <x:c r="O22" s="1"/>
      <x:c r="P22" s="1"/>
    </x:row>
    <x:row r="23" ht="58" customHeight="1">
      <x:c r="A23" s="198"/>
      <x:c r="B23" s="199"/>
      <x:c r="C23" s="1"/>
      <x:c r="D23" s="1"/>
      <x:c r="E23" s="1"/>
      <x:c r="F23" s="1"/>
      <x:c r="G23" s="1"/>
      <x:c r="H23" s="1"/>
      <x:c r="I23" s="1"/>
      <x:c r="J23" s="1"/>
      <x:c r="K23" s="1"/>
      <x:c r="L23" s="1"/>
      <x:c r="M23" s="1"/>
      <x:c r="N23" s="1"/>
      <x:c r="O23" s="1"/>
      <x:c r="P23" s="1"/>
    </x:row>
    <x:row r="24" ht="58" customHeight="1">
      <x:c r="A24" s="198"/>
      <x:c r="B24" s="199"/>
      <x:c r="C24" s="1"/>
      <x:c r="D24" s="1"/>
      <x:c r="E24" s="1"/>
      <x:c r="F24" s="1"/>
      <x:c r="G24" s="1"/>
      <x:c r="H24" s="1"/>
      <x:c r="I24" s="1"/>
      <x:c r="J24" s="1"/>
      <x:c r="K24" s="1"/>
      <x:c r="L24" s="1"/>
      <x:c r="M24" s="1"/>
      <x:c r="N24" s="1"/>
      <x:c r="O24" s="1"/>
      <x:c r="P24" s="1"/>
      <x:c r="Q24" s="1"/>
      <x:c r="R24" s="1"/>
      <x:c r="S24" s="1"/>
      <x:c r="T24" s="1"/>
      <x:c r="U24" s="1"/>
      <x:c r="V24" s="1"/>
      <x:c r="W24" s="1"/>
      <x:c r="X24" s="1"/>
      <x:c r="Y24" s="1"/>
      <x:c r="Z24" s="1"/>
    </x:row>
    <x:row r="25" ht="58" customHeight="1">
      <x:c r="A25" s="200"/>
      <x:c r="B25" s="20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K60" s="1"/>
      <x:c r="L60" s="1"/>
      <x:c r="M60" s="1"/>
      <x:c r="N60" s="1"/>
      <x:c r="O60" s="1"/>
      <x:c r="P60" s="1"/>
      <x:c r="Q60" s="1"/>
      <x:c r="R60" s="1"/>
      <x:c r="S60" s="1"/>
      <x:c r="T60" s="1"/>
      <x:c r="U60" s="1"/>
      <x:c r="V60" s="1"/>
      <x:c r="W60" s="1"/>
      <x:c r="X60" s="1"/>
      <x:c r="Y60" s="1"/>
      <x:c r="Z60" s="1"/>
    </x:row>
    <x:row r="61">
      <x:c r="K61" s="1"/>
      <x:c r="L61" s="1"/>
      <x:c r="M61" s="1"/>
      <x:c r="N61" s="1"/>
      <x:c r="O61" s="1"/>
      <x:c r="P61" s="1"/>
      <x:c r="Q61" s="1"/>
      <x:c r="R61" s="1"/>
      <x:c r="S61" s="1"/>
      <x:c r="T61" s="1"/>
      <x:c r="U61" s="1"/>
      <x:c r="V61" s="1"/>
      <x:c r="W61" s="1"/>
      <x:c r="X61" s="1"/>
      <x:c r="Y61" s="1"/>
      <x:c r="Z61" s="1"/>
    </x:row>
  </x:sheetData>
  <x:mergeCells>
    <x:mergeCell ref="A16:B16"/>
    <x:mergeCell ref="A22:B25"/>
    <x:mergeCell ref="A1:B1"/>
    <x:mergeCell ref="A2:B3"/>
  </x:mergeCells>
  <x:pageMargins left="0.7" right="0.7" top="0.75" bottom="0.75" header="0.3" footer="0.3"/>
</x:worksheet>
</file>

<file path=xl/worksheets/sheet2.xml><?xml version="1.0" encoding="utf-8"?>
<x:worksheet xmlns:x="http://schemas.openxmlformats.org/spreadsheetml/2006/main">
  <x:sheetFormatPr defaultRowHeight="14"/>
  <x:cols>
    <x:col min="1" max="1" width="28" hidden="0" customWidth="1"/>
    <x:col min="2" max="2" width="40" hidden="0" customWidth="1"/>
    <x:col min="3" max="3" width="18" hidden="0" customWidth="1"/>
    <x:col min="4" max="5" width="14" customWidth="1"/>
    <x:col min="6" max="6" width="36" hidden="0" customWidth="1"/>
    <x:col min="7" max="7" width="14" hidden="0" customWidth="1"/>
    <x:col min="4" max="4" width="13" hidden="0" customWidth="1"/>
    <x:col min="5" max="5" width="15" hidden="0" customWidth="1"/>
  </x:cols>
  <x:sheetData>
    <x:row r="1" ht="28" customHeight="1">
      <x:c r="A1" s="490" t="str">
        <x:v>Results Dashboard (Best Version Summary)</x:v>
      </x:c>
      <x:c r="B1" s="490"/>
      <x:c r="C1" s="490"/>
      <x:c r="D1" s="490"/>
      <x:c r="E1" s="490"/>
      <x:c r="F1" s="490"/>
      <x:c r="G1" s="490"/>
      <x:c r="H1" s="490"/>
      <x:c r="I1" s="490"/>
      <x:c r="J1" s="490"/>
      <x:c r="K1" s="490"/>
      <x:c r="L1" s="490"/>
      <x:c r="M1" s="490"/>
      <x:c r="N1" s="490"/>
      <x:c r="O1" s="490"/>
      <x:c r="P1" s="490"/>
      <x:c r="Q1" s="490"/>
      <x:c r="R1" s="490"/>
      <x:c r="S1" s="490"/>
      <x:c r="T1" s="6"/>
      <x:c r="U1" s="6"/>
      <x:c r="V1" s="6"/>
      <x:c r="W1" s="6"/>
      <x:c r="X1" s="6"/>
      <x:c r="Y1" s="6"/>
      <x:c r="Z1" s="6"/>
    </x:row>
    <x:row r="2" ht="20" customHeight="1">
      <x:c r="A2" s="491" t="str">
        <x:v>Best cleaned model strategy by provider, followed by reliability from the first full production-document run.</x:v>
      </x:c>
      <x:c r="B2" s="491"/>
      <x:c r="C2" s="491"/>
      <x:c r="D2" s="491"/>
      <x:c r="E2" s="491"/>
      <x:c r="F2" s="491"/>
      <x:c r="G2" s="491"/>
      <x:c r="H2" s="491"/>
      <x:c r="I2" s="491"/>
      <x:c r="J2" s="491"/>
      <x:c r="K2" s="491"/>
      <x:c r="L2" s="491"/>
      <x:c r="M2" s="491"/>
      <x:c r="N2" s="491"/>
      <x:c r="O2" s="491"/>
      <x:c r="P2" s="491"/>
      <x:c r="Q2" s="491"/>
      <x:c r="R2" s="491"/>
      <x:c r="S2" s="491"/>
      <x:c r="T2" s="1"/>
      <x:c r="U2" s="1"/>
      <x:c r="V2" s="1"/>
      <x:c r="W2" s="1"/>
      <x:c r="X2" s="1"/>
      <x:c r="Y2" s="1"/>
      <x:c r="Z2" s="1"/>
    </x:row>
    <x:row r="3" ht="20" customHeight="1">
      <x:c r="A3" s="491"/>
      <x:c r="B3" s="491"/>
      <x:c r="C3" s="491"/>
      <x:c r="D3" s="491"/>
      <x:c r="E3" s="491"/>
      <x:c r="F3" s="491"/>
      <x:c r="G3" s="491"/>
      <x:c r="H3" s="491"/>
      <x:c r="I3" s="491"/>
      <x:c r="J3" s="491"/>
      <x:c r="K3" s="491"/>
      <x:c r="L3" s="491"/>
      <x:c r="M3" s="491"/>
      <x:c r="N3" s="491"/>
      <x:c r="O3" s="491"/>
      <x:c r="P3" s="491"/>
      <x:c r="Q3" s="491"/>
      <x:c r="R3" s="491"/>
      <x:c r="S3" s="49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ht="26">
      <x:c r="A5" s="35" t="s">
        <x:v>22</x:v>
      </x:c>
      <x:c r="B5" s="37" t="s">
        <x:v>23</x:v>
      </x:c>
      <x:c r="C5" s="37" t="s">
        <x:v>24</x:v>
      </x:c>
      <x:c r="D5" s="37" t="s">
        <x:v>25</x:v>
      </x:c>
      <x:c r="E5" s="37" t="s">
        <x:v>26</x:v>
      </x:c>
      <x:c r="F5" s="37" t="s">
        <x:v>27</x:v>
      </x:c>
      <x:c r="G5" s="36" t="s">
        <x:v>28</x:v>
      </x:c>
      <x:c r="H5" s="1"/>
      <x:c r="I5" s="1"/>
      <x:c r="J5" s="1"/>
      <x:c r="K5" s="1"/>
      <x:c r="L5" s="1"/>
      <x:c r="M5" s="1"/>
      <x:c r="N5" s="1"/>
      <x:c r="O5" s="1"/>
      <x:c r="P5" s="1" t="s">
        <x:v>22</x:v>
      </x:c>
      <x:c r="Q5" s="1" t="s">
        <x:v>26</x:v>
      </x:c>
      <x:c r="R5" s="1" t="s">
        <x:v>27</x:v>
      </x:c>
      <x:c r="S5" s="1"/>
      <x:c r="T5" s="1"/>
      <x:c r="U5" s="1"/>
      <x:c r="V5" s="1"/>
      <x:c r="W5" s="1"/>
      <x:c r="X5" s="1"/>
      <x:c r="Y5" s="1"/>
      <x:c r="Z5" s="1"/>
    </x:row>
    <x:row r="6" ht="18.649999618530273" customHeight="1">
      <x:c r="A6" s="7" t="s">
        <x:v>29</x:v>
      </x:c>
      <x:c r="B6" s="1" t="s">
        <x:v>30</x:v>
      </x:c>
      <x:c r="C6" s="1" t="s">
        <x:v>31</x:v>
      </x:c>
      <x:c r="D6" s="1">
        <x:v>40</x:v>
      </x:c>
      <x:c r="E6" s="8">
        <x:v>0.72499999999999998</x:v>
      </x:c>
      <x:c r="F6" s="8">
        <x:v>0.80701754390000002</x:v>
      </x:c>
      <x:c r="G6" s="9">
        <x:v>0.36781609199999998</x:v>
      </x:c>
      <x:c r="H6" s="1"/>
      <x:c r="I6" s="1"/>
      <x:c r="J6" s="1"/>
      <x:c r="K6" s="1"/>
      <x:c r="L6" s="1"/>
      <x:c r="M6" s="1"/>
      <x:c r="N6" s="1"/>
      <x:c r="O6" s="1"/>
      <x:c r="P6" s="1" t="s">
        <x:v>29</x:v>
      </x:c>
      <x:c r="Q6" s="8">
        <x:v>0.72499999999999998</x:v>
      </x:c>
      <x:c r="R6" s="8">
        <x:v>0.80701754390000002</x:v>
      </x:c>
      <x:c r="S6" s="1"/>
      <x:c r="T6" s="1"/>
      <x:c r="U6" s="1"/>
      <x:c r="V6" s="1"/>
      <x:c r="W6" s="1"/>
      <x:c r="X6" s="1"/>
      <x:c r="Y6" s="1"/>
      <x:c r="Z6" s="1"/>
    </x:row>
    <x:row r="7" ht="18.649999618530273" customHeight="1">
      <x:c r="A7" s="7" t="s">
        <x:v>32</x:v>
      </x:c>
      <x:c r="B7" s="1" t="s">
        <x:v>33</x:v>
      </x:c>
      <x:c r="C7" s="1" t="s">
        <x:v>34</x:v>
      </x:c>
      <x:c r="D7" s="1">
        <x:v>46</x:v>
      </x:c>
      <x:c r="E7" s="8">
        <x:v>0.71739130429999998</x:v>
      </x:c>
      <x:c r="F7" s="8">
        <x:v>0.81159420289999995</x:v>
      </x:c>
      <x:c r="G7" s="9">
        <x:v>0.25062656639999997</x:v>
      </x:c>
      <x:c r="H7" s="1"/>
      <x:c r="I7" s="1"/>
      <x:c r="J7" s="1"/>
      <x:c r="K7" s="1"/>
      <x:c r="L7" s="1"/>
      <x:c r="M7" s="1"/>
      <x:c r="N7" s="1"/>
      <x:c r="O7" s="1"/>
      <x:c r="P7" s="1" t="s">
        <x:v>32</x:v>
      </x:c>
      <x:c r="Q7" s="8">
        <x:v>0.71739130429999998</x:v>
      </x:c>
      <x:c r="R7" s="8">
        <x:v>0.81159420289999995</x:v>
      </x:c>
      <x:c r="S7" s="1"/>
      <x:c r="T7" s="1"/>
      <x:c r="U7" s="1"/>
      <x:c r="V7" s="1"/>
      <x:c r="W7" s="1"/>
      <x:c r="X7" s="1"/>
      <x:c r="Y7" s="1"/>
      <x:c r="Z7" s="1"/>
    </x:row>
    <x:row r="8" ht="18.649999618530273" customHeight="1">
      <x:c r="A8" s="10" t="s">
        <x:v>35</x:v>
      </x:c>
      <x:c r="B8" s="11" t="s">
        <x:v>36</x:v>
      </x:c>
      <x:c r="C8" s="11" t="s">
        <x:v>31</x:v>
      </x:c>
      <x:c r="D8" s="11">
        <x:v>40</x:v>
      </x:c>
      <x:c r="E8" s="12">
        <x:v>0.7</x:v>
      </x:c>
      <x:c r="F8" s="12">
        <x:v>0.8064516129</x:v>
      </x:c>
      <x:c r="G8" s="13">
        <x:v>0.15194346289999999</x:v>
      </x:c>
      <x:c r="H8" s="1"/>
      <x:c r="I8" s="1"/>
      <x:c r="J8" s="1"/>
      <x:c r="K8" s="1"/>
      <x:c r="L8" s="1"/>
      <x:c r="M8" s="1"/>
      <x:c r="N8" s="1"/>
      <x:c r="O8" s="1"/>
      <x:c r="P8" s="1" t="s">
        <x:v>35</x:v>
      </x:c>
      <x:c r="Q8" s="8">
        <x:v>0.7</x:v>
      </x:c>
      <x:c r="R8" s="8">
        <x:v>0.8064516129</x:v>
      </x:c>
      <x:c r="S8" s="1"/>
      <x:c r="T8" s="1"/>
      <x:c r="U8" s="1"/>
      <x:c r="V8" s="1"/>
      <x:c r="W8" s="1"/>
      <x:c r="X8" s="1"/>
      <x:c r="Y8" s="1"/>
      <x:c r="Z8" s="1"/>
    </x:row>
    <x:row r="9">
      <x:c r="A9" s="1"/>
      <x:c r="B9" s="1"/>
      <x:c r="C9" s="1"/>
      <x:c r="D9" s="1"/>
      <x:c r="E9" s="1"/>
      <x:c r="F9" s="1"/>
      <x:c r="G9" s="1"/>
      <x:c r="H9" s="1"/>
      <x:c r="I9" s="1"/>
      <x:c r="J9" s="1"/>
      <x:c r="K9" s="1"/>
      <x:c r="L9" s="1"/>
      <x:c r="M9" s="1"/>
      <x:c r="N9" s="1"/>
      <x:c r="O9" s="1"/>
      <x:c r="P9" s="1"/>
      <x:c r="Q9" s="1"/>
      <x:c r="R9" s="1"/>
      <x:c r="S9" s="1"/>
      <x:c r="T9" s="1"/>
      <x:c r="U9" s="1"/>
      <x:c r="V9" s="1"/>
      <x:c r="W9" s="1"/>
      <x:c r="X9" s="1"/>
      <x:c r="Y9" s="1"/>
      <x:c r="Z9" s="1"/>
    </x:row>
    <x:row r="10">
      <x:c r="A10" s="1"/>
      <x:c r="B10" s="1"/>
      <x:c r="C10" s="1"/>
      <x:c r="D10" s="1"/>
      <x:c r="E10" s="1"/>
      <x:c r="F10" s="1"/>
      <x:c r="G10" s="1"/>
      <x:c r="H10" s="1"/>
      <x:c r="I10" s="1"/>
      <x:c r="J10" s="1"/>
      <x:c r="K10" s="1"/>
      <x:c r="L10" s="1"/>
      <x:c r="M10" s="1"/>
      <x:c r="N10" s="1"/>
      <x:c r="O10" s="1"/>
      <x:c r="P10" s="1"/>
      <x:c r="Q10" s="1"/>
      <x:c r="R10" s="1"/>
      <x:c r="S10" s="1"/>
      <x:c r="T10" s="1"/>
      <x:c r="U10" s="1"/>
      <x:c r="V10" s="1"/>
      <x:c r="W10" s="1"/>
      <x:c r="X10" s="1"/>
      <x:c r="Y10" s="1"/>
      <x:c r="Z10" s="1"/>
    </x:row>
    <x:row r="11">
      <x:c r="A11" s="54" t="s">
        <x:v>37</x:v>
      </x:c>
      <x:c r="B11" s="41"/>
      <x:c r="C11" s="41"/>
      <x:c r="D11" s="41"/>
      <x:c r="E11" s="41"/>
      <x:c r="F11" s="41"/>
      <x:c r="G11" s="41"/>
      <x:c r="H11" s="1"/>
      <x:c r="I11" s="1"/>
      <x:c r="J11" s="1"/>
      <x:c r="K11" s="1"/>
      <x:c r="L11" s="1"/>
      <x:c r="M11" s="1"/>
      <x:c r="N11" s="1"/>
      <x:c r="O11" s="1"/>
      <x:c r="P11" s="1"/>
      <x:c r="Q11" s="1"/>
      <x:c r="R11" s="1"/>
      <x:c r="S11" s="1"/>
      <x:c r="T11" s="1"/>
      <x:c r="U11" s="1"/>
      <x:c r="V11" s="1"/>
      <x:c r="W11" s="1"/>
      <x:c r="X11" s="1"/>
      <x:c r="Y11" s="1"/>
      <x:c r="Z11" s="1"/>
    </x:row>
    <x:row r="12" ht="22.649999618530273" customHeight="1">
      <x:c r="A12" s="14" t="s">
        <x:v>29</x:v>
      </x:c>
      <x:c r="B12" s="42" t="s">
        <x:v>38</x:v>
      </x:c>
      <x:c r="C12" s="42"/>
      <x:c r="D12" s="42"/>
      <x:c r="E12" s="42"/>
      <x:c r="F12" s="42"/>
      <x:c r="G12" s="43"/>
      <x:c r="H12" s="1"/>
      <x:c r="I12" s="1"/>
      <x:c r="J12" s="1"/>
      <x:c r="K12" s="1"/>
      <x:c r="L12" s="1"/>
      <x:c r="M12" s="1"/>
      <x:c r="N12" s="1"/>
      <x:c r="O12" s="1"/>
      <x:c r="P12" s="136" t="str">
        <x:v>Dimension</x:v>
      </x:c>
      <x:c r="Q12" s="225" t="str">
        <x:v>Unanimous agreement</x:v>
      </x:c>
      <x:c r="R12" s="225" t="str">
        <x:v>Fleiss κ</x:v>
      </x:c>
      <x:c r="S12" s="137" t="str">
        <x:v>Krippendorff α</x:v>
      </x:c>
      <x:c r="T12" s="1"/>
      <x:c r="U12" s="1"/>
      <x:c r="V12" s="1"/>
      <x:c r="W12" s="1"/>
      <x:c r="X12" s="1"/>
      <x:c r="Y12" s="1"/>
      <x:c r="Z12" s="1"/>
    </x:row>
    <x:row r="13" ht="22.649999618530273" customHeight="1">
      <x:c r="A13" s="15" t="s">
        <x:v>39</x:v>
      </x:c>
      <x:c r="B13" s="44" t="s">
        <x:v>40</x:v>
      </x:c>
      <x:c r="C13" s="44"/>
      <x:c r="D13" s="44"/>
      <x:c r="E13" s="44"/>
      <x:c r="F13" s="44"/>
      <x:c r="G13" s="45"/>
      <x:c r="H13" s="1"/>
      <x:c r="I13" s="1"/>
      <x:c r="J13" s="1"/>
      <x:c r="K13" s="1"/>
      <x:c r="L13" s="1"/>
      <x:c r="M13" s="1"/>
      <x:c r="N13" s="1"/>
      <x:c r="O13" s="1"/>
      <x:c r="P13" s="160" t="str">
        <x:v>Unlearning binary</x:v>
      </x:c>
      <x:c r="Q13" s="236" t="n">
        <x:v>0.6875</x:v>
      </x:c>
      <x:c r="R13" s="236" t="n">
        <x:v>0.484702</x:v>
      </x:c>
      <x:c r="S13" s="273" t="n">
        <x:v>0.49007</x:v>
      </x:c>
      <x:c r="T13" s="1"/>
      <x:c r="U13" s="1"/>
      <x:c r="V13" s="1"/>
      <x:c r="W13" s="1"/>
      <x:c r="X13" s="1"/>
      <x:c r="Y13" s="1"/>
      <x:c r="Z13" s="1"/>
    </x:row>
    <x:row r="14" ht="22.649999618530273" customHeight="1">
      <x:c r="A14" s="15" t="s">
        <x:v>41</x:v>
      </x:c>
      <x:c r="B14" s="44" t="s">
        <x:v>42</x:v>
      </x:c>
      <x:c r="C14" s="44"/>
      <x:c r="D14" s="44"/>
      <x:c r="E14" s="44"/>
      <x:c r="F14" s="44"/>
      <x:c r="G14" s="45"/>
      <x:c r="H14" s="1"/>
      <x:c r="I14" s="1"/>
      <x:c r="J14" s="1"/>
      <x:c r="K14" s="1"/>
      <x:c r="L14" s="1"/>
      <x:c r="M14" s="1"/>
      <x:c r="N14" s="1"/>
      <x:c r="O14" s="1"/>
      <x:c r="P14" s="162" t="str">
        <x:v>Target including none</x:v>
      </x:c>
      <x:c r="Q14" s="238" t="n">
        <x:v>0.65625</x:v>
      </x:c>
      <x:c r="R14" s="238" t="n">
        <x:v>0.438596</x:v>
      </x:c>
      <x:c r="S14" s="274" t="n">
        <x:v>0.444444</x:v>
      </x:c>
      <x:c r="T14" s="1"/>
      <x:c r="U14" s="1"/>
      <x:c r="V14" s="1"/>
      <x:c r="W14" s="1"/>
      <x:c r="X14" s="1"/>
      <x:c r="Y14" s="1"/>
      <x:c r="Z14" s="1"/>
    </x:row>
    <x:row r="15" ht="22.649999618530273" customHeight="1">
      <x:c r="A15" s="17" t="s">
        <x:v>43</x:v>
      </x:c>
      <x:c r="B15" s="46" t="s">
        <x:v>44</x:v>
      </x:c>
      <x:c r="C15" s="46"/>
      <x:c r="D15" s="46"/>
      <x:c r="E15" s="46"/>
      <x:c r="F15" s="46"/>
      <x:c r="G15" s="47"/>
      <x:c r="H15" s="1"/>
      <x:c r="I15" s="1"/>
      <x:c r="J15" s="1"/>
      <x:c r="K15" s="1"/>
      <x:c r="L15" s="1"/>
      <x:c r="M15" s="1"/>
      <x:c r="N15" s="1"/>
      <x:c r="O15" s="1"/>
      <x:c r="P15" s="164" t="str">
        <x:v>Target on positive rows</x:v>
      </x:c>
      <x:c r="Q15" s="240" t="n">
        <x:v>0.214286</x:v>
      </x:c>
      <x:c r="R15" s="240" t="n">
        <x:v>0.151515</x:v>
      </x:c>
      <x:c r="S15" s="275" t="n">
        <x:v>0.171717</x:v>
      </x:c>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ht="18.5">
      <x:c r="A17" s="123" t="str">
        <x:v>Analysis of What if Hurricane Katrina Hit in 2020?</x:v>
      </x:c>
      <x:c r="B17" s="123"/>
      <x:c r="C17" s="123"/>
      <x:c r="D17" s="123"/>
      <x:c r="E17" s="123"/>
      <x:c r="F17" s="123"/>
      <x:c r="G17" s="123"/>
      <x:c r="H17" s="123"/>
      <x:c r="I17" s="123"/>
      <x:c r="J17" s="123"/>
      <x:c r="K17" s="123"/>
      <x:c r="L17" s="123"/>
      <x:c r="M17" s="123"/>
      <x:c r="N17" s="123"/>
      <x:c r="O17" s="123"/>
      <x:c r="P17" s="123"/>
      <x:c r="Q17" s="123"/>
      <x:c r="R17" s="123"/>
      <x:c r="S17" s="123"/>
      <x:c r="T17" s="1"/>
      <x:c r="U17" s="1"/>
      <x:c r="V17" s="1"/>
      <x:c r="W17" s="1"/>
      <x:c r="X17" s="1"/>
      <x:c r="Y17" s="1"/>
      <x:c r="Z17" s="1"/>
    </x:row>
    <x:row r="18">
      <x:c r="A18" s="136" t="str">
        <x:v>Production reliability dimension</x:v>
      </x:c>
      <x:c r="B18" s="225" t="str">
        <x:v>Units</x:v>
      </x:c>
      <x:c r="C18" s="225" t="str">
        <x:v>Unanimous agreement</x:v>
      </x:c>
      <x:c r="D18" s="225" t="str">
        <x:v>Fleiss κ</x:v>
      </x:c>
      <x:c r="E18" s="225" t="str">
        <x:v>Krippendorff α</x:v>
      </x:c>
      <x:c r="F18" s="137" t="str">
        <x:v>Interpretation</x:v>
      </x:c>
      <x:c r="G18" s="1"/>
      <x:c r="H18" s="1"/>
      <x:c r="I18" s="1"/>
      <x:c r="J18" s="1"/>
      <x:c r="K18" s="1"/>
      <x:c r="L18" s="1"/>
      <x:c r="M18" s="1"/>
      <x:c r="N18" s="1"/>
      <x:c r="O18" s="1"/>
      <x:c r="P18" s="1"/>
      <x:c r="Q18" s="1"/>
      <x:c r="R18" s="1"/>
      <x:c r="S18" s="1"/>
      <x:c r="T18" s="1"/>
      <x:c r="U18" s="1"/>
      <x:c r="V18" s="1"/>
      <x:c r="W18" s="1"/>
      <x:c r="X18" s="1"/>
      <x:c r="Y18" s="1"/>
      <x:c r="Z18" s="1"/>
    </x:row>
    <x:row r="19" ht="36" customHeight="1">
      <x:c r="A19" s="160" t="str">
        <x:v>Unlearning binary — logical paragraphs</x:v>
      </x:c>
      <x:c r="B19" s="235" t="n">
        <x:v>32</x:v>
      </x:c>
      <x:c r="C19" s="236" t="n">
        <x:v>0.6875</x:v>
      </x:c>
      <x:c r="D19" s="252" t="n">
        <x:v>0.484702</x:v>
      </x:c>
      <x:c r="E19" s="252" t="n">
        <x:v>0.49007</x:v>
      </x:c>
      <x:c r="F19" s="161" t="str">
        <x:v>Moderate agreement across three model coders</x:v>
      </x:c>
      <x:c r="G19" s="1"/>
      <x:c r="H19" s="1"/>
      <x:c r="I19" s="1"/>
      <x:c r="J19" s="1"/>
      <x:c r="K19" s="1"/>
      <x:c r="L19" s="1"/>
      <x:c r="M19" s="1"/>
      <x:c r="N19" s="1"/>
      <x:c r="O19" s="1"/>
      <x:c r="P19" s="1"/>
      <x:c r="Q19" s="1"/>
      <x:c r="R19" s="1"/>
      <x:c r="S19" s="1"/>
      <x:c r="T19" s="1"/>
      <x:c r="U19" s="1"/>
      <x:c r="V19" s="1"/>
      <x:c r="W19" s="1"/>
      <x:c r="X19" s="1"/>
      <x:c r="Y19" s="1"/>
      <x:c r="Z19" s="1"/>
    </x:row>
    <x:row r="20" ht="36" customHeight="1">
      <x:c r="A20" s="162" t="str">
        <x:v>Target including none — logical paragraphs</x:v>
      </x:c>
      <x:c r="B20" s="237" t="n">
        <x:v>32</x:v>
      </x:c>
      <x:c r="C20" s="238" t="n">
        <x:v>0.65625</x:v>
      </x:c>
      <x:c r="D20" s="253" t="n">
        <x:v>0.438596</x:v>
      </x:c>
      <x:c r="E20" s="253" t="n">
        <x:v>0.444444</x:v>
      </x:c>
      <x:c r="F20" s="163" t="str">
        <x:v>Moderate overall target agreement</x:v>
      </x:c>
      <x:c r="G20" s="1"/>
      <x:c r="H20" s="1"/>
      <x:c r="I20" s="1"/>
      <x:c r="J20" s="1"/>
      <x:c r="K20" s="1"/>
      <x:c r="L20" s="1"/>
      <x:c r="M20" s="1"/>
      <x:c r="N20" s="1"/>
      <x:c r="O20" s="1"/>
      <x:c r="P20" s="1"/>
      <x:c r="Q20" s="1"/>
      <x:c r="R20" s="1"/>
      <x:c r="S20" s="1"/>
      <x:c r="T20" s="1"/>
      <x:c r="U20" s="1"/>
      <x:c r="V20" s="1"/>
      <x:c r="W20" s="1"/>
      <x:c r="X20" s="1"/>
      <x:c r="Y20" s="1"/>
      <x:c r="Z20" s="1"/>
    </x:row>
    <x:row r="21" ht="36" customHeight="1">
      <x:c r="A21" s="164" t="str">
        <x:v>Target among any-model-positive rows</x:v>
      </x:c>
      <x:c r="B21" s="239" t="n">
        <x:v>14</x:v>
      </x:c>
      <x:c r="C21" s="240" t="n">
        <x:v>0.214286</x:v>
      </x:c>
      <x:c r="D21" s="254" t="n">
        <x:v>0.151515</x:v>
      </x:c>
      <x:c r="E21" s="254" t="n">
        <x:v>0.171717</x:v>
      </x:c>
      <x:c r="F21" s="165" t="str">
        <x:v>Target choice requires focused human review</x:v>
      </x:c>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ht="22" customHeight="1">
      <x:c r="A23" s="123" t="str">
        <x:v>Claude Sonnet 5 — Original 11-Passage GPT Test</x:v>
      </x:c>
      <x:c r="B23" s="123"/>
      <x:c r="C23" s="123"/>
      <x:c r="D23" s="123"/>
      <x:c r="E23" s="123"/>
      <x:c r="F23" s="123"/>
      <x:c r="G23" s="123"/>
      <x:c r="H23" s="1"/>
      <x:c r="I23" s="1"/>
      <x:c r="J23" s="1"/>
      <x:c r="K23" s="1"/>
      <x:c r="L23" s="1"/>
      <x:c r="M23" s="1"/>
      <x:c r="N23" s="1"/>
      <x:c r="O23" s="1"/>
      <x:c r="P23" s="1"/>
      <x:c r="Q23" s="1"/>
      <x:c r="R23" s="1"/>
      <x:c r="S23" s="1"/>
      <x:c r="T23" s="1"/>
      <x:c r="U23" s="1"/>
      <x:c r="V23" s="1"/>
      <x:c r="W23" s="1"/>
      <x:c r="X23" s="1"/>
      <x:c r="Y23" s="1"/>
      <x:c r="Z23" s="1"/>
    </x:row>
    <x:row r="24">
      <x:c r="A24" s="136" t="str">
        <x:v>Measure</x:v>
      </x:c>
      <x:c r="B24" s="137" t="str">
        <x:v>Result</x:v>
      </x:c>
      <x:c r="C24" s="1"/>
      <x:c r="D24" s="1"/>
      <x:c r="E24" s="1"/>
      <x:c r="F24" s="1"/>
      <x:c r="G24" s="1"/>
      <x:c r="H24" s="1"/>
      <x:c r="I24" s="1"/>
      <x:c r="J24" s="1"/>
      <x:c r="K24" s="1"/>
      <x:c r="L24" s="1"/>
      <x:c r="M24" s="1"/>
      <x:c r="N24" s="1"/>
      <x:c r="O24" s="1"/>
      <x:c r="P24" s="1"/>
      <x:c r="Q24" s="1"/>
      <x:c r="R24" s="1"/>
      <x:c r="S24" s="1"/>
      <x:c r="T24" s="1"/>
      <x:c r="U24" s="1"/>
      <x:c r="V24" s="1"/>
      <x:c r="W24" s="1"/>
      <x:c r="X24" s="1"/>
      <x:c r="Y24" s="1"/>
      <x:c r="Z24" s="1"/>
    </x:row>
    <x:row r="25" ht="36" customHeight="1">
      <x:c r="A25" s="160" t="str">
        <x:v>Model and condition</x:v>
      </x:c>
      <x:c r="B25" s="161" t="str">
        <x:v>Claude Sonnet 5 · old codebook · definitions only</x:v>
      </x:c>
      <x:c r="C25" s="1"/>
      <x:c r="D25" s="1"/>
      <x:c r="E25" s="1"/>
      <x:c r="F25" s="1"/>
      <x:c r="G25" s="1"/>
      <x:c r="H25" s="1"/>
      <x:c r="I25" s="1"/>
      <x:c r="J25" s="1"/>
      <x:c r="K25" s="1"/>
      <x:c r="L25" s="1"/>
      <x:c r="M25" s="1"/>
      <x:c r="N25" s="1"/>
      <x:c r="O25" s="1"/>
      <x:c r="P25" s="1"/>
      <x:c r="Q25" s="1"/>
      <x:c r="R25" s="1"/>
      <x:c r="S25" s="1"/>
      <x:c r="T25" s="1"/>
      <x:c r="U25" s="1"/>
      <x:c r="V25" s="1"/>
      <x:c r="W25" s="1"/>
      <x:c r="X25" s="1"/>
      <x:c r="Y25" s="1"/>
      <x:c r="Z25" s="1"/>
    </x:row>
    <x:row r="26" ht="36" customHeight="1">
      <x:c r="A26" s="162" t="str">
        <x:v>Evaluation set</x:v>
      </x:c>
      <x:c r="B26" s="163" t="str">
        <x:v>11 GPT Test passages; all 11 human labels were Yes</x:v>
      </x:c>
      <x:c r="C26" s="1"/>
      <x:c r="D26" s="1"/>
      <x:c r="E26" s="1"/>
      <x:c r="F26" s="1"/>
      <x:c r="G26" s="1"/>
      <x:c r="H26" s="1"/>
      <x:c r="I26" s="1"/>
      <x:c r="J26" s="1"/>
      <x:c r="K26" s="1"/>
      <x:c r="L26" s="1"/>
      <x:c r="M26" s="1"/>
      <x:c r="N26" s="1"/>
      <x:c r="O26" s="1"/>
      <x:c r="P26" s="1"/>
      <x:c r="Q26" s="1"/>
      <x:c r="R26" s="1"/>
      <x:c r="S26" s="1"/>
      <x:c r="T26" s="1"/>
      <x:c r="U26" s="1"/>
      <x:c r="V26" s="1"/>
      <x:c r="W26" s="1"/>
      <x:c r="X26" s="1"/>
      <x:c r="Y26" s="1"/>
      <x:c r="Z26" s="1"/>
    </x:row>
    <x:row r="27" ht="36" customHeight="1">
      <x:c r="A27" s="162" t="str">
        <x:v>Observed result</x:v>
      </x:c>
      <x:c r="B27" s="163" t="str">
        <x:v>11 true positives, 0 false negatives — 100% positive recall</x:v>
      </x:c>
      <x:c r="C27" s="1"/>
      <x:c r="D27" s="1"/>
      <x:c r="E27" s="1"/>
      <x:c r="F27" s="1"/>
      <x:c r="G27" s="1"/>
      <x:c r="H27" s="1"/>
      <x:c r="I27" s="1"/>
      <x:c r="J27" s="1"/>
      <x:c r="K27" s="1"/>
      <x:c r="L27" s="1"/>
      <x:c r="M27" s="1"/>
      <x:c r="N27" s="1"/>
      <x:c r="O27" s="1"/>
      <x:c r="P27" s="1"/>
      <x:c r="Q27" s="1"/>
      <x:c r="R27" s="1"/>
      <x:c r="S27" s="1"/>
      <x:c r="T27" s="1"/>
      <x:c r="U27" s="1"/>
      <x:c r="V27" s="1"/>
      <x:c r="W27" s="1"/>
      <x:c r="X27" s="1"/>
      <x:c r="Y27" s="1"/>
      <x:c r="Z27" s="1"/>
    </x:row>
    <x:row r="28" ht="36" customHeight="1">
      <x:c r="A28" s="162" t="str">
        <x:v>What it establishes</x:v>
      </x:c>
      <x:c r="B28" s="163" t="str">
        <x:v>The model recovered every original positive passage.</x:v>
      </x:c>
      <x:c r="C28" s="1"/>
      <x:c r="D28" s="1"/>
      <x:c r="E28" s="1"/>
      <x:c r="F28" s="1"/>
      <x:c r="G28" s="1"/>
      <x:c r="H28" s="1"/>
      <x:c r="I28" s="1"/>
      <x:c r="J28" s="1"/>
      <x:c r="K28" s="1"/>
      <x:c r="L28" s="1"/>
      <x:c r="M28" s="1"/>
      <x:c r="N28" s="1"/>
      <x:c r="O28" s="1"/>
      <x:c r="P28" s="1"/>
      <x:c r="Q28" s="1"/>
      <x:c r="R28" s="1"/>
      <x:c r="S28" s="1"/>
      <x:c r="T28" s="1"/>
      <x:c r="U28" s="1"/>
      <x:c r="V28" s="1"/>
      <x:c r="W28" s="1"/>
      <x:c r="X28" s="1"/>
      <x:c r="Y28" s="1"/>
      <x:c r="Z28" s="1"/>
    </x:row>
    <x:row r="29" ht="36" customHeight="1">
      <x:c r="A29" s="164" t="str">
        <x:v>What it does not establish</x:v>
      </x:c>
      <x:c r="B29" s="165" t="str">
        <x:v>The set contained no negative passages, so it does not measure false-positive behavior.</x:v>
      </x:c>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ht="44" customHeight="1">
      <x:c r="A31" s="196" t="str">
        <x:v>Verified extraction summary: 32 complete logical paragraphs were reconstructed, including 5 cross-page and 10 cross-column paragraphs. PyMuPDF and pdfplumber agreed on the normalized text. Fourteen logical paragraphs received at least one Yes vote and occupied 18 verified annotation segments.</x:v>
      </x:c>
      <x:c r="B31" s="292"/>
      <x:c r="C31" s="292"/>
      <x:c r="D31" s="292"/>
      <x:c r="E31" s="292"/>
      <x:c r="F31" s="292"/>
      <x:c r="G31" s="197"/>
      <x:c r="H31" s="1"/>
      <x:c r="I31" s="1"/>
      <x:c r="J31" s="1"/>
      <x:c r="K31" s="1"/>
      <x:c r="L31" s="1"/>
      <x:c r="M31" s="1"/>
      <x:c r="N31" s="1"/>
      <x:c r="O31" s="1"/>
      <x:c r="P31" s="1"/>
      <x:c r="Q31" s="1"/>
      <x:c r="R31" s="1"/>
      <x:c r="S31" s="1"/>
      <x:c r="T31" s="1"/>
      <x:c r="U31" s="1"/>
      <x:c r="V31" s="1"/>
      <x:c r="W31" s="1"/>
      <x:c r="X31" s="1"/>
      <x:c r="Y31" s="1"/>
      <x:c r="Z31" s="1"/>
    </x:row>
    <x:row r="32" ht="44" customHeight="1">
      <x:c r="A32" s="200"/>
      <x:c r="B32" s="293"/>
      <x:c r="C32" s="293"/>
      <x:c r="D32" s="293"/>
      <x:c r="E32" s="293"/>
      <x:c r="F32" s="293"/>
      <x:c r="G32" s="201"/>
      <x:c r="H32" s="1"/>
      <x:c r="I32" s="1"/>
      <x:c r="J32" s="1"/>
      <x:c r="K32" s="1"/>
      <x:c r="L32" s="1"/>
      <x:c r="M32" s="1"/>
      <x:c r="N32" s="1"/>
      <x:c r="O32" s="1"/>
      <x:c r="P32" s="1"/>
      <x:c r="Q32" s="1"/>
      <x:c r="R32" s="1"/>
      <x:c r="S32" s="1"/>
      <x:c r="T32" s="1"/>
      <x:c r="U32" s="1"/>
      <x:c r="V32" s="1"/>
      <x:c r="W32" s="1"/>
      <x:c r="X32" s="1"/>
      <x:c r="Y32" s="1"/>
      <x:c r="Z32" s="1"/>
    </x:row>
    <x:row r="33" ht="56" customHeight="1">
      <x:c r="A33" s="198"/>
      <x:c r="B33" s="114"/>
      <x:c r="C33" s="114"/>
      <x:c r="D33" s="114"/>
      <x:c r="E33" s="114"/>
      <x:c r="F33" s="114"/>
      <x:c r="G33" s="199"/>
      <x:c r="H33" s="1"/>
      <x:c r="I33" s="1"/>
      <x:c r="J33" s="1"/>
      <x:c r="K33" s="1"/>
      <x:c r="L33" s="1"/>
      <x:c r="M33" s="1"/>
      <x:c r="N33" s="1"/>
      <x:c r="O33" s="1"/>
      <x:c r="P33" s="1"/>
      <x:c r="Q33" s="1"/>
      <x:c r="R33" s="1"/>
      <x:c r="S33" s="1"/>
      <x:c r="T33" s="1"/>
      <x:c r="U33" s="1"/>
      <x:c r="V33" s="1"/>
      <x:c r="W33" s="1"/>
      <x:c r="X33" s="1"/>
      <x:c r="Y33" s="1"/>
      <x:c r="Z33" s="1"/>
    </x:row>
    <x:row r="34" ht="56" customHeight="1">
      <x:c r="A34" s="200"/>
      <x:c r="B34" s="293"/>
      <x:c r="C34" s="293"/>
      <x:c r="D34" s="293"/>
      <x:c r="E34" s="293"/>
      <x:c r="F34" s="293"/>
      <x:c r="G34" s="20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sheetData>
  <x:mergeCells>
    <x:mergeCell ref="B14:G14"/>
    <x:mergeCell ref="B15:G15"/>
    <x:mergeCell ref="A11:G11"/>
    <x:mergeCell ref="B12:G12"/>
    <x:mergeCell ref="B13:G13"/>
    <x:mergeCell ref="A23:G23"/>
    <x:mergeCell ref="A1:S1"/>
    <x:mergeCell ref="A2:S3"/>
    <x:mergeCell ref="A31:G32"/>
  </x:mergeCells>
  <x:pageMargins left="0.7" right="0.7" top="0.75" bottom="0.75" header="0.3" footer="0.3"/>
  <x:drawing xmlns:r="http://schemas.openxmlformats.org/officeDocument/2006/relationships" r:id="Rdf3ed4c063f14bce"/>
</x:worksheet>
</file>

<file path=xl/worksheets/sheet3.xml><?xml version="1.0" encoding="utf-8"?>
<x:worksheet xmlns:x="http://schemas.openxmlformats.org/spreadsheetml/2006/main">
  <x:sheetFormatPr defaultRowHeight="14"/>
  <x:cols>
    <x:col min="1" max="1" width="20" hidden="0" customWidth="1"/>
    <x:col min="2" max="2" width="25" hidden="0" customWidth="1"/>
    <x:col min="3" max="3" width="28" hidden="0" customWidth="1"/>
    <x:col min="4" max="4" width="31" hidden="0" customWidth="1"/>
    <x:col min="5" max="5" width="28" hidden="0" customWidth="1"/>
    <x:col min="6" max="6" width="24" hidden="0" customWidth="1"/>
    <x:col min="7" max="7" width="38" hidden="0" customWidth="1"/>
  </x:cols>
  <x:sheetData>
    <x:row r="1" ht="28" customHeight="1">
      <x:c r="A1" s="490" t="str">
        <x:v>Version Overview</x:v>
      </x:c>
      <x:c r="B1" s="490"/>
      <x:c r="C1" s="490"/>
      <x:c r="D1" s="490"/>
      <x:c r="E1" s="490"/>
      <x:c r="F1" s="490"/>
      <x:c r="G1" s="490"/>
      <x:c r="H1" s="6"/>
      <x:c r="I1" s="6"/>
      <x:c r="J1" s="6"/>
      <x:c r="K1" s="6"/>
      <x:c r="L1" s="6"/>
      <x:c r="M1" s="6"/>
      <x:c r="N1" s="6"/>
      <x:c r="O1" s="6"/>
      <x:c r="P1" s="6"/>
      <x:c r="Q1" s="6"/>
      <x:c r="R1" s="6"/>
      <x:c r="S1" s="6"/>
      <x:c r="T1" s="6"/>
      <x:c r="U1" s="6"/>
      <x:c r="V1" s="6"/>
      <x:c r="W1" s="6"/>
      <x:c r="X1" s="6"/>
      <x:c r="Y1" s="6"/>
      <x:c r="Z1" s="6"/>
    </x:row>
    <x:row r="2" ht="20" customHeight="1">
      <x:c r="A2" s="491" t="str">
        <x:v>This sheet summarizes the purpose, evaluation set, design, completion, and main finding for each experimental stage.</x:v>
      </x:c>
      <x:c r="B2" s="491"/>
      <x:c r="C2" s="491"/>
      <x:c r="D2" s="491"/>
      <x:c r="E2" s="491"/>
      <x:c r="F2" s="491"/>
      <x:c r="G2" s="491"/>
      <x:c r="H2" s="1"/>
      <x:c r="I2" s="1"/>
      <x:c r="J2" s="1"/>
      <x:c r="K2" s="1"/>
      <x:c r="L2" s="1"/>
      <x:c r="M2" s="1"/>
      <x:c r="N2" s="1"/>
      <x:c r="O2" s="1"/>
      <x:c r="P2" s="1"/>
      <x:c r="Q2" s="1"/>
      <x:c r="R2" s="1"/>
      <x:c r="S2" s="1"/>
      <x:c r="T2" s="1"/>
      <x:c r="U2" s="1"/>
      <x:c r="V2" s="1"/>
      <x:c r="W2" s="1"/>
      <x:c r="X2" s="1"/>
      <x:c r="Y2" s="1"/>
      <x:c r="Z2" s="1"/>
    </x:row>
    <x:row r="3" ht="20" customHeight="1">
      <x:c r="A3" s="491"/>
      <x:c r="B3" s="491"/>
      <x:c r="C3" s="491"/>
      <x:c r="D3" s="491"/>
      <x:c r="E3" s="491"/>
      <x:c r="F3" s="491"/>
      <x:c r="G3" s="491"/>
      <x:c r="H3" s="1"/>
      <x:c r="I3" s="1"/>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35" t="s">
        <x:v>45</x:v>
      </x:c>
      <x:c r="B5" s="37" t="s">
        <x:v>1</x:v>
      </x:c>
      <x:c r="C5" s="37" t="s">
        <x:v>46</x:v>
      </x:c>
      <x:c r="D5" s="37" t="s">
        <x:v>47</x:v>
      </x:c>
      <x:c r="E5" s="37" t="s">
        <x:v>48</x:v>
      </x:c>
      <x:c r="F5" s="37" t="s">
        <x:v>49</x:v>
      </x:c>
      <x:c r="G5" s="36" t="s">
        <x:v>50</x:v>
      </x:c>
      <x:c r="H5" s="1"/>
      <x:c r="I5" s="1"/>
      <x:c r="J5" s="1"/>
      <x:c r="K5" s="1"/>
      <x:c r="L5" s="1"/>
      <x:c r="M5" s="1"/>
      <x:c r="N5" s="1"/>
      <x:c r="O5" s="1"/>
      <x:c r="P5" s="1"/>
      <x:c r="Q5" s="1"/>
      <x:c r="R5" s="1"/>
      <x:c r="S5" s="1"/>
      <x:c r="T5" s="1"/>
      <x:c r="U5" s="1"/>
      <x:c r="V5" s="1"/>
      <x:c r="W5" s="1"/>
      <x:c r="X5" s="1"/>
      <x:c r="Y5" s="1"/>
      <x:c r="Z5" s="1"/>
    </x:row>
    <x:row r="6" ht="44" customHeight="1">
      <x:c r="A6" s="2" t="s">
        <x:v>51</x:v>
      </x:c>
      <x:c r="B6" s="16" t="s">
        <x:v>52</x:v>
      </x:c>
      <x:c r="C6" s="16" t="s">
        <x:v>53</x:v>
      </x:c>
      <x:c r="D6" s="16" t="s">
        <x:v>54</x:v>
      </x:c>
      <x:c r="E6" s="16" t="s">
        <x:v>55</x:v>
      </x:c>
      <x:c r="F6" s="50" t="s">
        <x:v>56</x:v>
      </x:c>
      <x:c r="G6" s="3" t="s">
        <x:v>57</x:v>
      </x:c>
      <x:c r="H6" s="1"/>
      <x:c r="I6" s="1"/>
      <x:c r="J6" s="1"/>
      <x:c r="K6" s="1"/>
      <x:c r="L6" s="1"/>
      <x:c r="M6" s="1"/>
      <x:c r="N6" s="1"/>
      <x:c r="O6" s="1"/>
      <x:c r="P6" s="1"/>
      <x:c r="Q6" s="1"/>
      <x:c r="R6" s="1"/>
      <x:c r="S6" s="1"/>
      <x:c r="T6" s="1"/>
      <x:c r="U6" s="1"/>
      <x:c r="V6" s="1"/>
      <x:c r="W6" s="1"/>
      <x:c r="X6" s="1"/>
      <x:c r="Y6" s="1"/>
      <x:c r="Z6" s="1"/>
    </x:row>
    <x:row r="7" ht="44" customHeight="1">
      <x:c r="A7" s="2" t="s">
        <x:v>58</x:v>
      </x:c>
      <x:c r="B7" s="16" t="s">
        <x:v>59</x:v>
      </x:c>
      <x:c r="C7" s="16" t="s">
        <x:v>53</x:v>
      </x:c>
      <x:c r="D7" s="16" t="s">
        <x:v>60</x:v>
      </x:c>
      <x:c r="E7" s="16" t="s">
        <x:v>61</x:v>
      </x:c>
      <x:c r="F7" s="50" t="s">
        <x:v>56</x:v>
      </x:c>
      <x:c r="G7" s="3" t="s">
        <x:v>62</x:v>
      </x:c>
      <x:c r="H7" s="1"/>
      <x:c r="I7" s="1"/>
      <x:c r="J7" s="1"/>
      <x:c r="K7" s="1"/>
      <x:c r="L7" s="1"/>
      <x:c r="M7" s="1"/>
      <x:c r="N7" s="1"/>
      <x:c r="O7" s="1"/>
      <x:c r="P7" s="1"/>
      <x:c r="Q7" s="1"/>
      <x:c r="R7" s="1"/>
      <x:c r="S7" s="1"/>
      <x:c r="T7" s="1"/>
      <x:c r="U7" s="1"/>
      <x:c r="V7" s="1"/>
      <x:c r="W7" s="1"/>
      <x:c r="X7" s="1"/>
      <x:c r="Y7" s="1"/>
      <x:c r="Z7" s="1"/>
    </x:row>
    <x:row r="8" ht="44" customHeight="1">
      <x:c r="A8" s="2" t="s">
        <x:v>63</x:v>
      </x:c>
      <x:c r="B8" s="16" t="s">
        <x:v>64</x:v>
      </x:c>
      <x:c r="C8" s="16" t="s">
        <x:v>53</x:v>
      </x:c>
      <x:c r="D8" s="16" t="s">
        <x:v>65</x:v>
      </x:c>
      <x:c r="E8" s="16" t="s">
        <x:v>66</x:v>
      </x:c>
      <x:c r="F8" s="50" t="s">
        <x:v>67</x:v>
      </x:c>
      <x:c r="G8" s="3" t="s">
        <x:v>68</x:v>
      </x:c>
      <x:c r="H8" s="1"/>
      <x:c r="I8" s="1"/>
      <x:c r="J8" s="1"/>
      <x:c r="K8" s="1"/>
      <x:c r="L8" s="1"/>
      <x:c r="M8" s="1"/>
      <x:c r="N8" s="1"/>
      <x:c r="O8" s="1"/>
      <x:c r="P8" s="1"/>
      <x:c r="Q8" s="1"/>
      <x:c r="R8" s="1"/>
      <x:c r="S8" s="1"/>
      <x:c r="T8" s="1"/>
      <x:c r="U8" s="1"/>
      <x:c r="V8" s="1"/>
      <x:c r="W8" s="1"/>
      <x:c r="X8" s="1"/>
      <x:c r="Y8" s="1"/>
      <x:c r="Z8" s="1"/>
    </x:row>
    <x:row r="9" ht="44" customHeight="1">
      <x:c r="A9" s="2" t="s">
        <x:v>69</x:v>
      </x:c>
      <x:c r="B9" s="16" t="s">
        <x:v>70</x:v>
      </x:c>
      <x:c r="C9" s="16" t="s">
        <x:v>71</x:v>
      </x:c>
      <x:c r="D9" s="16" t="s">
        <x:v>72</x:v>
      </x:c>
      <x:c r="E9" s="16" t="s">
        <x:v>73</x:v>
      </x:c>
      <x:c r="F9" s="16" t="s">
        <x:v>74</x:v>
      </x:c>
      <x:c r="G9" s="3" t="s">
        <x:v>75</x:v>
      </x:c>
      <x:c r="H9" s="1"/>
      <x:c r="I9" s="1"/>
      <x:c r="J9" s="1"/>
      <x:c r="K9" s="1"/>
      <x:c r="L9" s="1"/>
      <x:c r="M9" s="1"/>
      <x:c r="N9" s="1"/>
      <x:c r="O9" s="1"/>
      <x:c r="P9" s="1"/>
      <x:c r="Q9" s="1"/>
      <x:c r="R9" s="1"/>
      <x:c r="S9" s="1"/>
      <x:c r="T9" s="1"/>
      <x:c r="U9" s="1"/>
      <x:c r="V9" s="1"/>
      <x:c r="W9" s="1"/>
      <x:c r="X9" s="1"/>
      <x:c r="Y9" s="1"/>
      <x:c r="Z9" s="1"/>
    </x:row>
    <x:row r="10" ht="44" customHeight="1">
      <x:c r="A10" s="53" t="s">
        <x:v>76</x:v>
      </x:c>
      <x:c r="B10" s="16" t="s">
        <x:v>77</x:v>
      </x:c>
      <x:c r="C10" s="16" t="s">
        <x:v>78</x:v>
      </x:c>
      <x:c r="D10" s="16" t="s">
        <x:v>79</x:v>
      </x:c>
      <x:c r="E10" s="16" t="s">
        <x:v>80</x:v>
      </x:c>
      <x:c r="F10" s="16" t="s">
        <x:v>81</x:v>
      </x:c>
      <x:c r="G10" s="3" t="s">
        <x:v>82</x:v>
      </x:c>
      <x:c r="H10" s="1"/>
      <x:c r="I10" s="1"/>
      <x:c r="J10" s="1"/>
      <x:c r="K10" s="1"/>
      <x:c r="L10" s="1"/>
      <x:c r="M10" s="1"/>
      <x:c r="N10" s="1"/>
      <x:c r="O10" s="1"/>
      <x:c r="P10" s="1"/>
      <x:c r="Q10" s="1"/>
      <x:c r="R10" s="1"/>
      <x:c r="S10" s="1"/>
      <x:c r="T10" s="1"/>
      <x:c r="U10" s="1"/>
      <x:c r="V10" s="1"/>
      <x:c r="W10" s="1"/>
      <x:c r="X10" s="1"/>
      <x:c r="Y10" s="1"/>
      <x:c r="Z10" s="1"/>
    </x:row>
    <x:row r="11" ht="44" customHeight="1">
      <x:c r="A11" s="2" t="s">
        <x:v>83</x:v>
      </x:c>
      <x:c r="B11" s="16" t="s">
        <x:v>84</x:v>
      </x:c>
      <x:c r="C11" s="50" t="s">
        <x:v>85</x:v>
      </x:c>
      <x:c r="D11" s="16" t="s">
        <x:v>86</x:v>
      </x:c>
      <x:c r="E11" s="16" t="s">
        <x:v>87</x:v>
      </x:c>
      <x:c r="F11" s="16" t="s">
        <x:v>88</x:v>
      </x:c>
      <x:c r="G11" s="3" t="s">
        <x:v>89</x:v>
      </x:c>
      <x:c r="H11" s="1"/>
      <x:c r="I11" s="1"/>
      <x:c r="J11" s="1"/>
      <x:c r="K11" s="1"/>
      <x:c r="L11" s="1"/>
      <x:c r="M11" s="1"/>
      <x:c r="N11" s="1"/>
      <x:c r="O11" s="1"/>
      <x:c r="P11" s="1"/>
      <x:c r="Q11" s="1"/>
      <x:c r="R11" s="1"/>
      <x:c r="S11" s="1"/>
      <x:c r="T11" s="1"/>
      <x:c r="U11" s="1"/>
      <x:c r="V11" s="1"/>
      <x:c r="W11" s="1"/>
      <x:c r="X11" s="1"/>
      <x:c r="Y11" s="1"/>
      <x:c r="Z11" s="1"/>
    </x:row>
    <x:row r="12" ht="44" customHeight="1">
      <x:c r="A12" s="303" t="str">
        <x:v>Production Document</x:v>
      </x:c>
      <x:c r="B12" s="304" t="str">
        <x:v>Verified logical-paragraph annotation run</x:v>
      </x:c>
      <x:c r="C12" s="304" t="str">
        <x:v>32 logical paragraphs in one article</x:v>
      </x:c>
      <x:c r="D12" s="304" t="str">
        <x:v>Three provider coders after dual-extractor verification</x:v>
      </x:c>
      <x:c r="E12" s="304" t="str">
        <x:v>96 predictions; 18/18 annotation segments verified</x:v>
      </x:c>
      <x:c r="F12" s="304" t="str">
        <x:v>Inter-coder reliability and consensus</x:v>
      </x:c>
      <x:c r="G12" s="305" t="str">
        <x:v>Binary agreement was moderate; target categories among flagged passages require human review.</x:v>
      </x:c>
      <x:c r="H12" s="1"/>
      <x:c r="I12" s="1"/>
      <x:c r="J12" s="1"/>
      <x:c r="K12" s="1"/>
      <x:c r="L12" s="1"/>
      <x:c r="M12" s="1"/>
      <x:c r="N12" s="1"/>
      <x:c r="O12" s="1"/>
      <x:c r="P12" s="1"/>
      <x:c r="Q12" s="1"/>
      <x:c r="R12" s="1"/>
      <x:c r="S12" s="1"/>
      <x:c r="T12" s="1"/>
      <x:c r="U12" s="1"/>
      <x:c r="V12" s="1"/>
      <x:c r="W12" s="1"/>
      <x:c r="X12" s="1"/>
      <x:c r="Y12" s="1"/>
      <x:c r="Z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sheetData>
  <x:mergeCells>
    <x:mergeCell ref="A1:G1"/>
    <x:mergeCell ref="A2:G3"/>
  </x:mergeCells>
  <x:pageMargins left="0.7" right="0.7" top="0.75" bottom="0.75" header="0.3" footer="0.3"/>
  <x:tableParts count="1">
    <x:tablePart xmlns:r="http://schemas.openxmlformats.org/officeDocument/2006/relationships" r:id="R6e6e521aa591443f"/>
  </x:tableParts>
</x:worksheet>
</file>

<file path=xl/worksheets/sheet4.xml><?xml version="1.0" encoding="utf-8"?>
<x:worksheet xmlns:x="http://schemas.openxmlformats.org/spreadsheetml/2006/main">
  <x:sheetFormatPr defaultRowHeight="14"/>
  <x:cols>
    <x:col min="1" max="1" width="37" customWidth="1"/>
    <x:col min="2" max="5" width="18" customWidth="1"/>
    <x:col min="6" max="6" width="44" customWidth="1"/>
    <x:col min="7" max="7" width="18" customWidth="1"/>
  </x:cols>
  <x:sheetData>
    <x:row r="1" ht="28" customHeight="1">
      <x:c r="A1" s="490" t="str">
        <x:v>v2 — Early Multi-Provider Prompt Pilot</x:v>
      </x:c>
      <x:c r="B1" s="490"/>
      <x:c r="C1" s="490"/>
      <x:c r="D1" s="490"/>
      <x:c r="E1" s="490"/>
      <x:c r="F1" s="490"/>
      <x:c r="G1" s="490"/>
      <x:c r="H1" s="38"/>
      <x:c r="I1" s="6"/>
      <x:c r="J1" s="6"/>
      <x:c r="K1" s="6"/>
      <x:c r="L1" s="6"/>
      <x:c r="M1" s="6"/>
      <x:c r="N1" s="6"/>
      <x:c r="O1" s="6"/>
      <x:c r="P1" s="6"/>
      <x:c r="Q1" s="6"/>
      <x:c r="R1" s="6"/>
      <x:c r="S1" s="6"/>
      <x:c r="T1" s="6"/>
      <x:c r="U1" s="6"/>
      <x:c r="V1" s="6"/>
      <x:c r="W1" s="6"/>
      <x:c r="X1" s="6"/>
      <x:c r="Y1" s="6"/>
      <x:c r="Z1" s="6"/>
    </x:row>
    <x:row r="2" ht="20" customHeight="1">
      <x:c r="A2" s="491" t="str">
        <x:v>The 11 evaluation passages were all human-coded Yes. Results therefore represent Yes recall rather than mixed-class accuracy.</x:v>
      </x:c>
      <x:c r="B2" s="491"/>
      <x:c r="C2" s="491"/>
      <x:c r="D2" s="491"/>
      <x:c r="E2" s="491"/>
      <x:c r="F2" s="491"/>
      <x:c r="G2" s="491"/>
      <x:c r="H2" s="39"/>
      <x:c r="I2" s="1"/>
      <x:c r="J2" s="1"/>
      <x:c r="K2" s="1"/>
      <x:c r="L2" s="1"/>
      <x:c r="M2" s="1"/>
      <x:c r="N2" s="1"/>
      <x:c r="O2" s="1"/>
      <x:c r="P2" s="1"/>
      <x:c r="Q2" s="1"/>
      <x:c r="R2" s="1"/>
      <x:c r="S2" s="1"/>
      <x:c r="T2" s="1"/>
      <x:c r="U2" s="1"/>
      <x:c r="V2" s="1"/>
      <x:c r="W2" s="1"/>
      <x:c r="X2" s="1"/>
      <x:c r="Y2" s="1"/>
      <x:c r="Z2" s="1"/>
    </x:row>
    <x:row r="3" ht="20" customHeight="1">
      <x:c r="A3" s="491"/>
      <x:c r="B3" s="491"/>
      <x:c r="C3" s="491"/>
      <x:c r="D3" s="491"/>
      <x:c r="E3" s="491"/>
      <x:c r="F3" s="491"/>
      <x:c r="G3" s="491"/>
      <x:c r="H3" s="39"/>
      <x:c r="I3" s="1"/>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35" t="s">
        <x:v>90</x:v>
      </x:c>
      <x:c r="B5" s="37" t="s">
        <x:v>91</x:v>
      </x:c>
      <x:c r="C5" s="37" t="s">
        <x:v>92</x:v>
      </x:c>
      <x:c r="D5" s="37" t="s">
        <x:v>93</x:v>
      </x:c>
      <x:c r="E5" s="37" t="s">
        <x:v>94</x:v>
      </x:c>
      <x:c r="F5" s="37" t="s">
        <x:v>95</x:v>
      </x:c>
      <x:c r="G5" s="36" t="s">
        <x:v>96</x:v>
      </x:c>
      <x:c r="H5" s="1"/>
      <x:c r="I5" s="1"/>
      <x:c r="J5" s="1"/>
      <x:c r="K5" s="1"/>
      <x:c r="L5" s="1"/>
      <x:c r="M5" s="1"/>
      <x:c r="N5" s="1"/>
      <x:c r="O5" s="1"/>
      <x:c r="P5" s="1"/>
      <x:c r="Q5" s="1"/>
      <x:c r="R5" s="1"/>
      <x:c r="S5" s="1"/>
      <x:c r="T5" s="1"/>
      <x:c r="U5" s="1"/>
      <x:c r="V5" s="1"/>
      <x:c r="W5" s="1"/>
      <x:c r="X5" s="1"/>
      <x:c r="Y5" s="1"/>
      <x:c r="Z5" s="1"/>
    </x:row>
    <x:row r="6">
      <x:c r="A6" s="7" t="s">
        <x:v>34</x:v>
      </x:c>
      <x:c r="B6" s="1">
        <x:v>11</x:v>
      </x:c>
      <x:c r="C6" s="1">
        <x:v>1</x:v>
      </x:c>
      <x:c r="D6" s="1">
        <x:v>10</x:v>
      </x:c>
      <x:c r="E6" s="8">
        <x:v>9.0909090900000003E-2</x:v>
      </x:c>
      <x:c r="F6" s="1">
        <x:v>322</x:v>
      </x:c>
      <x:c r="G6" s="21">
        <x:v>1.2600000000000001E-3</x:v>
      </x:c>
      <x:c r="H6" s="1"/>
      <x:c r="I6" s="1"/>
      <x:c r="J6" s="1"/>
      <x:c r="K6" s="1"/>
      <x:c r="L6" s="1"/>
      <x:c r="M6" s="1"/>
      <x:c r="N6" s="1"/>
      <x:c r="O6" s="1"/>
      <x:c r="P6" s="1"/>
      <x:c r="Q6" s="1"/>
      <x:c r="R6" s="1"/>
      <x:c r="S6" s="1"/>
      <x:c r="T6" s="1"/>
      <x:c r="U6" s="1"/>
      <x:c r="V6" s="1"/>
      <x:c r="W6" s="1"/>
      <x:c r="X6" s="1"/>
      <x:c r="Y6" s="1"/>
      <x:c r="Z6" s="1"/>
    </x:row>
    <x:row r="7">
      <x:c r="A7" s="7" t="s">
        <x:v>97</x:v>
      </x:c>
      <x:c r="B7" s="1">
        <x:v>11</x:v>
      </x:c>
      <x:c r="C7" s="1">
        <x:v>3</x:v>
      </x:c>
      <x:c r="D7" s="1">
        <x:v>8</x:v>
      </x:c>
      <x:c r="E7" s="8">
        <x:v>0.27272727270000002</x:v>
      </x:c>
      <x:c r="F7" s="1">
        <x:v>2050</x:v>
      </x:c>
      <x:c r="G7" s="21">
        <x:v>5.1900000000000002E-3</x:v>
      </x:c>
      <x:c r="H7" s="1"/>
      <x:c r="I7" s="1"/>
      <x:c r="J7" s="1"/>
      <x:c r="K7" s="1"/>
      <x:c r="L7" s="1"/>
      <x:c r="M7" s="1"/>
      <x:c r="N7" s="1"/>
      <x:c r="O7" s="1"/>
      <x:c r="P7" s="1"/>
      <x:c r="Q7" s="1"/>
      <x:c r="R7" s="1"/>
      <x:c r="S7" s="1"/>
      <x:c r="T7" s="1"/>
      <x:c r="U7" s="1"/>
      <x:c r="V7" s="1"/>
      <x:c r="W7" s="1"/>
      <x:c r="X7" s="1"/>
      <x:c r="Y7" s="1"/>
      <x:c r="Z7" s="1"/>
    </x:row>
    <x:row r="8">
      <x:c r="A8" s="7" t="s">
        <x:v>31</x:v>
      </x:c>
      <x:c r="B8" s="1">
        <x:v>11</x:v>
      </x:c>
      <x:c r="C8" s="1">
        <x:v>4</x:v>
      </x:c>
      <x:c r="D8" s="1">
        <x:v>7</x:v>
      </x:c>
      <x:c r="E8" s="8">
        <x:v>0.36363636360000001</x:v>
      </x:c>
      <x:c r="F8" s="1">
        <x:v>3073</x:v>
      </x:c>
      <x:c r="G8" s="21">
        <x:v>7.45E-3</x:v>
      </x:c>
      <x:c r="H8" s="1"/>
      <x:c r="I8" s="1"/>
      <x:c r="J8" s="1"/>
      <x:c r="K8" s="1"/>
      <x:c r="L8" s="1"/>
      <x:c r="M8" s="1"/>
      <x:c r="N8" s="1"/>
      <x:c r="O8" s="1"/>
      <x:c r="P8" s="1"/>
      <x:c r="Q8" s="1"/>
      <x:c r="R8" s="1"/>
      <x:c r="S8" s="1"/>
      <x:c r="T8" s="1"/>
      <x:c r="U8" s="1"/>
      <x:c r="V8" s="1"/>
      <x:c r="W8" s="1"/>
      <x:c r="X8" s="1"/>
      <x:c r="Y8" s="1"/>
      <x:c r="Z8" s="1"/>
    </x:row>
    <x:row r="9">
      <x:c r="A9" s="10" t="s">
        <x:v>98</x:v>
      </x:c>
      <x:c r="B9" s="11">
        <x:v>11</x:v>
      </x:c>
      <x:c r="C9" s="11">
        <x:v>4</x:v>
      </x:c>
      <x:c r="D9" s="11">
        <x:v>7</x:v>
      </x:c>
      <x:c r="E9" s="12">
        <x:v>0.36363636360000001</x:v>
      </x:c>
      <x:c r="F9" s="11">
        <x:v>3656</x:v>
      </x:c>
      <x:c r="G9" s="22">
        <x:v>8.6999999999999994E-3</x:v>
      </x:c>
      <x:c r="H9" s="1"/>
      <x:c r="I9" s="1"/>
      <x:c r="J9" s="1"/>
      <x:c r="K9" s="1"/>
      <x:c r="L9" s="1"/>
      <x:c r="M9" s="1"/>
      <x:c r="N9" s="1"/>
      <x:c r="O9" s="1"/>
      <x:c r="P9" s="1"/>
      <x:c r="Q9" s="1"/>
      <x:c r="R9" s="1"/>
      <x:c r="S9" s="1"/>
      <x:c r="T9" s="1"/>
      <x:c r="U9" s="1"/>
      <x:c r="V9" s="1"/>
      <x:c r="W9" s="1"/>
      <x:c r="X9" s="1"/>
      <x:c r="Y9" s="1"/>
      <x:c r="Z9" s="1"/>
    </x:row>
    <x:row r="10">
      <x:c r="A10" s="1"/>
      <x:c r="B10" s="1"/>
      <x:c r="C10" s="1"/>
      <x:c r="D10" s="1"/>
      <x:c r="E10" s="1"/>
      <x:c r="F10" s="1"/>
      <x:c r="G10" s="1"/>
      <x:c r="H10" s="1"/>
      <x:c r="I10" s="1"/>
      <x:c r="J10" s="1"/>
      <x:c r="K10" s="1"/>
      <x:c r="L10" s="1"/>
      <x:c r="M10" s="1"/>
      <x:c r="N10" s="1"/>
      <x:c r="O10" s="1"/>
      <x:c r="P10" s="1"/>
      <x:c r="Q10" s="1"/>
      <x:c r="R10" s="1"/>
      <x:c r="S10" s="1"/>
      <x:c r="T10" s="1"/>
      <x:c r="U10" s="1"/>
      <x:c r="V10" s="1"/>
      <x:c r="W10" s="1"/>
      <x:c r="X10" s="1"/>
      <x:c r="Y10" s="1"/>
      <x:c r="Z10" s="1"/>
    </x:row>
    <x:row r="11">
      <x:c r="A11" s="1"/>
      <x:c r="B11" s="1"/>
      <x:c r="C11" s="1"/>
      <x:c r="D11" s="1"/>
      <x:c r="E11" s="1"/>
      <x:c r="F11" s="1"/>
      <x:c r="G11" s="1"/>
      <x:c r="H11" s="1"/>
      <x:c r="I11" s="1"/>
      <x:c r="J11" s="1"/>
      <x:c r="K11" s="1"/>
      <x:c r="L11" s="1"/>
      <x:c r="M11" s="1"/>
      <x:c r="N11" s="1"/>
      <x:c r="O11" s="1"/>
      <x:c r="P11" s="1"/>
      <x:c r="Q11" s="1"/>
      <x:c r="R11" s="1"/>
      <x:c r="S11" s="1"/>
      <x:c r="T11" s="1"/>
      <x:c r="U11" s="1"/>
      <x:c r="V11" s="1"/>
      <x:c r="W11" s="1"/>
      <x:c r="X11" s="1"/>
      <x:c r="Y11" s="1"/>
      <x:c r="Z11" s="1"/>
    </x:row>
    <x:row r="12">
      <x:c r="A12" s="35" t="s">
        <x:v>22</x:v>
      </x:c>
      <x:c r="B12" s="37" t="s">
        <x:v>99</x:v>
      </x:c>
      <x:c r="C12" s="37" t="s">
        <x:v>100</x:v>
      </x:c>
      <x:c r="D12" s="37" t="s">
        <x:v>101</x:v>
      </x:c>
      <x:c r="E12" s="37" t="s">
        <x:v>102</x:v>
      </x:c>
      <x:c r="F12" s="36" t="s">
        <x:v>103</x:v>
      </x:c>
      <x:c r="G12" s="1"/>
      <x:c r="H12" s="1"/>
      <x:c r="I12" s="1"/>
      <x:c r="J12" s="1"/>
      <x:c r="K12" s="1"/>
      <x:c r="L12" s="1"/>
      <x:c r="M12" s="1"/>
      <x:c r="N12" s="1"/>
      <x:c r="O12" s="1"/>
      <x:c r="P12" s="1"/>
      <x:c r="Q12" s="1"/>
      <x:c r="R12" s="1"/>
      <x:c r="S12" s="1"/>
      <x:c r="T12" s="1"/>
      <x:c r="U12" s="1"/>
      <x:c r="V12" s="1"/>
      <x:c r="W12" s="1"/>
      <x:c r="X12" s="1"/>
      <x:c r="Y12" s="1"/>
      <x:c r="Z12" s="1"/>
    </x:row>
    <x:row r="13">
      <x:c r="A13" s="2" t="s">
        <x:v>29</x:v>
      </x:c>
      <x:c r="B13" s="16" t="s">
        <x:v>104</x:v>
      </x:c>
      <x:c r="C13" s="16">
        <x:v>44</x:v>
      </x:c>
      <x:c r="D13" s="16">
        <x:v>44</x:v>
      </x:c>
      <x:c r="E13" s="16">
        <x:v>0</x:v>
      </x:c>
      <x:c r="F13" s="3" t="s">
        <x:v>105</x:v>
      </x:c>
      <x:c r="G13" s="1"/>
      <x:c r="H13" s="1"/>
      <x:c r="I13" s="1"/>
      <x:c r="J13" s="1"/>
      <x:c r="K13" s="1"/>
      <x:c r="L13" s="1"/>
      <x:c r="M13" s="1"/>
      <x:c r="N13" s="1"/>
      <x:c r="O13" s="1"/>
      <x:c r="P13" s="1"/>
      <x:c r="Q13" s="1"/>
      <x:c r="R13" s="1"/>
      <x:c r="S13" s="1"/>
      <x:c r="T13" s="1"/>
      <x:c r="U13" s="1"/>
      <x:c r="V13" s="1"/>
      <x:c r="W13" s="1"/>
      <x:c r="X13" s="1"/>
      <x:c r="Y13" s="1"/>
      <x:c r="Z13" s="1"/>
    </x:row>
    <x:row r="14">
      <x:c r="A14" s="2" t="s">
        <x:v>32</x:v>
      </x:c>
      <x:c r="B14" s="16" t="s">
        <x:v>106</x:v>
      </x:c>
      <x:c r="C14" s="16">
        <x:v>44</x:v>
      </x:c>
      <x:c r="D14" s="16">
        <x:v>9</x:v>
      </x:c>
      <x:c r="E14" s="16">
        <x:v>35</x:v>
      </x:c>
      <x:c r="F14" s="3" t="s">
        <x:v>107</x:v>
      </x:c>
      <x:c r="G14" s="1"/>
      <x:c r="H14" s="1"/>
      <x:c r="I14" s="1"/>
      <x:c r="J14" s="1"/>
      <x:c r="K14" s="1"/>
      <x:c r="L14" s="1"/>
      <x:c r="M14" s="1"/>
      <x:c r="N14" s="1"/>
      <x:c r="O14" s="1"/>
      <x:c r="P14" s="1"/>
      <x:c r="Q14" s="1"/>
      <x:c r="R14" s="1"/>
      <x:c r="S14" s="1"/>
      <x:c r="T14" s="1"/>
      <x:c r="U14" s="1"/>
      <x:c r="V14" s="1"/>
      <x:c r="W14" s="1"/>
      <x:c r="X14" s="1"/>
      <x:c r="Y14" s="1"/>
      <x:c r="Z14" s="1"/>
    </x:row>
    <x:row r="15">
      <x:c r="A15" s="4" t="s">
        <x:v>35</x:v>
      </x:c>
      <x:c r="B15" s="18" t="s">
        <x:v>108</x:v>
      </x:c>
      <x:c r="C15" s="18">
        <x:v>44</x:v>
      </x:c>
      <x:c r="D15" s="18">
        <x:v>0</x:v>
      </x:c>
      <x:c r="E15" s="18">
        <x:v>44</x:v>
      </x:c>
      <x:c r="F15" s="5" t="s">
        <x:v>109</x:v>
      </x:c>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ht="38" customHeight="1">
      <x:c r="A18" s="114" t="s">
        <x:v>110</x:v>
      </x:c>
      <x:c r="B18" s="114"/>
      <x:c r="C18" s="114"/>
      <x:c r="D18" s="114"/>
      <x:c r="E18" s="114"/>
      <x:c r="F18" s="114"/>
      <x:c r="G18" s="114"/>
      <x:c r="H18" s="40"/>
      <x:c r="I18" s="1"/>
      <x:c r="J18" s="1"/>
      <x:c r="K18" s="1"/>
      <x:c r="L18" s="1"/>
      <x:c r="M18" s="1"/>
      <x:c r="N18" s="1"/>
      <x:c r="O18" s="1"/>
      <x:c r="P18" s="1"/>
      <x:c r="Q18" s="1"/>
      <x:c r="R18" s="1"/>
      <x:c r="S18" s="1"/>
      <x:c r="T18" s="1"/>
      <x:c r="U18" s="1"/>
      <x:c r="V18" s="1"/>
      <x:c r="W18" s="1"/>
      <x:c r="X18" s="1"/>
      <x:c r="Y18" s="1"/>
      <x:c r="Z18" s="1"/>
    </x:row>
    <x:row r="19">
      <x:c r="A19" s="40"/>
      <x:c r="B19" s="40"/>
      <x:c r="C19" s="40"/>
      <x:c r="D19" s="40"/>
      <x:c r="E19" s="40"/>
      <x:c r="F19" s="40"/>
      <x:c r="G19" s="40"/>
      <x:c r="H19" s="40"/>
      <x:c r="I19" s="1"/>
      <x:c r="J19" s="1"/>
      <x:c r="K19" s="1"/>
      <x:c r="L19" s="1"/>
      <x:c r="M19" s="1"/>
      <x:c r="N19" s="1"/>
      <x:c r="O19" s="1"/>
      <x:c r="P19" s="1"/>
      <x:c r="Q19" s="1"/>
      <x:c r="R19" s="1"/>
      <x:c r="S19" s="1"/>
      <x:c r="T19" s="1"/>
      <x:c r="U19" s="1"/>
      <x:c r="V19" s="1"/>
      <x:c r="W19" s="1"/>
      <x:c r="X19" s="1"/>
      <x:c r="Y19" s="1"/>
      <x:c r="Z19" s="1"/>
    </x:row>
    <x:row r="20">
      <x:c r="A20" s="40"/>
      <x:c r="B20" s="40"/>
      <x:c r="C20" s="40"/>
      <x:c r="D20" s="40"/>
      <x:c r="E20" s="40"/>
      <x:c r="F20" s="40"/>
      <x:c r="G20" s="40"/>
      <x:c r="H20" s="40"/>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sheetData>
  <x:mergeCells>
    <x:mergeCell ref="A18:H20"/>
    <x:mergeCell ref="A1:G1"/>
    <x:mergeCell ref="A2:G3"/>
  </x:mergeCells>
  <x:pageMargins left="0.7" right="0.7" top="0.75" bottom="0.75" header="0.3" footer="0.3"/>
  <x:tableParts count="2">
    <x:tablePart xmlns:r="http://schemas.openxmlformats.org/officeDocument/2006/relationships" r:id="R3a2a0ddce80c4c74"/>
    <x:tablePart xmlns:r="http://schemas.openxmlformats.org/officeDocument/2006/relationships" r:id="R212fc4cab1644a48"/>
  </x:tableParts>
</x:worksheet>
</file>

<file path=xl/worksheets/sheet5.xml><?xml version="1.0" encoding="utf-8"?>
<x:worksheet xmlns:x="http://schemas.openxmlformats.org/spreadsheetml/2006/main">
  <x:sheetFormatPr defaultRowHeight="14"/>
  <x:cols>
    <x:col min="1" max="1" width="38" customWidth="1"/>
    <x:col min="2" max="7" width="17" customWidth="1"/>
  </x:cols>
  <x:sheetData>
    <x:row r="1" ht="28" customHeight="1">
      <x:c r="A1" s="490" t="str">
        <x:v>v3 — Controlled Prompt-Parity Results</x:v>
      </x:c>
      <x:c r="B1" s="490"/>
      <x:c r="C1" s="490"/>
      <x:c r="D1" s="490"/>
      <x:c r="E1" s="490"/>
      <x:c r="F1" s="490"/>
      <x:c r="G1" s="490"/>
      <x:c r="H1" s="490"/>
      <x:c r="I1" s="490"/>
      <x:c r="J1" s="490"/>
      <x:c r="K1" s="6"/>
      <x:c r="L1" s="6"/>
      <x:c r="M1" s="6"/>
      <x:c r="N1" s="6"/>
      <x:c r="O1" s="6"/>
      <x:c r="P1" s="6"/>
      <x:c r="Q1" s="6"/>
      <x:c r="R1" s="6"/>
      <x:c r="S1" s="6"/>
      <x:c r="T1" s="6"/>
      <x:c r="U1" s="6"/>
      <x:c r="V1" s="6"/>
      <x:c r="W1" s="6"/>
      <x:c r="X1" s="6"/>
      <x:c r="Y1" s="6"/>
      <x:c r="Z1" s="6"/>
    </x:row>
    <x:row r="2" ht="20" customHeight="1">
      <x:c r="A2" s="491" t="str">
        <x:v>One model GPT 4o-mini classified the same 11 Yes-coded passages under four prompt variants. All 44 calls completed.</x:v>
      </x:c>
      <x:c r="B2" s="491"/>
      <x:c r="C2" s="491"/>
      <x:c r="D2" s="491"/>
      <x:c r="E2" s="491"/>
      <x:c r="F2" s="491"/>
      <x:c r="G2" s="491"/>
      <x:c r="H2" s="491"/>
      <x:c r="I2" s="491"/>
      <x:c r="J2" s="491"/>
      <x:c r="K2" s="1"/>
      <x:c r="L2" s="1"/>
      <x:c r="M2" s="1"/>
      <x:c r="N2" s="1"/>
      <x:c r="O2" s="1"/>
      <x:c r="P2" s="1"/>
      <x:c r="Q2" s="1"/>
      <x:c r="R2" s="1"/>
      <x:c r="S2" s="1"/>
      <x:c r="T2" s="1"/>
      <x:c r="U2" s="1"/>
      <x:c r="V2" s="1"/>
      <x:c r="W2" s="1"/>
      <x:c r="X2" s="1"/>
      <x:c r="Y2" s="1"/>
      <x:c r="Z2" s="1"/>
    </x:row>
    <x:row r="3" ht="20" customHeight="1">
      <x:c r="A3" s="491"/>
      <x:c r="B3" s="491"/>
      <x:c r="C3" s="491"/>
      <x:c r="D3" s="491"/>
      <x:c r="E3" s="491"/>
      <x:c r="F3" s="491"/>
      <x:c r="G3" s="491"/>
      <x:c r="H3" s="491"/>
      <x:c r="I3" s="491"/>
      <x:c r="J3" s="49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35" t="s">
        <x:v>111</x:v>
      </x:c>
      <x:c r="B5" s="37" t="s">
        <x:v>91</x:v>
      </x:c>
      <x:c r="C5" s="37" t="s">
        <x:v>92</x:v>
      </x:c>
      <x:c r="D5" s="37" t="s">
        <x:v>93</x:v>
      </x:c>
      <x:c r="E5" s="37" t="s">
        <x:v>112</x:v>
      </x:c>
      <x:c r="F5" s="37" t="s">
        <x:v>113</x:v>
      </x:c>
      <x:c r="G5" s="36" t="s">
        <x:v>94</x:v>
      </x:c>
      <x:c r="H5" s="1"/>
      <x:c r="I5" s="1" t="s">
        <x:v>114</x:v>
      </x:c>
      <x:c r="J5" s="1" t="s">
        <x:v>94</x:v>
      </x:c>
      <x:c r="K5" s="1"/>
      <x:c r="L5" s="1"/>
      <x:c r="M5" s="1"/>
      <x:c r="N5" s="1"/>
      <x:c r="O5" s="1"/>
      <x:c r="P5" s="1"/>
      <x:c r="Q5" s="1"/>
      <x:c r="R5" s="1"/>
      <x:c r="S5" s="1"/>
      <x:c r="T5" s="1"/>
      <x:c r="U5" s="1"/>
      <x:c r="V5" s="1"/>
      <x:c r="W5" s="1"/>
      <x:c r="X5" s="1"/>
      <x:c r="Y5" s="1"/>
      <x:c r="Z5" s="1"/>
    </x:row>
    <x:row r="6">
      <x:c r="A6" s="7" t="s">
        <x:v>34</x:v>
      </x:c>
      <x:c r="B6" s="1">
        <x:v>11</x:v>
      </x:c>
      <x:c r="C6" s="1">
        <x:v>2</x:v>
      </x:c>
      <x:c r="D6" s="1">
        <x:v>9</x:v>
      </x:c>
      <x:c r="E6" s="1">
        <x:v>6057</x:v>
      </x:c>
      <x:c r="F6" s="23">
        <x:v>2.3538000000000001E-3</x:v>
      </x:c>
      <x:c r="G6" s="9">
        <x:v>0.18181818180000001</x:v>
      </x:c>
      <x:c r="H6" s="1"/>
      <x:c r="I6" s="1" t="s">
        <x:v>34</x:v>
      </x:c>
      <x:c r="J6" s="8">
        <x:v>0.18181818180000001</x:v>
      </x:c>
      <x:c r="K6" s="1"/>
      <x:c r="L6" s="1"/>
      <x:c r="M6" s="1"/>
      <x:c r="N6" s="1"/>
      <x:c r="O6" s="1"/>
      <x:c r="P6" s="1"/>
      <x:c r="Q6" s="1"/>
      <x:c r="R6" s="1"/>
      <x:c r="S6" s="1"/>
      <x:c r="T6" s="1"/>
      <x:c r="U6" s="1"/>
      <x:c r="V6" s="1"/>
      <x:c r="W6" s="1"/>
      <x:c r="X6" s="1"/>
      <x:c r="Y6" s="1"/>
      <x:c r="Z6" s="1"/>
    </x:row>
    <x:row r="7">
      <x:c r="A7" s="7" t="s">
        <x:v>97</x:v>
      </x:c>
      <x:c r="B7" s="1">
        <x:v>11</x:v>
      </x:c>
      <x:c r="C7" s="1">
        <x:v>6</x:v>
      </x:c>
      <x:c r="D7" s="1">
        <x:v>5</x:v>
      </x:c>
      <x:c r="E7" s="1">
        <x:v>27991</x:v>
      </x:c>
      <x:c r="F7" s="23">
        <x:v>7.0178000000000003E-3</x:v>
      </x:c>
      <x:c r="G7" s="9">
        <x:v>0.54545454550000005</x:v>
      </x:c>
      <x:c r="H7" s="1"/>
      <x:c r="I7" s="1" t="s">
        <x:v>97</x:v>
      </x:c>
      <x:c r="J7" s="8">
        <x:v>0.54545454550000005</x:v>
      </x:c>
      <x:c r="K7" s="1"/>
      <x:c r="L7" s="1"/>
      <x:c r="M7" s="1"/>
      <x:c r="N7" s="1"/>
      <x:c r="O7" s="1"/>
      <x:c r="P7" s="1"/>
      <x:c r="Q7" s="1"/>
      <x:c r="R7" s="1"/>
      <x:c r="S7" s="1"/>
      <x:c r="T7" s="1"/>
      <x:c r="U7" s="1"/>
      <x:c r="V7" s="1"/>
      <x:c r="W7" s="1"/>
      <x:c r="X7" s="1"/>
      <x:c r="Y7" s="1"/>
      <x:c r="Z7" s="1"/>
    </x:row>
    <x:row r="8">
      <x:c r="A8" s="7" t="s">
        <x:v>31</x:v>
      </x:c>
      <x:c r="B8" s="1">
        <x:v>11</x:v>
      </x:c>
      <x:c r="C8" s="1">
        <x:v>7</x:v>
      </x:c>
      <x:c r="D8" s="1">
        <x:v>4</x:v>
      </x:c>
      <x:c r="E8" s="1">
        <x:v>41417</x:v>
      </x:c>
      <x:c r="F8" s="23">
        <x:v>9.6977499999999998E-3</x:v>
      </x:c>
      <x:c r="G8" s="9">
        <x:v>0.63636363640000004</x:v>
      </x:c>
      <x:c r="H8" s="1"/>
      <x:c r="I8" s="1" t="s">
        <x:v>31</x:v>
      </x:c>
      <x:c r="J8" s="8">
        <x:v>0.63636363640000004</x:v>
      </x:c>
      <x:c r="K8" s="1"/>
      <x:c r="L8" s="1"/>
      <x:c r="M8" s="1"/>
      <x:c r="N8" s="1"/>
      <x:c r="O8" s="1"/>
      <x:c r="P8" s="1"/>
      <x:c r="Q8" s="1"/>
      <x:c r="R8" s="1"/>
      <x:c r="S8" s="1"/>
      <x:c r="T8" s="1"/>
      <x:c r="U8" s="1"/>
      <x:c r="V8" s="1"/>
      <x:c r="W8" s="1"/>
      <x:c r="X8" s="1"/>
      <x:c r="Y8" s="1"/>
      <x:c r="Z8" s="1"/>
    </x:row>
    <x:row r="9">
      <x:c r="A9" s="10" t="s">
        <x:v>98</x:v>
      </x:c>
      <x:c r="B9" s="11">
        <x:v>11</x:v>
      </x:c>
      <x:c r="C9" s="11">
        <x:v>8</x:v>
      </x:c>
      <x:c r="D9" s="11">
        <x:v>3</x:v>
      </x:c>
      <x:c r="E9" s="11">
        <x:v>43670</x:v>
      </x:c>
      <x:c r="F9" s="24">
        <x:v>1.01116E-2</x:v>
      </x:c>
      <x:c r="G9" s="13">
        <x:v>0.72727272730000003</x:v>
      </x:c>
      <x:c r="H9" s="1"/>
      <x:c r="I9" s="1" t="s">
        <x:v>98</x:v>
      </x:c>
      <x:c r="J9" s="8">
        <x:v>0.72727272730000003</x:v>
      </x:c>
      <x:c r="K9" s="1"/>
      <x:c r="L9" s="1"/>
      <x:c r="M9" s="1"/>
      <x:c r="N9" s="1"/>
      <x:c r="O9" s="1"/>
      <x:c r="P9" s="1"/>
      <x:c r="Q9" s="1"/>
      <x:c r="R9" s="1"/>
      <x:c r="S9" s="1"/>
      <x:c r="T9" s="1"/>
      <x:c r="U9" s="1"/>
      <x:c r="V9" s="1"/>
      <x:c r="W9" s="1"/>
      <x:c r="X9" s="1"/>
      <x:c r="Y9" s="1"/>
      <x:c r="Z9" s="1"/>
    </x:row>
    <x:row r="10">
      <x:c r="A10" s="1"/>
      <x:c r="B10" s="1"/>
      <x:c r="C10" s="1"/>
      <x:c r="D10" s="1"/>
      <x:c r="E10" s="1"/>
      <x:c r="F10" s="1"/>
      <x:c r="G10" s="1"/>
      <x:c r="H10" s="1"/>
      <x:c r="I10" s="1"/>
      <x:c r="J10" s="1"/>
      <x:c r="K10" s="1"/>
      <x:c r="L10" s="1"/>
      <x:c r="M10" s="1"/>
      <x:c r="N10" s="1"/>
      <x:c r="O10" s="1"/>
      <x:c r="P10" s="1"/>
      <x:c r="Q10" s="1"/>
      <x:c r="R10" s="1"/>
      <x:c r="S10" s="1"/>
      <x:c r="T10" s="1"/>
      <x:c r="U10" s="1"/>
      <x:c r="V10" s="1"/>
      <x:c r="W10" s="1"/>
      <x:c r="X10" s="1"/>
      <x:c r="Y10" s="1"/>
      <x:c r="Z10" s="1"/>
    </x:row>
    <x:row r="11">
      <x:c r="A11" s="1"/>
      <x:c r="B11" s="1"/>
      <x:c r="C11" s="1"/>
      <x:c r="D11" s="1"/>
      <x:c r="E11" s="1"/>
      <x:c r="F11" s="1"/>
      <x:c r="G11" s="1"/>
      <x:c r="H11" s="1"/>
      <x:c r="I11" s="1"/>
      <x:c r="J11" s="1"/>
      <x:c r="K11" s="1"/>
      <x:c r="L11" s="1"/>
      <x:c r="M11" s="1"/>
      <x:c r="N11" s="1"/>
      <x:c r="O11" s="1"/>
      <x:c r="P11" s="1"/>
      <x:c r="Q11" s="1"/>
      <x:c r="R11" s="1"/>
      <x:c r="S11" s="1"/>
      <x:c r="T11" s="1"/>
      <x:c r="U11" s="1"/>
      <x:c r="V11" s="1"/>
      <x:c r="W11" s="1"/>
      <x:c r="X11" s="1"/>
      <x:c r="Y11" s="1"/>
      <x:c r="Z11" s="1"/>
    </x:row>
    <x:row r="12" ht="38" customHeight="1">
      <x:c r="A12" s="114" t="s">
        <x:v>115</x:v>
      </x:c>
      <x:c r="B12" s="114"/>
      <x:c r="C12" s="114"/>
      <x:c r="D12" s="114"/>
      <x:c r="E12" s="114"/>
      <x:c r="F12" s="114"/>
      <x:c r="G12" s="114"/>
      <x:c r="H12" s="1"/>
      <x:c r="I12" s="1"/>
      <x:c r="J12" s="1"/>
      <x:c r="K12" s="1"/>
      <x:c r="L12" s="1"/>
      <x:c r="M12" s="1"/>
      <x:c r="N12" s="1"/>
      <x:c r="O12" s="1"/>
      <x:c r="P12" s="1"/>
      <x:c r="Q12" s="1"/>
      <x:c r="R12" s="1"/>
      <x:c r="S12" s="1"/>
      <x:c r="T12" s="1"/>
      <x:c r="U12" s="1"/>
      <x:c r="V12" s="1"/>
      <x:c r="W12" s="1"/>
      <x:c r="X12" s="1"/>
      <x:c r="Y12" s="1"/>
      <x:c r="Z12" s="1"/>
    </x:row>
    <x:row r="13">
      <x:c r="A13" s="48"/>
      <x:c r="B13" s="48"/>
      <x:c r="C13" s="48"/>
      <x:c r="D13" s="48"/>
      <x:c r="E13" s="48"/>
      <x:c r="F13" s="48"/>
      <x:c r="G13" s="48"/>
      <x:c r="H13" s="1"/>
      <x:c r="I13" s="1"/>
      <x:c r="J13" s="1"/>
      <x:c r="K13" s="1"/>
      <x:c r="L13" s="1"/>
      <x:c r="M13" s="1"/>
      <x:c r="N13" s="1"/>
      <x:c r="O13" s="1"/>
      <x:c r="P13" s="1"/>
      <x:c r="Q13" s="1"/>
      <x:c r="R13" s="1"/>
      <x:c r="S13" s="1"/>
      <x:c r="T13" s="1"/>
      <x:c r="U13" s="1"/>
      <x:c r="V13" s="1"/>
      <x:c r="W13" s="1"/>
      <x:c r="X13" s="1"/>
      <x:c r="Y13" s="1"/>
      <x:c r="Z13" s="1"/>
    </x:row>
    <x:row r="14">
      <x:c r="A14" s="48"/>
      <x:c r="B14" s="48"/>
      <x:c r="C14" s="48"/>
      <x:c r="D14" s="48"/>
      <x:c r="E14" s="48"/>
      <x:c r="F14" s="48"/>
      <x:c r="G14" s="48"/>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sheetData>
  <x:mergeCells>
    <x:mergeCell ref="A12:G14"/>
    <x:mergeCell ref="A1:J1"/>
    <x:mergeCell ref="A2:J3"/>
  </x:mergeCells>
  <x:pageMargins left="0.7" right="0.7" top="0.75" bottom="0.75" header="0.3" footer="0.3"/>
  <x:drawing xmlns:r="http://schemas.openxmlformats.org/officeDocument/2006/relationships" r:id="R918d44d3653343e0"/>
  <x:tableParts count="1">
    <x:tablePart xmlns:r="http://schemas.openxmlformats.org/officeDocument/2006/relationships" r:id="R882608fef40a49ad"/>
  </x:tableParts>
</x:worksheet>
</file>

<file path=xl/worksheets/sheet6.xml><?xml version="1.0" encoding="utf-8"?>
<x:worksheet xmlns:x="http://schemas.openxmlformats.org/spreadsheetml/2006/main">
  <x:sheetFormatPr defaultRowHeight="14"/>
  <x:cols>
    <x:col min="1" max="1" width="22" hidden="0" customWidth="1"/>
    <x:col min="2" max="7" width="20" customWidth="1"/>
    <x:col min="9" max="9" width="36" hidden="0" customWidth="1"/>
    <x:col min="2" max="2" width="30" hidden="0" customWidth="1"/>
    <x:col min="3" max="3" width="8" hidden="0" customWidth="1"/>
    <x:col min="4" max="4" width="8" hidden="0" customWidth="1"/>
    <x:col min="5" max="5" width="8" hidden="0" customWidth="1"/>
    <x:col min="6" max="6" width="14" hidden="0" customWidth="1"/>
    <x:col min="7" max="7" width="16" hidden="0" customWidth="1"/>
    <x:col min="8" max="8" width="12" hidden="0" customWidth="1"/>
  </x:cols>
  <x:sheetData>
    <x:row r="1" ht="28" customHeight="1">
      <x:c r="A1" s="490" t="str">
        <x:v>v4 — Provider-Separated Multi-Model Pilot</x:v>
      </x:c>
      <x:c r="B1" s="490"/>
      <x:c r="C1" s="490"/>
      <x:c r="D1" s="490"/>
      <x:c r="E1" s="490"/>
      <x:c r="F1" s="490"/>
      <x:c r="G1" s="490"/>
      <x:c r="H1" s="490"/>
      <x:c r="I1" s="490"/>
      <x:c r="J1" s="490"/>
      <x:c r="K1" s="6"/>
      <x:c r="L1" s="6"/>
      <x:c r="M1" s="6"/>
      <x:c r="N1" s="6"/>
      <x:c r="O1" s="6"/>
      <x:c r="P1" s="6"/>
      <x:c r="Q1" s="6"/>
      <x:c r="R1" s="6"/>
      <x:c r="S1" s="6"/>
      <x:c r="T1" s="6"/>
      <x:c r="U1" s="6"/>
      <x:c r="V1" s="6"/>
      <x:c r="W1" s="6"/>
      <x:c r="X1" s="6"/>
      <x:c r="Y1" s="6"/>
      <x:c r="Z1" s="6"/>
    </x:row>
    <x:row r="2" ht="20" customHeight="1">
      <x:c r="A2" s="491" t="str">
        <x:v>Multiple OpenAI, Anthropic, and Google configurations were tested on the 11 Yes-coded passages. The table summarizes complete 11-row model groups by prompt strategy. Old Codebook was used in this experiment</x:v>
      </x:c>
      <x:c r="B2" s="491"/>
      <x:c r="C2" s="491"/>
      <x:c r="D2" s="491"/>
      <x:c r="E2" s="491"/>
      <x:c r="F2" s="491"/>
      <x:c r="G2" s="491"/>
      <x:c r="H2" s="491"/>
      <x:c r="I2" s="491"/>
      <x:c r="J2" s="491"/>
      <x:c r="K2" s="1"/>
      <x:c r="L2" s="1"/>
      <x:c r="M2" s="1"/>
      <x:c r="N2" s="1"/>
      <x:c r="O2" s="1"/>
      <x:c r="P2" s="1"/>
      <x:c r="Q2" s="1"/>
      <x:c r="R2" s="1"/>
      <x:c r="S2" s="1"/>
      <x:c r="T2" s="1"/>
      <x:c r="U2" s="1"/>
      <x:c r="V2" s="1"/>
      <x:c r="W2" s="1"/>
      <x:c r="X2" s="1"/>
      <x:c r="Y2" s="1"/>
      <x:c r="Z2" s="1"/>
    </x:row>
    <x:row r="3" ht="20" customHeight="1">
      <x:c r="A3" s="491"/>
      <x:c r="B3" s="491"/>
      <x:c r="C3" s="491"/>
      <x:c r="D3" s="491"/>
      <x:c r="E3" s="491"/>
      <x:c r="F3" s="491"/>
      <x:c r="G3" s="491"/>
      <x:c r="H3" s="491"/>
      <x:c r="I3" s="491"/>
      <x:c r="J3" s="49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35" t="s">
        <x:v>111</x:v>
      </x:c>
      <x:c r="B5" s="37" t="s">
        <x:v>116</x:v>
      </x:c>
      <x:c r="C5" s="37" t="s">
        <x:v>117</x:v>
      </x:c>
      <x:c r="D5" s="37" t="s">
        <x:v>118</x:v>
      </x:c>
      <x:c r="E5" s="37" t="s">
        <x:v>119</x:v>
      </x:c>
      <x:c r="F5" s="37" t="s">
        <x:v>120</x:v>
      </x:c>
      <x:c r="G5" s="36" t="s">
        <x:v>121</x:v>
      </x:c>
      <x:c r="H5" s="1"/>
      <x:c r="I5" s="1" t="s">
        <x:v>114</x:v>
      </x:c>
      <x:c r="J5" s="1" t="s">
        <x:v>122</x:v>
      </x:c>
      <x:c r="K5" s="1"/>
      <x:c r="L5" s="1"/>
      <x:c r="M5" s="1"/>
      <x:c r="N5" s="1"/>
      <x:c r="O5" s="1"/>
      <x:c r="P5" s="1"/>
      <x:c r="Q5" s="1"/>
      <x:c r="R5" s="1"/>
      <x:c r="S5" s="1"/>
      <x:c r="T5" s="1"/>
      <x:c r="U5" s="1"/>
      <x:c r="V5" s="1"/>
      <x:c r="W5" s="1"/>
      <x:c r="X5" s="1"/>
      <x:c r="Y5" s="1"/>
      <x:c r="Z5" s="1"/>
    </x:row>
    <x:row r="6">
      <x:c r="A6" s="7" t="s">
        <x:v>34</x:v>
      </x:c>
      <x:c r="B6" s="1">
        <x:v>7</x:v>
      </x:c>
      <x:c r="C6" s="8">
        <x:v>0.61038961039999995</x:v>
      </x:c>
      <x:c r="D6" s="8">
        <x:v>0.63636363640000004</x:v>
      </x:c>
      <x:c r="E6" s="8">
        <x:v>0.27272727270000002</x:v>
      </x:c>
      <x:c r="F6" s="8">
        <x:v>0.90909090910000001</x:v>
      </x:c>
      <x:c r="G6" s="25">
        <x:v>7.3298150000000006E-2</x:v>
      </x:c>
      <x:c r="H6" s="1"/>
      <x:c r="I6" s="1" t="s">
        <x:v>34</x:v>
      </x:c>
      <x:c r="J6" s="8">
        <x:v>0.61038961039999995</x:v>
      </x:c>
      <x:c r="K6" s="1"/>
      <x:c r="L6" s="1"/>
      <x:c r="M6" s="1"/>
      <x:c r="N6" s="1"/>
      <x:c r="O6" s="1"/>
      <x:c r="P6" s="1"/>
      <x:c r="Q6" s="1"/>
      <x:c r="R6" s="1"/>
      <x:c r="S6" s="1"/>
      <x:c r="T6" s="1"/>
      <x:c r="U6" s="1"/>
      <x:c r="V6" s="1"/>
      <x:c r="W6" s="1"/>
      <x:c r="X6" s="1"/>
      <x:c r="Y6" s="1"/>
      <x:c r="Z6" s="1"/>
    </x:row>
    <x:row r="7">
      <x:c r="A7" s="7" t="s">
        <x:v>97</x:v>
      </x:c>
      <x:c r="B7" s="1">
        <x:v>6</x:v>
      </x:c>
      <x:c r="C7" s="8">
        <x:v>0.77272727269999997</x:v>
      </x:c>
      <x:c r="D7" s="8">
        <x:v>0.77272727269999997</x:v>
      </x:c>
      <x:c r="E7" s="8">
        <x:v>0.54545454550000005</x:v>
      </x:c>
      <x:c r="F7" s="8">
        <x:v>1</x:v>
      </x:c>
      <x:c r="G7" s="25">
        <x:v>0.22188345000000001</x:v>
      </x:c>
      <x:c r="H7" s="1"/>
      <x:c r="I7" s="1" t="s">
        <x:v>97</x:v>
      </x:c>
      <x:c r="J7" s="8">
        <x:v>0.77272727269999997</x:v>
      </x:c>
      <x:c r="K7" s="1"/>
      <x:c r="L7" s="1"/>
      <x:c r="M7" s="1"/>
      <x:c r="N7" s="1"/>
      <x:c r="O7" s="1"/>
      <x:c r="P7" s="1"/>
      <x:c r="Q7" s="1"/>
      <x:c r="R7" s="1"/>
      <x:c r="S7" s="1"/>
      <x:c r="T7" s="1"/>
      <x:c r="U7" s="1"/>
      <x:c r="V7" s="1"/>
      <x:c r="W7" s="1"/>
      <x:c r="X7" s="1"/>
      <x:c r="Y7" s="1"/>
      <x:c r="Z7" s="1"/>
    </x:row>
    <x:row r="8">
      <x:c r="A8" s="7" t="s">
        <x:v>31</x:v>
      </x:c>
      <x:c r="B8" s="1">
        <x:v>5</x:v>
      </x:c>
      <x:c r="C8" s="8">
        <x:v>0.85454545449999997</x:v>
      </x:c>
      <x:c r="D8" s="8">
        <x:v>0.81818181820000002</x:v>
      </x:c>
      <x:c r="E8" s="8">
        <x:v>0.72727272730000003</x:v>
      </x:c>
      <x:c r="F8" s="8">
        <x:v>1</x:v>
      </x:c>
      <x:c r="G8" s="25">
        <x:v>0.2438978</x:v>
      </x:c>
      <x:c r="H8" s="1"/>
      <x:c r="I8" s="1" t="s">
        <x:v>31</x:v>
      </x:c>
      <x:c r="J8" s="8">
        <x:v>0.85454545449999997</x:v>
      </x:c>
      <x:c r="K8" s="1"/>
      <x:c r="L8" s="1"/>
      <x:c r="M8" s="1"/>
      <x:c r="N8" s="1"/>
      <x:c r="O8" s="1"/>
      <x:c r="P8" s="1"/>
      <x:c r="Q8" s="1"/>
      <x:c r="R8" s="1"/>
      <x:c r="S8" s="1"/>
      <x:c r="T8" s="1"/>
      <x:c r="U8" s="1"/>
      <x:c r="V8" s="1"/>
      <x:c r="W8" s="1"/>
      <x:c r="X8" s="1"/>
      <x:c r="Y8" s="1"/>
      <x:c r="Z8" s="1"/>
    </x:row>
    <x:row r="9">
      <x:c r="A9" s="10" t="s">
        <x:v>98</x:v>
      </x:c>
      <x:c r="B9" s="11">
        <x:v>5</x:v>
      </x:c>
      <x:c r="C9" s="12">
        <x:v>0.78181818179999996</x:v>
      </x:c>
      <x:c r="D9" s="12">
        <x:v>0.72727272730000003</x:v>
      </x:c>
      <x:c r="E9" s="12">
        <x:v>0.63636363640000004</x:v>
      </x:c>
      <x:c r="F9" s="12">
        <x:v>1</x:v>
      </x:c>
      <x:c r="G9" s="26">
        <x:v>0.25418960000000002</x:v>
      </x:c>
      <x:c r="H9" s="1"/>
      <x:c r="I9" s="1" t="s">
        <x:v>98</x:v>
      </x:c>
      <x:c r="J9" s="8">
        <x:v>0.78181818179999996</x:v>
      </x:c>
      <x:c r="K9" s="1"/>
      <x:c r="L9" s="1"/>
      <x:c r="M9" s="1"/>
      <x:c r="N9" s="1"/>
      <x:c r="O9" s="1"/>
      <x:c r="P9" s="1"/>
      <x:c r="Q9" s="1"/>
      <x:c r="R9" s="1"/>
      <x:c r="S9" s="1"/>
      <x:c r="T9" s="1"/>
      <x:c r="U9" s="1"/>
      <x:c r="V9" s="1"/>
      <x:c r="W9" s="1"/>
      <x:c r="X9" s="1"/>
      <x:c r="Y9" s="1"/>
      <x:c r="Z9" s="1"/>
    </x:row>
    <x:row r="10">
      <x:c r="A10" s="1"/>
      <x:c r="B10" s="1"/>
      <x:c r="C10" s="1"/>
      <x:c r="D10" s="1"/>
      <x:c r="E10" s="1"/>
      <x:c r="F10" s="1"/>
      <x:c r="G10" s="1"/>
      <x:c r="H10" s="1"/>
      <x:c r="I10" s="1"/>
      <x:c r="J10" s="1"/>
      <x:c r="K10" s="1"/>
      <x:c r="L10" s="1"/>
      <x:c r="M10" s="1"/>
      <x:c r="N10" s="1"/>
      <x:c r="O10" s="1"/>
      <x:c r="P10" s="1"/>
      <x:c r="Q10" s="1"/>
      <x:c r="R10" s="1"/>
      <x:c r="S10" s="1"/>
      <x:c r="T10" s="1"/>
      <x:c r="U10" s="1"/>
      <x:c r="V10" s="1"/>
      <x:c r="W10" s="1"/>
      <x:c r="X10" s="1"/>
      <x:c r="Y10" s="1"/>
      <x:c r="Z10" s="1"/>
    </x:row>
    <x:row r="11">
      <x:c r="A11" s="1"/>
      <x:c r="B11" s="1"/>
      <x:c r="C11" s="1"/>
      <x:c r="D11" s="1"/>
      <x:c r="E11" s="1"/>
      <x:c r="F11" s="1"/>
      <x:c r="G11" s="1"/>
      <x:c r="H11" s="1"/>
      <x:c r="I11" s="1"/>
      <x:c r="J11" s="1"/>
      <x:c r="K11" s="1"/>
      <x:c r="L11" s="1"/>
      <x:c r="M11" s="1"/>
      <x:c r="N11" s="1"/>
      <x:c r="O11" s="1"/>
      <x:c r="P11" s="1"/>
      <x:c r="Q11" s="1"/>
      <x:c r="R11" s="1"/>
      <x:c r="S11" s="1"/>
      <x:c r="T11" s="1"/>
      <x:c r="U11" s="1"/>
      <x:c r="V11" s="1"/>
      <x:c r="W11" s="1"/>
      <x:c r="X11" s="1"/>
      <x:c r="Y11" s="1"/>
      <x:c r="Z11" s="1"/>
    </x:row>
    <x:row r="12">
      <x:c r="A12" s="35" t="s">
        <x:v>123</x:v>
      </x:c>
      <x:c r="B12" s="37" t="s">
        <x:v>124</x:v>
      </x:c>
      <x:c r="C12" s="37" t="s">
        <x:v>101</x:v>
      </x:c>
      <x:c r="D12" s="36" t="s">
        <x:v>125</x:v>
      </x:c>
      <x:c r="E12" s="1"/>
      <x:c r="F12" s="1"/>
      <x:c r="G12" s="1"/>
      <x:c r="H12" s="1"/>
      <x:c r="I12" s="1"/>
      <x:c r="J12" s="1"/>
      <x:c r="K12" s="1"/>
      <x:c r="L12" s="1"/>
      <x:c r="M12" s="1"/>
      <x:c r="N12" s="1"/>
      <x:c r="O12" s="1"/>
      <x:c r="P12" s="1"/>
      <x:c r="Q12" s="1"/>
      <x:c r="R12" s="1"/>
      <x:c r="S12" s="1"/>
      <x:c r="T12" s="1"/>
      <x:c r="U12" s="1"/>
      <x:c r="V12" s="1"/>
      <x:c r="W12" s="1"/>
      <x:c r="X12" s="1"/>
      <x:c r="Y12" s="1"/>
      <x:c r="Z12" s="1"/>
    </x:row>
    <x:row r="13">
      <x:c r="A13" s="10" t="s">
        <x:v>126</x:v>
      </x:c>
      <x:c r="B13" s="11">
        <x:v>263</x:v>
      </x:c>
      <x:c r="C13" s="11">
        <x:v>259</x:v>
      </x:c>
      <x:c r="D13" s="13">
        <x:v>0.98479087452471481</x:v>
      </x:c>
      <x:c r="E13" s="1"/>
      <x:c r="F13" s="1"/>
      <x:c r="G13" s="1"/>
      <x:c r="H13" s="1"/>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ht="38" customHeight="1">
      <x:c r="A16" s="114" t="s">
        <x:v>127</x:v>
      </x:c>
      <x:c r="B16" s="114"/>
      <x:c r="C16" s="114"/>
      <x:c r="D16" s="114"/>
      <x:c r="E16" s="114"/>
      <x:c r="F16" s="114"/>
      <x:c r="G16" s="114"/>
      <x:c r="H16" s="114"/>
      <x:c r="I16" s="114"/>
      <x:c r="J16" s="114"/>
      <x:c r="K16" s="1"/>
      <x:c r="L16" s="1"/>
      <x:c r="M16" s="1"/>
      <x:c r="N16" s="1"/>
      <x:c r="O16" s="1"/>
      <x:c r="P16" s="1"/>
      <x:c r="Q16" s="1"/>
      <x:c r="R16" s="1"/>
      <x:c r="S16" s="1"/>
      <x:c r="T16" s="1"/>
      <x:c r="U16" s="1"/>
      <x:c r="V16" s="1"/>
      <x:c r="W16" s="1"/>
      <x:c r="X16" s="1"/>
      <x:c r="Y16" s="1"/>
      <x:c r="Z16" s="1"/>
    </x:row>
    <x:row r="17">
      <x:c r="A17" s="48"/>
      <x:c r="B17" s="48"/>
      <x:c r="C17" s="48"/>
      <x:c r="D17" s="48"/>
      <x:c r="E17" s="48"/>
      <x:c r="F17" s="48"/>
      <x:c r="G17" s="48"/>
      <x:c r="H17" s="1"/>
      <x:c r="I17" s="1"/>
      <x:c r="J17" s="1"/>
      <x:c r="K17" s="1"/>
      <x:c r="L17" s="1"/>
      <x:c r="M17" s="1"/>
      <x:c r="N17" s="1"/>
      <x:c r="O17" s="1"/>
      <x:c r="P17" s="1"/>
      <x:c r="Q17" s="1"/>
      <x:c r="R17" s="1"/>
      <x:c r="S17" s="1"/>
      <x:c r="T17" s="1"/>
      <x:c r="U17" s="1"/>
      <x:c r="V17" s="1"/>
      <x:c r="W17" s="1"/>
      <x:c r="X17" s="1"/>
      <x:c r="Y17" s="1"/>
      <x:c r="Z17" s="1"/>
    </x:row>
    <x:row r="18" ht="22" customHeight="1">
      <x:c r="A18" s="123" t="str">
        <x:v>Claude Sonnet 5 — Complete 11-Row Results</x:v>
      </x:c>
      <x:c r="B18" s="123"/>
      <x:c r="C18" s="123"/>
      <x:c r="D18" s="123"/>
      <x:c r="E18" s="123"/>
      <x:c r="F18" s="123"/>
      <x:c r="G18" s="123"/>
      <x:c r="H18" s="123"/>
      <x:c r="I18" s="123"/>
      <x:c r="J18" s="1"/>
      <x:c r="K18" s="1"/>
      <x:c r="L18" s="1"/>
      <x:c r="M18" s="1"/>
      <x:c r="N18" s="1"/>
      <x:c r="O18" s="1"/>
      <x:c r="P18" s="1"/>
      <x:c r="Q18" s="1"/>
      <x:c r="R18" s="1"/>
      <x:c r="S18" s="1"/>
      <x:c r="T18" s="1"/>
      <x:c r="U18" s="1"/>
      <x:c r="V18" s="1"/>
      <x:c r="W18" s="1"/>
      <x:c r="X18" s="1"/>
      <x:c r="Y18" s="1"/>
      <x:c r="Z18" s="1"/>
    </x:row>
    <x:row r="19">
      <x:c r="A19" s="136" t="str">
        <x:v>Model</x:v>
      </x:c>
      <x:c r="B19" s="225" t="str">
        <x:v>Prompt strategy</x:v>
      </x:c>
      <x:c r="C19" s="225" t="str">
        <x:v>N</x:v>
      </x:c>
      <x:c r="D19" s="225" t="str">
        <x:v>TP</x:v>
      </x:c>
      <x:c r="E19" s="225" t="str">
        <x:v>FN</x:v>
      </x:c>
      <x:c r="F19" s="225" t="str">
        <x:v>Positive recall</x:v>
      </x:c>
      <x:c r="G19" s="225" t="str">
        <x:v>Mean confidence</x:v>
      </x:c>
      <x:c r="H19" s="225" t="str">
        <x:v>Cost USD</x:v>
      </x:c>
      <x:c r="I19" s="137" t="str">
        <x:v>Interpretation</x:v>
      </x:c>
      <x:c r="J19" s="1"/>
      <x:c r="K19" s="1"/>
      <x:c r="L19" s="1"/>
      <x:c r="M19" s="1"/>
      <x:c r="N19" s="1"/>
      <x:c r="O19" s="1"/>
      <x:c r="P19" s="1"/>
      <x:c r="Q19" s="1"/>
      <x:c r="R19" s="1"/>
      <x:c r="S19" s="1"/>
      <x:c r="T19" s="1"/>
      <x:c r="U19" s="1"/>
      <x:c r="V19" s="1"/>
      <x:c r="W19" s="1"/>
      <x:c r="X19" s="1"/>
      <x:c r="Y19" s="1"/>
      <x:c r="Z19" s="1"/>
    </x:row>
    <x:row r="20" ht="38" customHeight="1">
      <x:c r="A20" s="160" t="str">
        <x:v>Claude Sonnet 5</x:v>
      </x:c>
      <x:c r="B20" s="235" t="str">
        <x:v>Definitions only</x:v>
      </x:c>
      <x:c r="C20" s="235" t="n">
        <x:v>11</x:v>
      </x:c>
      <x:c r="D20" s="235" t="n">
        <x:v>11</x:v>
      </x:c>
      <x:c r="E20" s="235" t="n">
        <x:v>0</x:v>
      </x:c>
      <x:c r="F20" s="318" t="n">
        <x:v>1</x:v>
      </x:c>
      <x:c r="G20" s="236" t="n">
        <x:v>0.677273</x:v>
      </x:c>
      <x:c r="H20" s="324" t="n">
        <x:v>0.112584</x:v>
      </x:c>
      <x:c r="I20" s="161" t="str">
        <x:v>All 11 human-positive passages recovered.</x:v>
      </x:c>
      <x:c r="J20" s="1"/>
      <x:c r="K20" s="1"/>
      <x:c r="L20" s="1"/>
      <x:c r="M20" s="1"/>
      <x:c r="N20" s="1"/>
      <x:c r="O20" s="1"/>
      <x:c r="P20" s="1"/>
      <x:c r="Q20" s="1"/>
      <x:c r="R20" s="1"/>
      <x:c r="S20" s="1"/>
      <x:c r="T20" s="1"/>
      <x:c r="U20" s="1"/>
      <x:c r="V20" s="1"/>
      <x:c r="W20" s="1"/>
      <x:c r="X20" s="1"/>
      <x:c r="Y20" s="1"/>
      <x:c r="Z20" s="1"/>
    </x:row>
    <x:row r="21" ht="38" customHeight="1">
      <x:c r="A21" s="162" t="str">
        <x:v>Claude Sonnet 5</x:v>
      </x:c>
      <x:c r="B21" s="237" t="str">
        <x:v>Definitions + examples</x:v>
      </x:c>
      <x:c r="C21" s="237" t="n">
        <x:v>11</x:v>
      </x:c>
      <x:c r="D21" s="237" t="n">
        <x:v>11</x:v>
      </x:c>
      <x:c r="E21" s="237" t="n">
        <x:v>0</x:v>
      </x:c>
      <x:c r="F21" s="319" t="n">
        <x:v>1</x:v>
      </x:c>
      <x:c r="G21" s="238"/>
      <x:c r="H21" s="325" t="n">
        <x:v>0.158494</x:v>
      </x:c>
      <x:c r="I21" s="163" t="str">
        <x:v>Same 11/11 recall with labeled demonstrations.</x:v>
      </x:c>
      <x:c r="J21" s="1"/>
      <x:c r="K21" s="1"/>
      <x:c r="L21" s="1"/>
      <x:c r="M21" s="1"/>
      <x:c r="N21" s="1"/>
      <x:c r="O21" s="1"/>
      <x:c r="P21" s="1"/>
      <x:c r="Q21" s="1"/>
      <x:c r="R21" s="1"/>
      <x:c r="S21" s="1"/>
      <x:c r="T21" s="1"/>
      <x:c r="U21" s="1"/>
      <x:c r="V21" s="1"/>
      <x:c r="W21" s="1"/>
      <x:c r="X21" s="1"/>
      <x:c r="Y21" s="1"/>
      <x:c r="Z21" s="1"/>
    </x:row>
    <x:row r="22" ht="38" customHeight="1">
      <x:c r="A22" s="164" t="str">
        <x:v>Claude Sonnet 5</x:v>
      </x:c>
      <x:c r="B22" s="239" t="str">
        <x:v>Definitions + examples + metadata</x:v>
      </x:c>
      <x:c r="C22" s="239" t="n">
        <x:v>11</x:v>
      </x:c>
      <x:c r="D22" s="239" t="n">
        <x:v>11</x:v>
      </x:c>
      <x:c r="E22" s="239" t="n">
        <x:v>0</x:v>
      </x:c>
      <x:c r="F22" s="320" t="n">
        <x:v>1</x:v>
      </x:c>
      <x:c r="G22" s="240"/>
      <x:c r="H22" s="326" t="n">
        <x:v>0.164702</x:v>
      </x:c>
      <x:c r="I22" s="165" t="str">
        <x:v>Metadata did not improve recall on this pilot.</x:v>
      </x:c>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ht="55" customHeight="1">
      <x:c r="A24" s="196" t="str">
        <x:v>Interpretation: the 100% score is positive recall on an all-positive test. It confirms complete recovery of the 11 evaluated examples but cannot show whether the model would incorrectly label negative passages as unlearning. A mixed-label benchmark is required to evaluate both positive recovery and false-positive behavior.</x:v>
      </x:c>
      <x:c r="B24" s="292"/>
      <x:c r="C24" s="292"/>
      <x:c r="D24" s="292"/>
      <x:c r="E24" s="292"/>
      <x:c r="F24" s="292"/>
      <x:c r="G24" s="292"/>
      <x:c r="H24" s="292"/>
      <x:c r="I24" s="197"/>
      <x:c r="J24" s="1"/>
      <x:c r="K24" s="1"/>
      <x:c r="L24" s="1"/>
      <x:c r="M24" s="1"/>
      <x:c r="N24" s="1"/>
      <x:c r="O24" s="1"/>
      <x:c r="P24" s="1"/>
      <x:c r="Q24" s="1"/>
      <x:c r="R24" s="1"/>
      <x:c r="S24" s="1"/>
      <x:c r="T24" s="1"/>
      <x:c r="U24" s="1"/>
      <x:c r="V24" s="1"/>
      <x:c r="W24" s="1"/>
      <x:c r="X24" s="1"/>
      <x:c r="Y24" s="1"/>
      <x:c r="Z24" s="1"/>
    </x:row>
    <x:row r="25" ht="55" customHeight="1">
      <x:c r="A25" s="198"/>
      <x:c r="B25" s="114"/>
      <x:c r="C25" s="114"/>
      <x:c r="D25" s="114"/>
      <x:c r="E25" s="114"/>
      <x:c r="F25" s="114"/>
      <x:c r="G25" s="114"/>
      <x:c r="H25" s="114"/>
      <x:c r="I25" s="199"/>
      <x:c r="J25" s="1"/>
      <x:c r="K25" s="1"/>
      <x:c r="L25" s="1"/>
      <x:c r="M25" s="1"/>
      <x:c r="N25" s="1"/>
      <x:c r="O25" s="1"/>
      <x:c r="P25" s="1"/>
      <x:c r="Q25" s="1"/>
      <x:c r="R25" s="1"/>
      <x:c r="S25" s="1"/>
      <x:c r="T25" s="1"/>
      <x:c r="U25" s="1"/>
      <x:c r="V25" s="1"/>
      <x:c r="W25" s="1"/>
      <x:c r="X25" s="1"/>
      <x:c r="Y25" s="1"/>
      <x:c r="Z25" s="1"/>
    </x:row>
    <x:row r="26" ht="55" customHeight="1">
      <x:c r="A26" s="198"/>
      <x:c r="B26" s="114"/>
      <x:c r="C26" s="114"/>
      <x:c r="D26" s="114"/>
      <x:c r="E26" s="114"/>
      <x:c r="F26" s="114"/>
      <x:c r="G26" s="114"/>
      <x:c r="H26" s="114"/>
      <x:c r="I26" s="199"/>
      <x:c r="J26" s="1"/>
      <x:c r="K26" s="1"/>
      <x:c r="L26" s="1"/>
      <x:c r="M26" s="1"/>
      <x:c r="N26" s="1"/>
      <x:c r="O26" s="1"/>
      <x:c r="P26" s="1"/>
      <x:c r="Q26" s="1"/>
      <x:c r="R26" s="1"/>
      <x:c r="S26" s="1"/>
      <x:c r="T26" s="1"/>
      <x:c r="U26" s="1"/>
      <x:c r="V26" s="1"/>
      <x:c r="W26" s="1"/>
      <x:c r="X26" s="1"/>
      <x:c r="Y26" s="1"/>
      <x:c r="Z26" s="1"/>
    </x:row>
    <x:row r="27" ht="55" customHeight="1">
      <x:c r="A27" s="200"/>
      <x:c r="B27" s="293"/>
      <x:c r="C27" s="293"/>
      <x:c r="D27" s="293"/>
      <x:c r="E27" s="293"/>
      <x:c r="F27" s="293"/>
      <x:c r="G27" s="293"/>
      <x:c r="H27" s="293"/>
      <x:c r="I27" s="20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sheetData>
  <x:mergeCells>
    <x:mergeCell ref="A18:I18"/>
    <x:mergeCell ref="A24:I27"/>
    <x:mergeCell ref="A1:J1"/>
    <x:mergeCell ref="A2:J3"/>
  </x:mergeCells>
  <x:pageMargins left="0.7" right="0.7" top="0.75" bottom="0.75" header="0.3" footer="0.3"/>
  <x:drawing xmlns:r="http://schemas.openxmlformats.org/officeDocument/2006/relationships" r:id="R035a4365e3414812"/>
  <x:tableParts count="1">
    <x:tablePart xmlns:r="http://schemas.openxmlformats.org/officeDocument/2006/relationships" r:id="Rac674c9461044ac3"/>
  </x:tableParts>
</x:worksheet>
</file>

<file path=xl/worksheets/sheet7.xml><?xml version="1.0" encoding="utf-8"?>
<x:worksheet xmlns:x="http://schemas.openxmlformats.org/spreadsheetml/2006/main">
  <x:sheetFormatPr defaultRowHeight="14"/>
  <x:cols>
    <x:col min="1" max="1" width="23" hidden="0" customWidth="1"/>
    <x:col min="2" max="2" width="29" hidden="0" customWidth="1"/>
    <x:col min="3" max="7" width="9" customWidth="1"/>
    <x:col min="8" max="15" width="14" customWidth="1"/>
    <x:col min="16" max="17" width="15" customWidth="1"/>
    <x:col min="3" max="3" width="8" hidden="0" customWidth="1"/>
    <x:col min="4" max="4" width="11" hidden="0" customWidth="1"/>
    <x:col min="5" max="5" width="8" hidden="0" customWidth="1"/>
    <x:col min="6" max="6" width="8" hidden="0" customWidth="1"/>
    <x:col min="7" max="7" width="15" hidden="0" customWidth="1"/>
    <x:col min="8" max="8" width="8" hidden="0" customWidth="1"/>
    <x:col min="9" max="9" width="8" hidden="0" customWidth="1"/>
    <x:col min="11" max="11" width="25" hidden="0" customWidth="1"/>
    <x:col min="12" max="12" width="15" hidden="0" customWidth="1"/>
    <x:col min="13" max="13" width="8" hidden="0" customWidth="1"/>
    <x:col min="14" max="14" width="8" hidden="0" customWidth="1"/>
    <x:col min="15" max="15" width="13" hidden="0" customWidth="1"/>
    <x:col min="16" max="16" width="36" hidden="0" customWidth="1"/>
  </x:cols>
  <x:sheetData>
    <x:row r="1" ht="28" customHeight="1">
      <x:c r="A1" s="490" t="str">
        <x:v>v5 — Five-Model Mixed-Label Benchmark</x:v>
      </x:c>
      <x:c r="B1" s="490"/>
      <x:c r="C1" s="490"/>
      <x:c r="D1" s="490"/>
      <x:c r="E1" s="490"/>
      <x:c r="F1" s="490"/>
      <x:c r="G1" s="490"/>
      <x:c r="H1" s="490"/>
      <x:c r="I1" s="490"/>
      <x:c r="J1" s="490"/>
      <x:c r="K1" s="490"/>
      <x:c r="L1" s="490"/>
      <x:c r="M1" s="490"/>
      <x:c r="N1" s="490"/>
      <x:c r="O1" s="490"/>
      <x:c r="P1" s="490"/>
      <x:c r="Q1" s="490"/>
      <x:c r="R1" s="490"/>
      <x:c r="S1" s="490"/>
      <x:c r="T1" s="490"/>
      <x:c r="U1" s="6"/>
      <x:c r="V1" s="6"/>
      <x:c r="W1" s="6"/>
      <x:c r="X1" s="6"/>
      <x:c r="Y1" s="6"/>
      <x:c r="Z1" s="6"/>
    </x:row>
    <x:row r="2" ht="20" customHeight="1">
      <x:c r="A2" s="491" t="str">
        <x:v>GPT Test set was expanded to include all human coded labels with duplicates removed. All five models classified the same 49 passages using the definitions/codebook-only condition: 39 human Yes and 10 human No. New codebook was used from here onwards.</x:v>
      </x:c>
      <x:c r="B2" s="491"/>
      <x:c r="C2" s="491"/>
      <x:c r="D2" s="491"/>
      <x:c r="E2" s="491"/>
      <x:c r="F2" s="491"/>
      <x:c r="G2" s="491"/>
      <x:c r="H2" s="491"/>
      <x:c r="I2" s="491"/>
      <x:c r="J2" s="491"/>
      <x:c r="K2" s="491"/>
      <x:c r="L2" s="491"/>
      <x:c r="M2" s="491"/>
      <x:c r="N2" s="491"/>
      <x:c r="O2" s="491"/>
      <x:c r="P2" s="491"/>
      <x:c r="Q2" s="491"/>
      <x:c r="R2" s="491"/>
      <x:c r="S2" s="491"/>
      <x:c r="T2" s="491"/>
      <x:c r="U2" s="1"/>
      <x:c r="V2" s="1"/>
      <x:c r="W2" s="1"/>
      <x:c r="X2" s="1"/>
      <x:c r="Y2" s="1"/>
      <x:c r="Z2" s="1"/>
    </x:row>
    <x:row r="3" ht="20" customHeight="1">
      <x:c r="A3" s="491"/>
      <x:c r="B3" s="491"/>
      <x:c r="C3" s="491"/>
      <x:c r="D3" s="491"/>
      <x:c r="E3" s="491"/>
      <x:c r="F3" s="491"/>
      <x:c r="G3" s="491"/>
      <x:c r="H3" s="491"/>
      <x:c r="I3" s="491"/>
      <x:c r="J3" s="491"/>
      <x:c r="K3" s="491"/>
      <x:c r="L3" s="491"/>
      <x:c r="M3" s="491"/>
      <x:c r="N3" s="491"/>
      <x:c r="O3" s="491"/>
      <x:c r="P3" s="491"/>
      <x:c r="Q3" s="491"/>
      <x:c r="R3" s="491"/>
      <x:c r="S3" s="491"/>
      <x:c r="T3" s="49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ht="26">
      <x:c r="A5" s="35" t="s">
        <x:v>22</x:v>
      </x:c>
      <x:c r="B5" s="37" t="s">
        <x:v>23</x:v>
      </x:c>
      <x:c r="C5" s="37" t="s">
        <x:v>128</x:v>
      </x:c>
      <x:c r="D5" s="37" t="s">
        <x:v>129</x:v>
      </x:c>
      <x:c r="E5" s="37" t="s">
        <x:v>130</x:v>
      </x:c>
      <x:c r="F5" s="37" t="s">
        <x:v>131</x:v>
      </x:c>
      <x:c r="G5" s="37" t="s">
        <x:v>132</x:v>
      </x:c>
      <x:c r="H5" s="37" t="s">
        <x:v>26</x:v>
      </x:c>
      <x:c r="I5" s="37" t="s">
        <x:v>133</x:v>
      </x:c>
      <x:c r="J5" s="37" t="s">
        <x:v>56</x:v>
      </x:c>
      <x:c r="K5" s="37" t="s">
        <x:v>134</x:v>
      </x:c>
      <x:c r="L5" s="37" t="s">
        <x:v>27</x:v>
      </x:c>
      <x:c r="M5" s="37" t="s">
        <x:v>135</x:v>
      </x:c>
      <x:c r="N5" s="37" t="s">
        <x:v>136</x:v>
      </x:c>
      <x:c r="O5" s="37" t="s">
        <x:v>137</x:v>
      </x:c>
      <x:c r="P5" s="37" t="s">
        <x:v>113</x:v>
      </x:c>
      <x:c r="Q5" s="36" t="s">
        <x:v>138</x:v>
      </x:c>
      <x:c r="R5" s="1"/>
      <x:c r="S5" s="1" t="s">
        <x:v>23</x:v>
      </x:c>
      <x:c r="T5" s="1" t="s">
        <x:v>56</x:v>
      </x:c>
      <x:c r="U5" s="1"/>
      <x:c r="V5" s="1"/>
      <x:c r="W5" s="1"/>
      <x:c r="X5" s="1"/>
      <x:c r="Y5" s="1"/>
      <x:c r="Z5" s="1"/>
    </x:row>
    <x:row r="6">
      <x:c r="A6" s="7" t="s">
        <x:v>35</x:v>
      </x:c>
      <x:c r="B6" s="1" t="s">
        <x:v>139</x:v>
      </x:c>
      <x:c r="C6" s="1">
        <x:v>49</x:v>
      </x:c>
      <x:c r="D6" s="1">
        <x:v>21</x:v>
      </x:c>
      <x:c r="E6" s="1">
        <x:v>10</x:v>
      </x:c>
      <x:c r="F6" s="1">
        <x:v>0</x:v>
      </x:c>
      <x:c r="G6" s="1">
        <x:v>18</x:v>
      </x:c>
      <x:c r="H6" s="8" t="n">
        <x:f>(D6+E6)/C6</x:f>
        <x:v>0.6326530612244898</x:v>
      </x:c>
      <x:c r="I6" s="8" t="n">
        <x:f>IF((D6+F6)=0,0,D6/(D6+F6))</x:f>
        <x:v>1</x:v>
      </x:c>
      <x:c r="J6" s="8" t="n">
        <x:f>IF((D6+G6)=0,0,D6/(D6+G6))</x:f>
        <x:v>0.5384615384615384</x:v>
      </x:c>
      <x:c r="K6" s="8" t="n">
        <x:f>IF((E6+F6)=0,0,E6/(E6+F6))</x:f>
        <x:v>1</x:v>
      </x:c>
      <x:c r="L6" s="8" t="n">
        <x:f>IF((2*D6+F6+G6)=0,0,2*D6/(2*D6+F6+G6))</x:f>
        <x:v>0.7</x:v>
      </x:c>
      <x:c r="M6" s="8" t="n">
        <x:f>(J6+K6)/2</x:f>
        <x:v>0.7692307692307692</x:v>
      </x:c>
      <x:c r="N6" s="8" t="n">
        <x:f>(H6-(((D6+G6)*(D6+F6)+(E6+F6)*(E6+G6))/(C6*C6)))/(1-(((D6+G6)*(D6+F6)+(E6+F6)*(E6+G6))/(C6*C6)))</x:f>
        <x:v>0.32258064516129037</x:v>
      </x:c>
      <x:c r="O6" s="8">
        <x:v>0.87612199999999996</x:v>
      </x:c>
      <x:c r="P6" s="27">
        <x:v>0.17191400000000001</x:v>
      </x:c>
      <x:c r="Q6" s="28">
        <x:v>1.876328</x:v>
      </x:c>
      <x:c r="R6" s="1"/>
      <x:c r="S6" s="1" t="s">
        <x:v>139</x:v>
      </x:c>
      <x:c r="T6" s="8" t="n">
        <x:f>J6</x:f>
        <x:v>0.5384615384615384</x:v>
      </x:c>
      <x:c r="U6" s="1"/>
      <x:c r="V6" s="1"/>
      <x:c r="W6" s="1"/>
      <x:c r="X6" s="1"/>
      <x:c r="Y6" s="1"/>
      <x:c r="Z6" s="1"/>
    </x:row>
    <x:row r="7">
      <x:c r="A7" s="7" t="s">
        <x:v>32</x:v>
      </x:c>
      <x:c r="B7" s="1" t="s">
        <x:v>33</x:v>
      </x:c>
      <x:c r="C7" s="1">
        <x:v>49</x:v>
      </x:c>
      <x:c r="D7" s="1">
        <x:v>18</x:v>
      </x:c>
      <x:c r="E7" s="1">
        <x:v>9</x:v>
      </x:c>
      <x:c r="F7" s="1">
        <x:v>1</x:v>
      </x:c>
      <x:c r="G7" s="1">
        <x:v>21</x:v>
      </x:c>
      <x:c r="H7" s="8" t="n">
        <x:f>(D7+E7)/C7</x:f>
        <x:v>0.5510204081632653</x:v>
      </x:c>
      <x:c r="I7" s="8" t="n">
        <x:f>IF((D7+F7)=0,0,D7/(D7+F7))</x:f>
        <x:v>0.9473684210526315</x:v>
      </x:c>
      <x:c r="J7" s="8" t="n">
        <x:f>IF((D7+G7)=0,0,D7/(D7+G7))</x:f>
        <x:v>0.46153846153846156</x:v>
      </x:c>
      <x:c r="K7" s="8" t="n">
        <x:f>IF((E7+F7)=0,0,E7/(E7+F7))</x:f>
        <x:v>0.9</x:v>
      </x:c>
      <x:c r="L7" s="8" t="n">
        <x:f>IF((2*D7+F7+G7)=0,0,2*D7/(2*D7+F7+G7))</x:f>
        <x:v>0.6206896551724138</x:v>
      </x:c>
      <x:c r="M7" s="8" t="n">
        <x:f>(J7+K7)/2</x:f>
        <x:v>0.6807692307692308</x:v>
      </x:c>
      <x:c r="N7" s="8" t="n">
        <x:f>(H7-(((D7+G7)*(D7+F7)+(E7+F7)*(E7+G7))/(C7*C7)))/(1-(((D7+G7)*(D7+F7)+(E7+F7)*(E7+G7))/(C7*C7)))</x:f>
        <x:v>0.20735294117647052</x:v>
      </x:c>
      <x:c r="O7" s="8">
        <x:v>0.91428600000000004</x:v>
      </x:c>
      <x:c r="P7" s="27">
        <x:v>0.105835</x:v>
      </x:c>
      <x:c r="Q7" s="28">
        <x:v>1.1495610000000001</x:v>
      </x:c>
      <x:c r="R7" s="1"/>
      <x:c r="S7" s="1" t="s">
        <x:v>33</x:v>
      </x:c>
      <x:c r="T7" s="8" t="n">
        <x:f>J7</x:f>
        <x:v>0.46153846153846156</x:v>
      </x:c>
      <x:c r="U7" s="1"/>
      <x:c r="V7" s="1"/>
      <x:c r="W7" s="1"/>
      <x:c r="X7" s="1"/>
      <x:c r="Y7" s="1"/>
      <x:c r="Z7" s="1"/>
    </x:row>
    <x:row r="8">
      <x:c r="A8" s="7" t="s">
        <x:v>35</x:v>
      </x:c>
      <x:c r="B8" s="1" t="s">
        <x:v>36</x:v>
      </x:c>
      <x:c r="C8" s="1">
        <x:v>49</x:v>
      </x:c>
      <x:c r="D8" s="1">
        <x:v>14</x:v>
      </x:c>
      <x:c r="E8" s="1">
        <x:v>10</x:v>
      </x:c>
      <x:c r="F8" s="1">
        <x:v>0</x:v>
      </x:c>
      <x:c r="G8" s="1">
        <x:v>25</x:v>
      </x:c>
      <x:c r="H8" s="8" t="n">
        <x:f>(D8+E8)/C8</x:f>
        <x:v>0.4897959183673469</x:v>
      </x:c>
      <x:c r="I8" s="8" t="n">
        <x:f>IF((D8+F8)=0,0,D8/(D8+F8))</x:f>
        <x:v>1</x:v>
      </x:c>
      <x:c r="J8" s="8" t="n">
        <x:f>IF((D8+G8)=0,0,D8/(D8+G8))</x:f>
        <x:v>0.358974358974359</x:v>
      </x:c>
      <x:c r="K8" s="8" t="n">
        <x:f>IF((E8+F8)=0,0,E8/(E8+F8))</x:f>
        <x:v>1</x:v>
      </x:c>
      <x:c r="L8" s="8" t="n">
        <x:f>IF((2*D8+F8+G8)=0,0,2*D8/(2*D8+F8+G8))</x:f>
        <x:v>0.5283018867924528</x:v>
      </x:c>
      <x:c r="M8" s="8" t="n">
        <x:f>(J8+K8)/2</x:f>
        <x:v>0.6794871794871795</x:v>
      </x:c>
      <x:c r="N8" s="8" t="n">
        <x:f>(H8-(((D8+G8)*(D8+F8)+(E8+F8)*(E8+G8))/(C8*C8)))/(1-(((D8+G8)*(D8+F8)+(E8+F8)*(E8+G8))/(C8*C8)))</x:f>
        <x:v>0.18604651162790695</x:v>
      </x:c>
      <x:c r="O8" s="8">
        <x:v>0.73061200000000004</x:v>
      </x:c>
      <x:c r="P8" s="27">
        <x:v>0.48236600000000002</x:v>
      </x:c>
      <x:c r="Q8" s="28">
        <x:v>3.1660010000000001</x:v>
      </x:c>
      <x:c r="R8" s="1"/>
      <x:c r="S8" s="1" t="s">
        <x:v>36</x:v>
      </x:c>
      <x:c r="T8" s="8" t="n">
        <x:f>J8</x:f>
        <x:v>0.358974358974359</x:v>
      </x:c>
      <x:c r="U8" s="1"/>
      <x:c r="V8" s="1"/>
      <x:c r="W8" s="1"/>
      <x:c r="X8" s="1"/>
      <x:c r="Y8" s="1"/>
      <x:c r="Z8" s="1"/>
    </x:row>
    <x:row r="9">
      <x:c r="A9" s="7" t="s">
        <x:v>29</x:v>
      </x:c>
      <x:c r="B9" s="1" t="s">
        <x:v>140</x:v>
      </x:c>
      <x:c r="C9" s="1">
        <x:v>49</x:v>
      </x:c>
      <x:c r="D9" s="1">
        <x:v>11</x:v>
      </x:c>
      <x:c r="E9" s="1">
        <x:v>10</x:v>
      </x:c>
      <x:c r="F9" s="1">
        <x:v>0</x:v>
      </x:c>
      <x:c r="G9" s="1">
        <x:v>28</x:v>
      </x:c>
      <x:c r="H9" s="8" t="n">
        <x:f>(D9+E9)/C9</x:f>
        <x:v>0.42857142857142855</x:v>
      </x:c>
      <x:c r="I9" s="8" t="n">
        <x:f>IF((D9+F9)=0,0,D9/(D9+F9))</x:f>
        <x:v>1</x:v>
      </x:c>
      <x:c r="J9" s="8" t="n">
        <x:f>IF((D9+G9)=0,0,D9/(D9+G9))</x:f>
        <x:v>0.28205128205128205</x:v>
      </x:c>
      <x:c r="K9" s="8" t="n">
        <x:f>IF((E9+F9)=0,0,E9/(E9+F9))</x:f>
        <x:v>1</x:v>
      </x:c>
      <x:c r="L9" s="8" t="n">
        <x:f>IF((2*D9+F9+G9)=0,0,2*D9/(2*D9+F9+G9))</x:f>
        <x:v>0.44</x:v>
      </x:c>
      <x:c r="M9" s="8" t="n">
        <x:f>(J9+K9)/2</x:f>
        <x:v>0.641025641025641</x:v>
      </x:c>
      <x:c r="N9" s="8" t="n">
        <x:f>(H9-(((D9+G9)*(D9+F9)+(E9+F9)*(E9+G9))/(C9*C9)))/(1-(((D9+G9)*(D9+F9)+(E9+F9)*(E9+G9))/(C9*C9)))</x:f>
        <x:v>0.13819095477386933</x:v>
      </x:c>
      <x:c r="O9" s="8">
        <x:v>0.91020400000000001</x:v>
      </x:c>
      <x:c r="P9" s="27">
        <x:v>3.2667000000000002E-2</x:v>
      </x:c>
      <x:c r="Q9" s="28">
        <x:v>2.5658750000000001</x:v>
      </x:c>
      <x:c r="R9" s="1"/>
      <x:c r="S9" s="1" t="s">
        <x:v>140</x:v>
      </x:c>
      <x:c r="T9" s="8" t="n">
        <x:f>J9</x:f>
        <x:v>0.28205128205128205</x:v>
      </x:c>
      <x:c r="U9" s="1"/>
      <x:c r="V9" s="1"/>
      <x:c r="W9" s="1"/>
      <x:c r="X9" s="1"/>
      <x:c r="Y9" s="1"/>
      <x:c r="Z9" s="1"/>
    </x:row>
    <x:row r="10">
      <x:c r="A10" s="10" t="s">
        <x:v>29</x:v>
      </x:c>
      <x:c r="B10" s="11" t="s">
        <x:v>30</x:v>
      </x:c>
      <x:c r="C10" s="11">
        <x:v>49</x:v>
      </x:c>
      <x:c r="D10" s="11">
        <x:v>9</x:v>
      </x:c>
      <x:c r="E10" s="11">
        <x:v>10</x:v>
      </x:c>
      <x:c r="F10" s="11">
        <x:v>0</x:v>
      </x:c>
      <x:c r="G10" s="11">
        <x:v>30</x:v>
      </x:c>
      <x:c r="H10" s="12" t="n">
        <x:f>(D10+E10)/C10</x:f>
        <x:v>0.3877551020408163</x:v>
      </x:c>
      <x:c r="I10" s="12" t="n">
        <x:f>IF((D10+F10)=0,0,D10/(D10+F10))</x:f>
        <x:v>1</x:v>
      </x:c>
      <x:c r="J10" s="12" t="n">
        <x:f>IF((D10+G10)=0,0,D10/(D10+G10))</x:f>
        <x:v>0.23076923076923078</x:v>
      </x:c>
      <x:c r="K10" s="12" t="n">
        <x:f>IF((E10+F10)=0,0,E10/(E10+F10))</x:f>
        <x:v>1</x:v>
      </x:c>
      <x:c r="L10" s="12" t="n">
        <x:f>IF((2*D10+F10+G10)=0,0,2*D10/(2*D10+F10+G10))</x:f>
        <x:v>0.375</x:v>
      </x:c>
      <x:c r="M10" s="12" t="n">
        <x:f>(J10+K10)/2</x:f>
        <x:v>0.6153846153846154</x:v>
      </x:c>
      <x:c r="N10" s="12" t="n">
        <x:f>(H10-(((D10+G10)*(D10+F10)+(E10+F10)*(E10+G10))/(C10*C10)))/(1-(((D10+G10)*(D10+F10)+(E10+F10)*(E10+G10))/(C10*C10)))</x:f>
        <x:v>0.10909090909090906</x:v>
      </x:c>
      <x:c r="O10" s="12">
        <x:v>0.93530599999999997</x:v>
      </x:c>
      <x:c r="P10" s="29">
        <x:v>2.9937999999999999E-2</x:v>
      </x:c>
      <x:c r="Q10" s="30">
        <x:v>1.7618780000000001</x:v>
      </x:c>
      <x:c r="R10" s="1"/>
      <x:c r="S10" s="1" t="s">
        <x:v>30</x:v>
      </x:c>
      <x:c r="T10" s="8" t="n">
        <x:f>J10</x:f>
        <x:v>0.23076923076923078</x:v>
      </x:c>
      <x:c r="U10" s="1"/>
      <x:c r="V10" s="1"/>
      <x:c r="W10" s="1"/>
      <x:c r="X10" s="1"/>
      <x:c r="Y10" s="1"/>
      <x:c r="Z10" s="1"/>
    </x:row>
    <x:row r="11">
      <x:c r="A11" s="1"/>
      <x:c r="B11" s="1"/>
      <x:c r="C11" s="1"/>
      <x:c r="D11" s="1"/>
      <x:c r="E11" s="1"/>
      <x:c r="F11" s="1"/>
      <x:c r="G11" s="1"/>
      <x:c r="H11" s="1"/>
      <x:c r="I11" s="1"/>
      <x:c r="J11" s="1"/>
      <x:c r="K11" s="1"/>
      <x:c r="L11" s="1"/>
      <x:c r="M11" s="1"/>
      <x:c r="N11" s="1"/>
      <x:c r="O11" s="1"/>
      <x:c r="P11" s="1"/>
      <x:c r="Q11" s="1"/>
      <x:c r="R11" s="1"/>
      <x:c r="S11" s="1"/>
      <x:c r="T11" s="1"/>
      <x:c r="U11" s="1"/>
      <x:c r="V11" s="1"/>
      <x:c r="W11" s="1"/>
      <x:c r="X11" s="1"/>
      <x:c r="Y11" s="1"/>
      <x:c r="Z11" s="1"/>
    </x:row>
    <x:row r="12">
      <x:c r="A12" s="1"/>
      <x:c r="B12" s="1"/>
      <x:c r="C12" s="1"/>
      <x:c r="D12" s="1"/>
      <x:c r="E12" s="1"/>
      <x:c r="F12" s="1"/>
      <x:c r="G12" s="1"/>
      <x:c r="H12" s="1"/>
      <x:c r="I12" s="1"/>
      <x:c r="J12" s="1"/>
      <x:c r="K12" s="1"/>
      <x:c r="L12" s="1"/>
      <x:c r="M12" s="1"/>
      <x:c r="N12" s="1"/>
      <x:c r="O12" s="1"/>
      <x:c r="P12" s="1"/>
      <x:c r="Q12" s="1"/>
      <x:c r="R12" s="1"/>
      <x:c r="S12" s="1"/>
      <x:c r="T12" s="1"/>
      <x:c r="U12" s="1"/>
      <x:c r="V12" s="1"/>
      <x:c r="W12" s="1"/>
      <x:c r="X12" s="1"/>
      <x:c r="Y12" s="1"/>
      <x:c r="Z12" s="1"/>
    </x:row>
    <x:row r="13" ht="42" customHeight="1">
      <x:c r="A13" s="114" t="s">
        <x:v>141</x:v>
      </x:c>
      <x:c r="B13" s="114"/>
      <x:c r="C13" s="114"/>
      <x:c r="D13" s="114"/>
      <x:c r="E13" s="114"/>
      <x:c r="F13" s="114"/>
      <x:c r="G13" s="114"/>
      <x:c r="H13" s="114"/>
      <x:c r="I13" s="114"/>
      <x:c r="J13" s="114"/>
      <x:c r="K13" s="114"/>
      <x:c r="L13" s="114"/>
      <x:c r="M13" s="114"/>
      <x:c r="N13" s="114"/>
      <x:c r="O13" s="114"/>
      <x:c r="P13" s="114"/>
      <x:c r="Q13" s="114"/>
      <x:c r="R13" s="114"/>
      <x:c r="S13" s="114"/>
      <x:c r="T13" s="114"/>
      <x:c r="U13" s="1"/>
      <x:c r="V13" s="1"/>
      <x:c r="W13" s="1"/>
      <x:c r="X13" s="1"/>
      <x:c r="Y13" s="1"/>
      <x:c r="Z13" s="1"/>
    </x:row>
    <x:row r="14">
      <x:c r="A14" s="40"/>
      <x:c r="B14" s="40"/>
      <x:c r="C14" s="40"/>
      <x:c r="D14" s="40"/>
      <x:c r="E14" s="40"/>
      <x:c r="F14" s="40"/>
      <x:c r="G14" s="40"/>
      <x:c r="H14" s="40"/>
      <x:c r="I14" s="40"/>
      <x:c r="J14" s="40"/>
      <x:c r="K14" s="40"/>
      <x:c r="L14" s="40"/>
      <x:c r="M14" s="40"/>
      <x:c r="N14" s="40"/>
      <x:c r="O14" s="40"/>
      <x:c r="P14" s="40"/>
      <x:c r="Q14" s="40"/>
      <x:c r="R14" s="1"/>
      <x:c r="S14" s="1"/>
      <x:c r="T14" s="1"/>
      <x:c r="U14" s="1"/>
      <x:c r="V14" s="1"/>
      <x:c r="W14" s="1"/>
      <x:c r="X14" s="1"/>
      <x:c r="Y14" s="1"/>
      <x:c r="Z14" s="1"/>
    </x:row>
    <x:row r="15" ht="22" customHeight="1">
      <x:c r="A15" s="123" t="str">
        <x:v>Document-Level Results</x:v>
      </x:c>
      <x:c r="B15" s="123"/>
      <x:c r="C15" s="123"/>
      <x:c r="D15" s="123"/>
      <x:c r="E15" s="123"/>
      <x:c r="F15" s="123"/>
      <x:c r="G15" s="123"/>
      <x:c r="H15" s="123"/>
      <x:c r="I15" s="123"/>
      <x:c r="J15" s="40"/>
      <x:c r="K15" s="123" t="str">
        <x:v>Source-Level Pattern Across Five Models</x:v>
      </x:c>
      <x:c r="L15" s="123"/>
      <x:c r="M15" s="123"/>
      <x:c r="N15" s="123"/>
      <x:c r="O15" s="123"/>
      <x:c r="P15" s="123"/>
      <x:c r="Q15" s="40"/>
      <x:c r="R15" s="1"/>
      <x:c r="S15" s="1"/>
      <x:c r="T15" s="1"/>
      <x:c r="U15" s="1"/>
      <x:c r="V15" s="1"/>
      <x:c r="W15" s="1"/>
      <x:c r="X15" s="1"/>
      <x:c r="Y15" s="1"/>
      <x:c r="Z15" s="1"/>
    </x:row>
    <x:row r="16">
      <x:c r="A16" s="136" t="str">
        <x:v>Model</x:v>
      </x:c>
      <x:c r="B16" s="225" t="str">
        <x:v>Document</x:v>
      </x:c>
      <x:c r="C16" s="225" t="str">
        <x:v>Rows</x:v>
      </x:c>
      <x:c r="D16" s="225" t="str">
        <x:v>Human Yes</x:v>
      </x:c>
      <x:c r="E16" s="225" t="str">
        <x:v>TP</x:v>
      </x:c>
      <x:c r="F16" s="225" t="str">
        <x:v>FN</x:v>
      </x:c>
      <x:c r="G16" s="225" t="str">
        <x:v>Positive recall</x:v>
      </x:c>
      <x:c r="H16" s="225" t="str">
        <x:v>FP</x:v>
      </x:c>
      <x:c r="I16" s="137" t="str">
        <x:v>TN</x:v>
      </x:c>
      <x:c r="J16" s="1"/>
      <x:c r="K16" s="136" t="str">
        <x:v>Document</x:v>
      </x:c>
      <x:c r="L16" s="225" t="str">
        <x:v>Positive judgments</x:v>
      </x:c>
      <x:c r="M16" s="225" t="str">
        <x:v>TP</x:v>
      </x:c>
      <x:c r="N16" s="225" t="str">
        <x:v>FN</x:v>
      </x:c>
      <x:c r="O16" s="225" t="str">
        <x:v>Mean recall</x:v>
      </x:c>
      <x:c r="P16" s="137" t="str">
        <x:v>Interpretation</x:v>
      </x:c>
      <x:c r="Q16" s="1"/>
      <x:c r="R16" s="1"/>
      <x:c r="S16" s="1"/>
      <x:c r="T16" s="1"/>
      <x:c r="U16" s="1"/>
      <x:c r="V16" s="1"/>
      <x:c r="W16" s="1"/>
      <x:c r="X16" s="1"/>
      <x:c r="Y16" s="1"/>
      <x:c r="Z16" s="1"/>
    </x:row>
    <x:row r="17" ht="55" customHeight="1">
      <x:c r="A17" s="160" t="str">
        <x:v>Claude 3.5 Haiku</x:v>
      </x:c>
      <x:c r="B17" s="235" t="str">
        <x:v>EPA lessons learned</x:v>
      </x:c>
      <x:c r="C17" s="235" t="n">
        <x:v>25</x:v>
      </x:c>
      <x:c r="D17" s="235" t="n">
        <x:v>20</x:v>
      </x:c>
      <x:c r="E17" s="235" t="n">
        <x:v>6</x:v>
      </x:c>
      <x:c r="F17" s="235" t="n">
        <x:v>14</x:v>
      </x:c>
      <x:c r="G17" s="236" t="n">
        <x:v>0.3</x:v>
      </x:c>
      <x:c r="H17" s="235" t="n">
        <x:v>0</x:v>
      </x:c>
      <x:c r="I17" s="161" t="n">
        <x:v>5</x:v>
      </x:c>
      <x:c r="J17" s="1"/>
      <x:c r="K17" s="160" t="str">
        <x:v>EPA lessons learned</x:v>
      </x:c>
      <x:c r="L17" s="235" t="n">
        <x:v>100</x:v>
      </x:c>
      <x:c r="M17" s="235" t="n">
        <x:v>8</x:v>
      </x:c>
      <x:c r="N17" s="235" t="n">
        <x:v>92</x:v>
      </x:c>
      <x:c r="O17" s="236" t="n">
        <x:v>0.08</x:v>
      </x:c>
      <x:c r="P17" s="161" t="str">
        <x:v>Additive coordination, staffing, training, and procedures were often read as learning rather than explicit unlearning.</x:v>
      </x:c>
      <x:c r="Q17" s="1"/>
      <x:c r="R17" s="1"/>
      <x:c r="S17" s="1"/>
      <x:c r="T17" s="1"/>
      <x:c r="U17" s="1"/>
      <x:c r="V17" s="1"/>
      <x:c r="W17" s="1"/>
      <x:c r="X17" s="1"/>
      <x:c r="Y17" s="1"/>
      <x:c r="Z17" s="1"/>
    </x:row>
    <x:row r="18" ht="55" customHeight="1">
      <x:c r="A18" s="162" t="str">
        <x:v>Claude 3.5 Haiku</x:v>
      </x:c>
      <x:c r="B18" s="237" t="str">
        <x:v>GAO preliminary observations</x:v>
      </x:c>
      <x:c r="C18" s="237" t="n">
        <x:v>14</x:v>
      </x:c>
      <x:c r="D18" s="237" t="n">
        <x:v>10</x:v>
      </x:c>
      <x:c r="E18" s="237" t="n">
        <x:v>6</x:v>
      </x:c>
      <x:c r="F18" s="237" t="n">
        <x:v>4</x:v>
      </x:c>
      <x:c r="G18" s="238" t="n">
        <x:v>0.6</x:v>
      </x:c>
      <x:c r="H18" s="237" t="n">
        <x:v>0</x:v>
      </x:c>
      <x:c r="I18" s="163" t="n">
        <x:v>4</x:v>
      </x:c>
      <x:c r="J18" s="1"/>
      <x:c r="K18" s="162" t="str">
        <x:v>GAO preliminary observations</x:v>
      </x:c>
      <x:c r="L18" s="237" t="n">
        <x:v>50</x:v>
      </x:c>
      <x:c r="M18" s="237" t="n">
        <x:v>28</x:v>
      </x:c>
      <x:c r="N18" s="237" t="n">
        <x:v>22</x:v>
      </x:c>
      <x:c r="O18" s="238" t="n">
        <x:v>0.56</x:v>
      </x:c>
      <x:c r="P18" s="163" t="str">
        <x:v>A mixture of explicit rejection language and passages that mainly diagnose gaps.</x:v>
      </x:c>
      <x:c r="Q18" s="1"/>
      <x:c r="R18" s="1"/>
      <x:c r="S18" s="1"/>
      <x:c r="T18" s="1"/>
      <x:c r="U18" s="1"/>
      <x:c r="V18" s="1"/>
      <x:c r="W18" s="1"/>
      <x:c r="X18" s="1"/>
      <x:c r="Y18" s="1"/>
      <x:c r="Z18" s="1"/>
    </x:row>
    <x:row r="19" ht="55" customHeight="1">
      <x:c r="A19" s="162" t="str">
        <x:v>Claude 3.5 Haiku</x:v>
      </x:c>
      <x:c r="B19" s="237" t="str">
        <x:v>Post-Katrina preparedness</x:v>
      </x:c>
      <x:c r="C19" s="237" t="n">
        <x:v>10</x:v>
      </x:c>
      <x:c r="D19" s="237" t="n">
        <x:v>9</x:v>
      </x:c>
      <x:c r="E19" s="237" t="n">
        <x:v>9</x:v>
      </x:c>
      <x:c r="F19" s="237" t="n">
        <x:v>0</x:v>
      </x:c>
      <x:c r="G19" s="238" t="n">
        <x:v>1</x:v>
      </x:c>
      <x:c r="H19" s="237" t="n">
        <x:v>0</x:v>
      </x:c>
      <x:c r="I19" s="163" t="n">
        <x:v>1</x:v>
      </x:c>
      <x:c r="J19" s="1"/>
      <x:c r="K19" s="164" t="str">
        <x:v>Post-Katrina preparedness</x:v>
      </x:c>
      <x:c r="L19" s="239" t="n">
        <x:v>45</x:v>
      </x:c>
      <x:c r="M19" s="239" t="n">
        <x:v>37</x:v>
      </x:c>
      <x:c r="N19" s="239" t="n">
        <x:v>8</x:v>
      </x:c>
      <x:c r="O19" s="240" t="n">
        <x:v>0.822222</x:v>
      </x:c>
      <x:c r="P19" s="165" t="str">
        <x:v>The clearest replacement language: reform, reduce, move away, centralize, and replace fragmented arrangements.</x:v>
      </x:c>
      <x:c r="Q19" s="1"/>
      <x:c r="R19" s="1"/>
      <x:c r="S19" s="1"/>
      <x:c r="T19" s="1"/>
      <x:c r="U19" s="1"/>
      <x:c r="V19" s="1"/>
      <x:c r="W19" s="1"/>
      <x:c r="X19" s="1"/>
      <x:c r="Y19" s="1"/>
      <x:c r="Z19" s="1"/>
    </x:row>
    <x:row r="20" ht="28" customHeight="1">
      <x:c r="A20" s="162" t="str">
        <x:v>Gemini 3.1 Flash Lite</x:v>
      </x:c>
      <x:c r="B20" s="237" t="str">
        <x:v>EPA lessons learned</x:v>
      </x:c>
      <x:c r="C20" s="237" t="n">
        <x:v>25</x:v>
      </x:c>
      <x:c r="D20" s="237" t="n">
        <x:v>20</x:v>
      </x:c>
      <x:c r="E20" s="237" t="n">
        <x:v>2</x:v>
      </x:c>
      <x:c r="F20" s="237" t="n">
        <x:v>18</x:v>
      </x:c>
      <x:c r="G20" s="238" t="n">
        <x:v>0.1</x:v>
      </x:c>
      <x:c r="H20" s="237" t="n">
        <x:v>0</x:v>
      </x:c>
      <x:c r="I20" s="163" t="n">
        <x:v>5</x:v>
      </x:c>
      <x:c r="J20" s="1"/>
      <x:c r="K20" s="1"/>
      <x:c r="L20" s="1"/>
      <x:c r="M20" s="1"/>
      <x:c r="N20" s="1"/>
      <x:c r="O20" s="1"/>
      <x:c r="P20" s="1"/>
      <x:c r="Q20" s="1"/>
      <x:c r="R20" s="1"/>
      <x:c r="S20" s="1"/>
      <x:c r="T20" s="1"/>
      <x:c r="U20" s="1"/>
      <x:c r="V20" s="1"/>
      <x:c r="W20" s="1"/>
      <x:c r="X20" s="1"/>
      <x:c r="Y20" s="1"/>
      <x:c r="Z20" s="1"/>
    </x:row>
    <x:row r="21" ht="28" customHeight="1">
      <x:c r="A21" s="162" t="str">
        <x:v>Gemini 3.1 Flash Lite</x:v>
      </x:c>
      <x:c r="B21" s="237" t="str">
        <x:v>GAO preliminary observations</x:v>
      </x:c>
      <x:c r="C21" s="237" t="n">
        <x:v>14</x:v>
      </x:c>
      <x:c r="D21" s="237" t="n">
        <x:v>10</x:v>
      </x:c>
      <x:c r="E21" s="237" t="n">
        <x:v>7</x:v>
      </x:c>
      <x:c r="F21" s="237" t="n">
        <x:v>3</x:v>
      </x:c>
      <x:c r="G21" s="238" t="n">
        <x:v>0.7</x:v>
      </x:c>
      <x:c r="H21" s="237" t="n">
        <x:v>1</x:v>
      </x:c>
      <x:c r="I21" s="163" t="n">
        <x:v>3</x:v>
      </x:c>
      <x:c r="J21" s="1"/>
      <x:c r="K21" s="1"/>
      <x:c r="L21" s="1"/>
      <x:c r="M21" s="1"/>
      <x:c r="N21" s="1"/>
      <x:c r="O21" s="1"/>
      <x:c r="P21" s="1"/>
      <x:c r="Q21" s="1"/>
      <x:c r="R21" s="1"/>
      <x:c r="S21" s="1"/>
      <x:c r="T21" s="1"/>
      <x:c r="U21" s="1"/>
      <x:c r="V21" s="1"/>
      <x:c r="W21" s="1"/>
      <x:c r="X21" s="1"/>
      <x:c r="Y21" s="1"/>
      <x:c r="Z21" s="1"/>
    </x:row>
    <x:row r="22" ht="46" customHeight="1">
      <x:c r="A22" s="162" t="str">
        <x:v>Gemini 3.1 Flash Lite</x:v>
      </x:c>
      <x:c r="B22" s="237" t="str">
        <x:v>Post-Katrina preparedness</x:v>
      </x:c>
      <x:c r="C22" s="237" t="n">
        <x:v>10</x:v>
      </x:c>
      <x:c r="D22" s="237" t="n">
        <x:v>9</x:v>
      </x:c>
      <x:c r="E22" s="237" t="n">
        <x:v>9</x:v>
      </x:c>
      <x:c r="F22" s="237" t="n">
        <x:v>0</x:v>
      </x:c>
      <x:c r="G22" s="238" t="n">
        <x:v>1</x:v>
      </x:c>
      <x:c r="H22" s="237" t="n">
        <x:v>0</x:v>
      </x:c>
      <x:c r="I22" s="163" t="n">
        <x:v>1</x:v>
      </x:c>
      <x:c r="J22" s="1"/>
      <x:c r="K22" s="196" t="str">
        <x:v>Key insight: 92 of 122 false-negative judgments came from the EPA document, and all 14 passages missed by every model were EPA passages. The pattern points to a boundary between broad post-failure adaptation and the new codebook's requirement for rejection, replacement, or discontinuity.</x:v>
      </x:c>
      <x:c r="L22" s="292"/>
      <x:c r="M22" s="292"/>
      <x:c r="N22" s="292"/>
      <x:c r="O22" s="292"/>
      <x:c r="P22" s="197"/>
      <x:c r="Q22" s="1"/>
      <x:c r="R22" s="1"/>
      <x:c r="S22" s="1"/>
      <x:c r="T22" s="1"/>
      <x:c r="U22" s="1"/>
      <x:c r="V22" s="1"/>
      <x:c r="W22" s="1"/>
      <x:c r="X22" s="1"/>
      <x:c r="Y22" s="1"/>
      <x:c r="Z22" s="1"/>
    </x:row>
    <x:row r="23" ht="46" customHeight="1">
      <x:c r="A23" s="162" t="str">
        <x:v>Claude Sonnet 5</x:v>
      </x:c>
      <x:c r="B23" s="237" t="str">
        <x:v>EPA lessons learned</x:v>
      </x:c>
      <x:c r="C23" s="237" t="n">
        <x:v>25</x:v>
      </x:c>
      <x:c r="D23" s="237" t="n">
        <x:v>20</x:v>
      </x:c>
      <x:c r="E23" s="237" t="n">
        <x:v>0</x:v>
      </x:c>
      <x:c r="F23" s="237" t="n">
        <x:v>20</x:v>
      </x:c>
      <x:c r="G23" s="238" t="n">
        <x:v>0</x:v>
      </x:c>
      <x:c r="H23" s="237" t="n">
        <x:v>0</x:v>
      </x:c>
      <x:c r="I23" s="163" t="n">
        <x:v>5</x:v>
      </x:c>
      <x:c r="J23" s="1"/>
      <x:c r="K23" s="198"/>
      <x:c r="L23" s="114"/>
      <x:c r="M23" s="114"/>
      <x:c r="N23" s="114"/>
      <x:c r="O23" s="114"/>
      <x:c r="P23" s="199"/>
      <x:c r="Q23" s="1"/>
      <x:c r="R23" s="1"/>
      <x:c r="S23" s="1"/>
      <x:c r="T23" s="1"/>
      <x:c r="U23" s="1"/>
      <x:c r="V23" s="1"/>
      <x:c r="W23" s="1"/>
      <x:c r="X23" s="1"/>
      <x:c r="Y23" s="1"/>
      <x:c r="Z23" s="1"/>
    </x:row>
    <x:row r="24" ht="46" customHeight="1">
      <x:c r="A24" s="162" t="str">
        <x:v>Claude Sonnet 5</x:v>
      </x:c>
      <x:c r="B24" s="237" t="str">
        <x:v>GAO preliminary observations</x:v>
      </x:c>
      <x:c r="C24" s="237" t="n">
        <x:v>14</x:v>
      </x:c>
      <x:c r="D24" s="237" t="n">
        <x:v>10</x:v>
      </x:c>
      <x:c r="E24" s="237" t="n">
        <x:v>6</x:v>
      </x:c>
      <x:c r="F24" s="237" t="n">
        <x:v>4</x:v>
      </x:c>
      <x:c r="G24" s="238" t="n">
        <x:v>0.6</x:v>
      </x:c>
      <x:c r="H24" s="237" t="n">
        <x:v>0</x:v>
      </x:c>
      <x:c r="I24" s="163" t="n">
        <x:v>4</x:v>
      </x:c>
      <x:c r="J24" s="1"/>
      <x:c r="K24" s="200"/>
      <x:c r="L24" s="293"/>
      <x:c r="M24" s="293"/>
      <x:c r="N24" s="293"/>
      <x:c r="O24" s="293"/>
      <x:c r="P24" s="201"/>
      <x:c r="Q24" s="1"/>
      <x:c r="R24" s="1"/>
      <x:c r="S24" s="1"/>
      <x:c r="T24" s="1"/>
      <x:c r="U24" s="1"/>
      <x:c r="V24" s="1"/>
      <x:c r="W24" s="1"/>
      <x:c r="X24" s="1"/>
      <x:c r="Y24" s="1"/>
      <x:c r="Z24" s="1"/>
    </x:row>
    <x:row r="25" ht="62" customHeight="1">
      <x:c r="A25" s="162" t="str">
        <x:v>Claude Sonnet 5</x:v>
      </x:c>
      <x:c r="B25" s="237" t="str">
        <x:v>Post-Katrina preparedness</x:v>
      </x:c>
      <x:c r="C25" s="237" t="n">
        <x:v>10</x:v>
      </x:c>
      <x:c r="D25" s="237" t="n">
        <x:v>9</x:v>
      </x:c>
      <x:c r="E25" s="237" t="n">
        <x:v>8</x:v>
      </x:c>
      <x:c r="F25" s="237" t="n">
        <x:v>1</x:v>
      </x:c>
      <x:c r="G25" s="238" t="n">
        <x:v>0.888889</x:v>
      </x:c>
      <x:c r="H25" s="237" t="n">
        <x:v>0</x:v>
      </x:c>
      <x:c r="I25" s="163" t="n">
        <x:v>1</x:v>
      </x:c>
      <x:c r="J25" s="1"/>
      <x:c r="K25" s="198"/>
      <x:c r="L25" s="114"/>
      <x:c r="M25" s="114"/>
      <x:c r="N25" s="114"/>
      <x:c r="O25" s="114"/>
      <x:c r="P25" s="199"/>
      <x:c r="Q25" s="1"/>
      <x:c r="R25" s="1"/>
      <x:c r="S25" s="1"/>
      <x:c r="T25" s="1"/>
      <x:c r="U25" s="1"/>
      <x:c r="V25" s="1"/>
      <x:c r="W25" s="1"/>
      <x:c r="X25" s="1"/>
      <x:c r="Y25" s="1"/>
      <x:c r="Z25" s="1"/>
    </x:row>
    <x:row r="26" ht="50" customHeight="1">
      <x:c r="A26" s="162" t="str">
        <x:v>GPT-5.4</x:v>
      </x:c>
      <x:c r="B26" s="237" t="str">
        <x:v>EPA lessons learned</x:v>
      </x:c>
      <x:c r="C26" s="237" t="n">
        <x:v>25</x:v>
      </x:c>
      <x:c r="D26" s="237" t="n">
        <x:v>20</x:v>
      </x:c>
      <x:c r="E26" s="237" t="n">
        <x:v>0</x:v>
      </x:c>
      <x:c r="F26" s="237" t="n">
        <x:v>20</x:v>
      </x:c>
      <x:c r="G26" s="238" t="n">
        <x:v>0</x:v>
      </x:c>
      <x:c r="H26" s="237" t="n">
        <x:v>0</x:v>
      </x:c>
      <x:c r="I26" s="163" t="n">
        <x:v>5</x:v>
      </x:c>
      <x:c r="J26" s="1"/>
      <x:c r="K26" s="356" t="str">
        <x:v>Question for domain adjudication: should new coordination routines, liaison roles, added staff, mobile laboratories, training, and updated procedures count as unlearning by themselves, or only when the passage also identifies the earlier approach being displaced?</x:v>
      </x:c>
      <x:c r="L26" s="357"/>
      <x:c r="M26" s="357"/>
      <x:c r="N26" s="357"/>
      <x:c r="O26" s="357"/>
      <x:c r="P26" s="358"/>
      <x:c r="Q26" s="1"/>
      <x:c r="R26" s="1"/>
      <x:c r="S26" s="1"/>
      <x:c r="T26" s="1"/>
      <x:c r="U26" s="1"/>
      <x:c r="V26" s="1"/>
      <x:c r="W26" s="1"/>
      <x:c r="X26" s="1"/>
      <x:c r="Y26" s="1"/>
      <x:c r="Z26" s="1"/>
    </x:row>
    <x:row r="27" ht="50" customHeight="1">
      <x:c r="A27" s="162" t="str">
        <x:v>GPT-5.4</x:v>
      </x:c>
      <x:c r="B27" s="237" t="str">
        <x:v>GAO preliminary observations</x:v>
      </x:c>
      <x:c r="C27" s="237" t="n">
        <x:v>14</x:v>
      </x:c>
      <x:c r="D27" s="237" t="n">
        <x:v>10</x:v>
      </x:c>
      <x:c r="E27" s="237" t="n">
        <x:v>4</x:v>
      </x:c>
      <x:c r="F27" s="237" t="n">
        <x:v>6</x:v>
      </x:c>
      <x:c r="G27" s="238" t="n">
        <x:v>0.4</x:v>
      </x:c>
      <x:c r="H27" s="237" t="n">
        <x:v>0</x:v>
      </x:c>
      <x:c r="I27" s="163" t="n">
        <x:v>4</x:v>
      </x:c>
      <x:c r="J27" s="1"/>
      <x:c r="K27" s="198"/>
      <x:c r="L27" s="114"/>
      <x:c r="M27" s="114"/>
      <x:c r="N27" s="114"/>
      <x:c r="O27" s="114"/>
      <x:c r="P27" s="199"/>
      <x:c r="Q27" s="1"/>
      <x:c r="R27" s="1"/>
      <x:c r="S27" s="1"/>
      <x:c r="T27" s="1"/>
      <x:c r="U27" s="1"/>
      <x:c r="V27" s="1"/>
      <x:c r="W27" s="1"/>
      <x:c r="X27" s="1"/>
      <x:c r="Y27" s="1"/>
      <x:c r="Z27" s="1"/>
    </x:row>
    <x:row r="28" ht="50" customHeight="1">
      <x:c r="A28" s="162" t="str">
        <x:v>GPT-5.4</x:v>
      </x:c>
      <x:c r="B28" s="237" t="str">
        <x:v>Post-Katrina preparedness</x:v>
      </x:c>
      <x:c r="C28" s="237" t="n">
        <x:v>10</x:v>
      </x:c>
      <x:c r="D28" s="237" t="n">
        <x:v>9</x:v>
      </x:c>
      <x:c r="E28" s="237" t="n">
        <x:v>7</x:v>
      </x:c>
      <x:c r="F28" s="237" t="n">
        <x:v>2</x:v>
      </x:c>
      <x:c r="G28" s="238" t="n">
        <x:v>0.777778</x:v>
      </x:c>
      <x:c r="H28" s="237" t="n">
        <x:v>0</x:v>
      </x:c>
      <x:c r="I28" s="163" t="n">
        <x:v>1</x:v>
      </x:c>
      <x:c r="J28" s="1"/>
      <x:c r="K28" s="196"/>
      <x:c r="L28" s="292"/>
      <x:c r="M28" s="292"/>
      <x:c r="N28" s="292"/>
      <x:c r="O28" s="292"/>
      <x:c r="P28" s="197"/>
      <x:c r="Q28" s="1"/>
      <x:c r="R28" s="1"/>
      <x:c r="S28" s="1"/>
      <x:c r="T28" s="1"/>
      <x:c r="U28" s="1"/>
      <x:c r="V28" s="1"/>
      <x:c r="W28" s="1"/>
      <x:c r="X28" s="1"/>
      <x:c r="Y28" s="1"/>
      <x:c r="Z28" s="1"/>
    </x:row>
    <x:row r="29" ht="50" customHeight="1">
      <x:c r="A29" s="162" t="str">
        <x:v>GPT-5.6 Terra</x:v>
      </x:c>
      <x:c r="B29" s="237" t="str">
        <x:v>EPA lessons learned</x:v>
      </x:c>
      <x:c r="C29" s="237" t="n">
        <x:v>25</x:v>
      </x:c>
      <x:c r="D29" s="237" t="n">
        <x:v>20</x:v>
      </x:c>
      <x:c r="E29" s="237" t="n">
        <x:v>0</x:v>
      </x:c>
      <x:c r="F29" s="237" t="n">
        <x:v>20</x:v>
      </x:c>
      <x:c r="G29" s="238" t="n">
        <x:v>0</x:v>
      </x:c>
      <x:c r="H29" s="237" t="n">
        <x:v>0</x:v>
      </x:c>
      <x:c r="I29" s="163" t="n">
        <x:v>5</x:v>
      </x:c>
      <x:c r="J29" s="1"/>
      <x:c r="K29" s="200"/>
      <x:c r="L29" s="293"/>
      <x:c r="M29" s="293"/>
      <x:c r="N29" s="293"/>
      <x:c r="O29" s="293"/>
      <x:c r="P29" s="201"/>
      <x:c r="Q29" s="1"/>
      <x:c r="R29" s="1"/>
      <x:c r="S29" s="1"/>
      <x:c r="T29" s="1"/>
      <x:c r="U29" s="1"/>
      <x:c r="V29" s="1"/>
      <x:c r="W29" s="1"/>
      <x:c r="X29" s="1"/>
      <x:c r="Y29" s="1"/>
      <x:c r="Z29" s="1"/>
    </x:row>
    <x:row r="30" ht="70" customHeight="1">
      <x:c r="A30" s="162" t="str">
        <x:v>GPT-5.6 Terra</x:v>
      </x:c>
      <x:c r="B30" s="237" t="str">
        <x:v>GAO preliminary observations</x:v>
      </x:c>
      <x:c r="C30" s="237" t="n">
        <x:v>14</x:v>
      </x:c>
      <x:c r="D30" s="237" t="n">
        <x:v>10</x:v>
      </x:c>
      <x:c r="E30" s="237" t="n">
        <x:v>5</x:v>
      </x:c>
      <x:c r="F30" s="237" t="n">
        <x:v>5</x:v>
      </x:c>
      <x:c r="G30" s="238" t="n">
        <x:v>0.5</x:v>
      </x:c>
      <x:c r="H30" s="237" t="n">
        <x:v>0</x:v>
      </x:c>
      <x:c r="I30" s="163" t="n">
        <x:v>4</x:v>
      </x:c>
      <x:c r="J30" s="1"/>
      <x:c r="K30" s="198"/>
      <x:c r="L30" s="114"/>
      <x:c r="M30" s="114"/>
      <x:c r="N30" s="114"/>
      <x:c r="O30" s="114"/>
      <x:c r="P30" s="199"/>
      <x:c r="Q30" s="1"/>
      <x:c r="R30" s="1"/>
      <x:c r="S30" s="1"/>
      <x:c r="T30" s="1"/>
      <x:c r="U30" s="1"/>
      <x:c r="V30" s="1"/>
      <x:c r="W30" s="1"/>
      <x:c r="X30" s="1"/>
      <x:c r="Y30" s="1"/>
      <x:c r="Z30" s="1"/>
    </x:row>
    <x:row r="31" ht="70" customHeight="1">
      <x:c r="A31" s="164" t="str">
        <x:v>GPT-5.6 Terra</x:v>
      </x:c>
      <x:c r="B31" s="239" t="str">
        <x:v>Post-Katrina preparedness</x:v>
      </x:c>
      <x:c r="C31" s="239" t="n">
        <x:v>10</x:v>
      </x:c>
      <x:c r="D31" s="239" t="n">
        <x:v>9</x:v>
      </x:c>
      <x:c r="E31" s="239" t="n">
        <x:v>4</x:v>
      </x:c>
      <x:c r="F31" s="239" t="n">
        <x:v>5</x:v>
      </x:c>
      <x:c r="G31" s="240" t="n">
        <x:v>0.444444</x:v>
      </x:c>
      <x:c r="H31" s="239" t="n">
        <x:v>0</x:v>
      </x:c>
      <x:c r="I31" s="165" t="n">
        <x:v>1</x:v>
      </x:c>
      <x:c r="J31" s="1"/>
      <x:c r="K31" s="198"/>
      <x:c r="L31" s="114"/>
      <x:c r="M31" s="114"/>
      <x:c r="N31" s="114"/>
      <x:c r="O31" s="114"/>
      <x:c r="P31" s="199"/>
      <x:c r="Q31" s="1"/>
      <x:c r="R31" s="1"/>
      <x:c r="S31" s="1"/>
      <x:c r="T31" s="1"/>
      <x:c r="U31" s="1"/>
      <x:c r="V31" s="1"/>
      <x:c r="W31" s="1"/>
      <x:c r="X31" s="1"/>
      <x:c r="Y31" s="1"/>
      <x:c r="Z31" s="1"/>
    </x:row>
    <x:row r="32" ht="70" customHeight="1">
      <x:c r="A32" s="1"/>
      <x:c r="B32" s="1"/>
      <x:c r="C32" s="1"/>
      <x:c r="D32" s="1"/>
      <x:c r="E32" s="1"/>
      <x:c r="F32" s="1"/>
      <x:c r="G32" s="1"/>
      <x:c r="H32" s="1"/>
      <x:c r="I32" s="1"/>
      <x:c r="J32" s="1"/>
      <x:c r="K32" s="198"/>
      <x:c r="L32" s="114"/>
      <x:c r="M32" s="114"/>
      <x:c r="N32" s="114"/>
      <x:c r="O32" s="114"/>
      <x:c r="P32" s="199"/>
      <x:c r="Q32" s="1"/>
      <x:c r="R32" s="1"/>
      <x:c r="S32" s="1"/>
      <x:c r="T32" s="1"/>
      <x:c r="U32" s="1"/>
      <x:c r="V32" s="1"/>
      <x:c r="W32" s="1"/>
      <x:c r="X32" s="1"/>
      <x:c r="Y32" s="1"/>
      <x:c r="Z32" s="1"/>
    </x:row>
    <x:row r="33" ht="70" customHeight="1">
      <x:c r="A33" s="1"/>
      <x:c r="B33" s="1"/>
      <x:c r="C33" s="1"/>
      <x:c r="D33" s="1"/>
      <x:c r="E33" s="1"/>
      <x:c r="F33" s="1"/>
      <x:c r="G33" s="1"/>
      <x:c r="H33" s="1"/>
      <x:c r="I33" s="1"/>
      <x:c r="J33" s="1"/>
      <x:c r="K33" s="200"/>
      <x:c r="L33" s="293"/>
      <x:c r="M33" s="293"/>
      <x:c r="N33" s="293"/>
      <x:c r="O33" s="293"/>
      <x:c r="P33" s="20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sheetData>
  <x:mergeCells>
    <x:mergeCell ref="A15:I15"/>
    <x:mergeCell ref="K15:P15"/>
    <x:mergeCell ref="A1:T1"/>
    <x:mergeCell ref="A2:T3"/>
    <x:mergeCell ref="K22:P24"/>
    <x:mergeCell ref="K26:P29"/>
  </x:mergeCells>
  <x:conditionalFormatting sqref="J6:J10">
    <x:cfRule type="dataBar" priority="1">
      <x:dataBar>
        <x:cfvo type="min"/>
        <x:cfvo type="max"/>
        <x:color rgb="FF2F75B5"/>
      </x:dataBar>
    </x:cfRule>
    <x:cfRule type="dataBar" priority="3">
      <x:dataBar>
        <x:cfvo type="min"/>
        <x:cfvo type="max"/>
        <x:color rgb="FF2F75B5"/>
      </x:dataBar>
      <x:extLst>
        <x:ext xmlns:x14="http://schemas.microsoft.com/office/spreadsheetml/2009/9/main" uri="{B025F937-C7B1-47D3-B67F-A62EFF666E3E}">
          <x14:id>{4A1C3431-3E56-AA89-59C8-D7D402C16C9D}</x14:id>
        </x:ext>
      </x:extLst>
    </x:cfRule>
  </x:conditionalFormatting>
  <x:conditionalFormatting sqref="L6:L10">
    <x:cfRule type="dataBar" priority="2">
      <x:dataBar>
        <x:cfvo type="min"/>
        <x:cfvo type="max"/>
        <x:color rgb="FF70AD47"/>
      </x:dataBar>
    </x:cfRule>
    <x:cfRule type="dataBar" priority="4">
      <x:dataBar>
        <x:cfvo type="min"/>
        <x:cfvo type="max"/>
        <x:color rgb="FF70AD47"/>
      </x:dataBar>
      <x:extLst>
        <x:ext xmlns:x14="http://schemas.microsoft.com/office/spreadsheetml/2009/9/main" uri="{B025F937-C7B1-47D3-B67F-A62EFF666E3E}">
          <x14:id>{8D589863-3CB1-9D01-643D-3E25749C1522}</x14:id>
        </x:ext>
      </x:extLst>
    </x:cfRule>
  </x:conditionalFormatting>
  <x:conditionalFormatting sqref="G17:G31">
    <x:cfRule type="colorScale" priority="5">
      <x:colorScale>
        <x:cfvo type="min"/>
        <x:cfvo type="percentile" val="50"/>
        <x:cfvo type="max"/>
        <x:color rgb="FFF4CCCC"/>
        <x:color rgb="FFFFF2CC"/>
        <x:color rgb="FFD9EAD3"/>
      </x:colorScale>
    </x:cfRule>
  </x:conditionalFormatting>
  <x:pageMargins left="0.7" right="0.7" top="0.75" bottom="0.75" header="0.3" footer="0.3"/>
  <x:drawing xmlns:r="http://schemas.openxmlformats.org/officeDocument/2006/relationships" r:id="R9929fee0521a4d6e"/>
  <x:tableParts count="1">
    <x:tablePart xmlns:r="http://schemas.openxmlformats.org/officeDocument/2006/relationships" r:id="R44b2fb90b25e4898"/>
  </x:tableParts>
  <x:extLst>
    <x:ext xmlns:x14="http://schemas.microsoft.com/office/spreadsheetml/2009/9/main" xmlns:xm="http://schemas.microsoft.com/office/excel/2006/main" uri="{78C0D931-6437-407d-A8EE-F0AAD7539E65}">
      <x14:conditionalFormattings>
        <x14:conditionalFormatting>
          <x14:cfRule type="dataBar" priority="3" id="{4A1C3431-3E56-AA89-59C8-D7D402C16C9D}">
            <x14:dataBar>
              <x14:cfvo type="min"/>
              <x14:cfvo type="max"/>
              <x14:fillColor rgb="FF2F75B5"/>
              <x14:negativeFillColor auto="1"/>
              <x14:axisColor auto="1"/>
            </x14:dataBar>
          </x14:cfRule>
          <xm:sqref>J6:J10</xm:sqref>
        </x14:conditionalFormatting>
        <x14:conditionalFormatting>
          <x14:cfRule type="dataBar" priority="4" id="{8D589863-3CB1-9D01-643D-3E25749C1522}">
            <x14:dataBar>
              <x14:cfvo type="min"/>
              <x14:cfvo type="max"/>
              <x14:fillColor rgb="FF70AD47"/>
              <x14:negativeFillColor auto="1"/>
              <x14:axisColor auto="1"/>
            </x14:dataBar>
          </x14:cfRule>
          <xm:sqref>L6:L10</xm:sqref>
        </x14:conditionalFormatting>
      </x14:conditionalFormattings>
    </x:ext>
  </x:extLst>
</x:worksheet>
</file>

<file path=xl/worksheets/sheet8.xml><?xml version="1.0" encoding="utf-8"?>
<x:worksheet xmlns:x="http://schemas.openxmlformats.org/spreadsheetml/2006/main">
  <x:sheetFormatPr defaultRowHeight="14"/>
  <x:cols>
    <x:col min="1" max="1" width="31" hidden="0" customWidth="1"/>
    <x:col min="2" max="2" width="40" hidden="0" customWidth="1"/>
    <x:col min="3" max="7" width="8" customWidth="1"/>
    <x:col min="8" max="12" width="13" customWidth="1"/>
    <x:col min="13" max="13" width="16" customWidth="1"/>
    <x:col min="14" max="14" width="12" customWidth="1"/>
    <x:col min="15" max="15" width="15" customWidth="1"/>
    <x:col min="16" max="16" width="13" customWidth="1"/>
    <x:col min="17" max="17" width="15" customWidth="1"/>
  </x:cols>
  <x:sheetData>
    <x:row r="1" ht="28" customHeight="1">
      <x:c r="A1" s="490" t="str">
        <x:v>Current-Codebook Local-Context Test</x:v>
      </x:c>
      <x:c r="B1" s="490"/>
      <x:c r="C1" s="490"/>
      <x:c r="D1" s="490"/>
      <x:c r="E1" s="490"/>
      <x:c r="F1" s="490"/>
      <x:c r="G1" s="490"/>
      <x:c r="H1" s="490"/>
      <x:c r="I1" s="490"/>
      <x:c r="J1" s="490"/>
      <x:c r="K1" s="490"/>
      <x:c r="L1" s="490"/>
      <x:c r="M1" s="490"/>
      <x:c r="N1" s="490"/>
      <x:c r="O1" s="490"/>
      <x:c r="P1" s="490"/>
      <x:c r="Q1" s="490"/>
      <x:c r="R1" s="6"/>
      <x:c r="S1" s="6"/>
      <x:c r="T1" s="6"/>
      <x:c r="U1" s="6"/>
      <x:c r="V1" s="6"/>
      <x:c r="W1" s="6"/>
      <x:c r="X1" s="6"/>
      <x:c r="Y1" s="6"/>
      <x:c r="Z1" s="6"/>
    </x:row>
    <x:row r="2" ht="20" customHeight="1">
      <x:c r="A2" s="491" t="str">
        <x:v>The evaluation set contains 42 unique, leakage-free passages: 32 human-coded Yes and 10 human-coded No. Three provider models classified each target paragraph together with surrounding source context.</x:v>
      </x:c>
      <x:c r="B2" s="491"/>
      <x:c r="C2" s="491"/>
      <x:c r="D2" s="491"/>
      <x:c r="E2" s="491"/>
      <x:c r="F2" s="491"/>
      <x:c r="G2" s="491"/>
      <x:c r="H2" s="491"/>
      <x:c r="I2" s="491"/>
      <x:c r="J2" s="491"/>
      <x:c r="K2" s="491"/>
      <x:c r="L2" s="491"/>
      <x:c r="M2" s="491"/>
      <x:c r="N2" s="491"/>
      <x:c r="O2" s="491"/>
      <x:c r="P2" s="491"/>
      <x:c r="Q2" s="491"/>
      <x:c r="R2" s="1"/>
      <x:c r="S2" s="1"/>
      <x:c r="T2" s="1"/>
      <x:c r="U2" s="1"/>
      <x:c r="V2" s="1"/>
      <x:c r="W2" s="1"/>
      <x:c r="X2" s="1"/>
      <x:c r="Y2" s="1"/>
      <x:c r="Z2" s="1"/>
    </x:row>
    <x:row r="3" ht="20" customHeight="1">
      <x:c r="A3" s="491"/>
      <x:c r="B3" s="491"/>
      <x:c r="C3" s="491"/>
      <x:c r="D3" s="491"/>
      <x:c r="E3" s="491"/>
      <x:c r="F3" s="491"/>
      <x:c r="G3" s="491"/>
      <x:c r="H3" s="491"/>
      <x:c r="I3" s="491"/>
      <x:c r="J3" s="491"/>
      <x:c r="K3" s="491"/>
      <x:c r="L3" s="491"/>
      <x:c r="M3" s="491"/>
      <x:c r="N3" s="491"/>
      <x:c r="O3" s="491"/>
      <x:c r="P3" s="491"/>
      <x:c r="Q3" s="49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35" t="s">
        <x:v>22</x:v>
      </x:c>
      <x:c r="B5" s="37" t="s">
        <x:v>23</x:v>
      </x:c>
      <x:c r="C5" s="37" t="s">
        <x:v>128</x:v>
      </x:c>
      <x:c r="D5" s="37" t="s">
        <x:v>129</x:v>
      </x:c>
      <x:c r="E5" s="37" t="s">
        <x:v>130</x:v>
      </x:c>
      <x:c r="F5" s="37" t="s">
        <x:v>131</x:v>
      </x:c>
      <x:c r="G5" s="37" t="s">
        <x:v>132</x:v>
      </x:c>
      <x:c r="H5" s="37" t="s">
        <x:v>26</x:v>
      </x:c>
      <x:c r="I5" s="37" t="s">
        <x:v>133</x:v>
      </x:c>
      <x:c r="J5" s="37" t="s">
        <x:v>56</x:v>
      </x:c>
      <x:c r="K5" s="37" t="s">
        <x:v>134</x:v>
      </x:c>
      <x:c r="L5" s="37" t="s">
        <x:v>27</x:v>
      </x:c>
      <x:c r="M5" s="37" t="s">
        <x:v>135</x:v>
      </x:c>
      <x:c r="N5" s="37" t="s">
        <x:v>136</x:v>
      </x:c>
      <x:c r="O5" s="37" t="s">
        <x:v>137</x:v>
      </x:c>
      <x:c r="P5" s="37" t="s">
        <x:v>113</x:v>
      </x:c>
      <x:c r="Q5" s="36" t="s">
        <x:v>138</x:v>
      </x:c>
      <x:c r="R5" s="1"/>
      <x:c r="S5" s="1"/>
      <x:c r="T5" s="1"/>
      <x:c r="U5" s="1"/>
      <x:c r="V5" s="1"/>
      <x:c r="W5" s="1"/>
      <x:c r="X5" s="1"/>
      <x:c r="Y5" s="1"/>
      <x:c r="Z5" s="1"/>
    </x:row>
    <x:row r="6">
      <x:c r="A6" s="7" t="s">
        <x:v>35</x:v>
      </x:c>
      <x:c r="B6" s="1" t="s">
        <x:v>36</x:v>
      </x:c>
      <x:c r="C6" s="1">
        <x:v>42</x:v>
      </x:c>
      <x:c r="D6" s="1">
        <x:v>9</x:v>
      </x:c>
      <x:c r="E6" s="1">
        <x:v>10</x:v>
      </x:c>
      <x:c r="F6" s="1">
        <x:v>0</x:v>
      </x:c>
      <x:c r="G6" s="1">
        <x:v>23</x:v>
      </x:c>
      <x:c r="H6" s="8" t="n">
        <x:f>(D6+E6)/C6</x:f>
        <x:v>0.4523809523809524</x:v>
      </x:c>
      <x:c r="I6" s="8" t="n">
        <x:f>IF((D6+F6)=0,0,D6/(D6+F6))</x:f>
        <x:v>1</x:v>
      </x:c>
      <x:c r="J6" s="8" t="n">
        <x:f>IF((D6+G6)=0,0,D6/(D6+G6))</x:f>
        <x:v>0.28125</x:v>
      </x:c>
      <x:c r="K6" s="8" t="n">
        <x:f>IF((E6+F6)=0,0,E6/(E6+F6))</x:f>
        <x:v>1</x:v>
      </x:c>
      <x:c r="L6" s="8" t="n">
        <x:f>IF((2*D6+F6+G6)=0,0,2*D6/(2*D6+F6+G6))</x:f>
        <x:v>0.43902439024390244</x:v>
      </x:c>
      <x:c r="M6" s="8" t="n">
        <x:f>(J6+K6)/2</x:f>
        <x:v>0.640625</x:v>
      </x:c>
      <x:c r="N6" s="8" t="n">
        <x:f>(H6-(((D6+G6)*(D6+F6)+(E6+F6)*(E6+G6))/(C6*C6)))/(1-(((D6+G6)*(D6+F6)+(E6+F6)*(E6+G6))/(C6*C6)))</x:f>
        <x:v>0.15706806282722516</x:v>
      </x:c>
      <x:c r="O6" s="8">
        <x:v>0.71952400000000005</x:v>
      </x:c>
      <x:c r="P6" s="27">
        <x:v>0.64254999999999995</x:v>
      </x:c>
      <x:c r="Q6" s="28">
        <x:v>4.6415280000000001</x:v>
      </x:c>
      <x:c r="R6" s="1"/>
      <x:c r="S6" s="1"/>
      <x:c r="T6" s="1"/>
      <x:c r="U6" s="1"/>
      <x:c r="V6" s="1"/>
      <x:c r="W6" s="1"/>
      <x:c r="X6" s="1"/>
      <x:c r="Y6" s="1"/>
      <x:c r="Z6" s="1"/>
    </x:row>
    <x:row r="7">
      <x:c r="A7" s="7" t="s">
        <x:v>32</x:v>
      </x:c>
      <x:c r="B7" s="1" t="s">
        <x:v>33</x:v>
      </x:c>
      <x:c r="C7" s="1">
        <x:v>42</x:v>
      </x:c>
      <x:c r="D7" s="1">
        <x:v>14</x:v>
      </x:c>
      <x:c r="E7" s="1">
        <x:v>9</x:v>
      </x:c>
      <x:c r="F7" s="1">
        <x:v>1</x:v>
      </x:c>
      <x:c r="G7" s="1">
        <x:v>18</x:v>
      </x:c>
      <x:c r="H7" s="8" t="n">
        <x:f>(D7+E7)/C7</x:f>
        <x:v>0.5476190476190477</x:v>
      </x:c>
      <x:c r="I7" s="8" t="n">
        <x:f>IF((D7+F7)=0,0,D7/(D7+F7))</x:f>
        <x:v>0.9333333333333333</x:v>
      </x:c>
      <x:c r="J7" s="8" t="n">
        <x:f>IF((D7+G7)=0,0,D7/(D7+G7))</x:f>
        <x:v>0.4375</x:v>
      </x:c>
      <x:c r="K7" s="8" t="n">
        <x:f>IF((E7+F7)=0,0,E7/(E7+F7))</x:f>
        <x:v>0.9</x:v>
      </x:c>
      <x:c r="L7" s="8" t="n">
        <x:f>IF((2*D7+F7+G7)=0,0,2*D7/(2*D7+F7+G7))</x:f>
        <x:v>0.5957446808510638</x:v>
      </x:c>
      <x:c r="M7" s="8" t="n">
        <x:f>(J7+K7)/2</x:f>
        <x:v>0.66875</x:v>
      </x:c>
      <x:c r="N7" s="8" t="n">
        <x:f>(H7-(((D7+G7)*(D7+F7)+(E7+F7)*(E7+G7))/(C7*C7)))/(1-(((D7+G7)*(D7+F7)+(E7+F7)*(E7+G7))/(C7*C7)))</x:f>
        <x:v>0.21301775147929006</x:v>
      </x:c>
      <x:c r="O7" s="8">
        <x:v>0.92618999999999996</x:v>
      </x:c>
      <x:c r="P7" s="27">
        <x:v>0.14049800000000001</x:v>
      </x:c>
      <x:c r="Q7" s="28">
        <x:v>1.0979319999999999</x:v>
      </x:c>
      <x:c r="R7" s="1"/>
      <x:c r="S7" s="1"/>
      <x:c r="T7" s="1"/>
      <x:c r="U7" s="1"/>
      <x:c r="V7" s="1"/>
      <x:c r="W7" s="1"/>
      <x:c r="X7" s="1"/>
      <x:c r="Y7" s="1"/>
      <x:c r="Z7" s="1"/>
    </x:row>
    <x:row r="8">
      <x:c r="A8" s="10" t="s">
        <x:v>29</x:v>
      </x:c>
      <x:c r="B8" s="11" t="s">
        <x:v>30</x:v>
      </x:c>
      <x:c r="C8" s="11">
        <x:v>42</x:v>
      </x:c>
      <x:c r="D8" s="11">
        <x:v>7</x:v>
      </x:c>
      <x:c r="E8" s="11">
        <x:v>10</x:v>
      </x:c>
      <x:c r="F8" s="11">
        <x:v>0</x:v>
      </x:c>
      <x:c r="G8" s="11">
        <x:v>25</x:v>
      </x:c>
      <x:c r="H8" s="12" t="n">
        <x:f>(D8+E8)/C8</x:f>
        <x:v>0.40476190476190477</x:v>
      </x:c>
      <x:c r="I8" s="12" t="n">
        <x:f>IF((D8+F8)=0,0,D8/(D8+F8))</x:f>
        <x:v>1</x:v>
      </x:c>
      <x:c r="J8" s="12" t="n">
        <x:f>IF((D8+G8)=0,0,D8/(D8+G8))</x:f>
        <x:v>0.21875</x:v>
      </x:c>
      <x:c r="K8" s="12" t="n">
        <x:f>IF((E8+F8)=0,0,E8/(E8+F8))</x:f>
        <x:v>1</x:v>
      </x:c>
      <x:c r="L8" s="12" t="n">
        <x:f>IF((2*D8+F8+G8)=0,0,2*D8/(2*D8+F8+G8))</x:f>
        <x:v>0.358974358974359</x:v>
      </x:c>
      <x:c r="M8" s="12" t="n">
        <x:f>(J8+K8)/2</x:f>
        <x:v>0.609375</x:v>
      </x:c>
      <x:c r="N8" s="12" t="n">
        <x:f>(H8-(((D8+G8)*(D8+F8)+(E8+F8)*(E8+G8))/(C8*C8)))/(1-(((D8+G8)*(D8+F8)+(E8+F8)*(E8+G8))/(C8*C8)))</x:f>
        <x:v>0.1176470588235294</x:v>
      </x:c>
      <x:c r="O8" s="12">
        <x:v>0.93071400000000004</x:v>
      </x:c>
      <x:c r="P8" s="29">
        <x:v>4.2165000000000001E-2</x:v>
      </x:c>
      <x:c r="Q8" s="30">
        <x:v>3.8071510000000002</x:v>
      </x:c>
      <x:c r="R8" s="1"/>
      <x:c r="S8" s="1"/>
      <x:c r="T8" s="1"/>
      <x:c r="U8" s="1"/>
      <x:c r="V8" s="1"/>
      <x:c r="W8" s="1"/>
      <x:c r="X8" s="1"/>
      <x:c r="Y8" s="1"/>
      <x:c r="Z8" s="1"/>
    </x:row>
    <x:row r="9">
      <x:c r="A9" s="1"/>
      <x:c r="B9" s="1"/>
      <x:c r="C9" s="1"/>
      <x:c r="D9" s="1"/>
      <x:c r="E9" s="1"/>
      <x:c r="F9" s="1"/>
      <x:c r="G9" s="1"/>
      <x:c r="H9" s="1"/>
      <x:c r="I9" s="1"/>
      <x:c r="J9" s="1"/>
      <x:c r="K9" s="1"/>
      <x:c r="L9" s="1"/>
      <x:c r="M9" s="1"/>
      <x:c r="N9" s="1"/>
      <x:c r="O9" s="1"/>
      <x:c r="P9" s="1"/>
      <x:c r="Q9" s="1"/>
      <x:c r="R9" s="1"/>
      <x:c r="S9" s="1"/>
      <x:c r="T9" s="1"/>
      <x:c r="U9" s="1"/>
      <x:c r="V9" s="1"/>
      <x:c r="W9" s="1"/>
      <x:c r="X9" s="1"/>
      <x:c r="Y9" s="1"/>
      <x:c r="Z9" s="1"/>
    </x:row>
    <x:row r="10">
      <x:c r="A10" s="1"/>
      <x:c r="B10" s="1"/>
      <x:c r="C10" s="1"/>
      <x:c r="D10" s="1"/>
      <x:c r="E10" s="1"/>
      <x:c r="F10" s="1"/>
      <x:c r="G10" s="1"/>
      <x:c r="H10" s="1"/>
      <x:c r="I10" s="1"/>
      <x:c r="J10" s="1"/>
      <x:c r="K10" s="1"/>
      <x:c r="L10" s="1"/>
      <x:c r="M10" s="1"/>
      <x:c r="N10" s="1"/>
      <x:c r="O10" s="1"/>
      <x:c r="P10" s="1"/>
      <x:c r="Q10" s="1"/>
      <x:c r="R10" s="1"/>
      <x:c r="S10" s="1"/>
      <x:c r="T10" s="1"/>
      <x:c r="U10" s="1"/>
      <x:c r="V10" s="1"/>
      <x:c r="W10" s="1"/>
      <x:c r="X10" s="1"/>
      <x:c r="Y10" s="1"/>
      <x:c r="Z10" s="1"/>
    </x:row>
    <x:row r="11">
      <x:c r="A11" s="35" t="s">
        <x:v>142</x:v>
      </x:c>
      <x:c r="B11" s="37" t="s">
        <x:v>23</x:v>
      </x:c>
      <x:c r="C11" s="37" t="s">
        <x:v>128</x:v>
      </x:c>
      <x:c r="D11" s="37" t="s">
        <x:v>129</x:v>
      </x:c>
      <x:c r="E11" s="37" t="s">
        <x:v>130</x:v>
      </x:c>
      <x:c r="F11" s="37" t="s">
        <x:v>131</x:v>
      </x:c>
      <x:c r="G11" s="37" t="s">
        <x:v>132</x:v>
      </x:c>
      <x:c r="H11" s="37" t="s">
        <x:v>26</x:v>
      </x:c>
      <x:c r="I11" s="37" t="s">
        <x:v>133</x:v>
      </x:c>
      <x:c r="J11" s="37" t="s">
        <x:v>56</x:v>
      </x:c>
      <x:c r="K11" s="37" t="s">
        <x:v>134</x:v>
      </x:c>
      <x:c r="L11" s="37" t="s">
        <x:v>27</x:v>
      </x:c>
      <x:c r="M11" s="37" t="s">
        <x:v>135</x:v>
      </x:c>
      <x:c r="N11" s="36" t="s">
        <x:v>136</x:v>
      </x:c>
      <x:c r="O11" s="1"/>
      <x:c r="P11" s="1"/>
      <x:c r="Q11" s="1"/>
      <x:c r="R11" s="1"/>
      <x:c r="S11" s="1"/>
      <x:c r="T11" s="1"/>
      <x:c r="U11" s="1"/>
      <x:c r="V11" s="1"/>
      <x:c r="W11" s="1"/>
      <x:c r="X11" s="1"/>
      <x:c r="Y11" s="1"/>
      <x:c r="Z11" s="1"/>
    </x:row>
    <x:row r="12" ht="20" customHeight="1">
      <x:c r="A12" s="2" t="s">
        <x:v>143</x:v>
      </x:c>
      <x:c r="B12" s="16" t="s">
        <x:v>36</x:v>
      </x:c>
      <x:c r="C12" s="16">
        <x:v>14</x:v>
      </x:c>
      <x:c r="D12" s="16">
        <x:v>5</x:v>
      </x:c>
      <x:c r="E12" s="16">
        <x:v>4</x:v>
      </x:c>
      <x:c r="F12" s="16">
        <x:v>0</x:v>
      </x:c>
      <x:c r="G12" s="16">
        <x:v>5</x:v>
      </x:c>
      <x:c r="H12" s="19" t="n">
        <x:f t="shared" ref="H12:H20" si="0">(D12+E12)/C12</x:f>
        <x:v>0.6428571428571429</x:v>
      </x:c>
      <x:c r="I12" s="19" t="n">
        <x:f t="shared" ref="I12:I20" si="1">IF((D12+F12)=0,0,D12/(D12+F12))</x:f>
        <x:v>1</x:v>
      </x:c>
      <x:c r="J12" s="19" t="n">
        <x:f t="shared" ref="J12:J20" si="2">IF((D12+G12)=0,0,D12/(D12+G12))</x:f>
        <x:v>0.5</x:v>
      </x:c>
      <x:c r="K12" s="19" t="n">
        <x:f t="shared" ref="K12:K20" si="3">IF((E12+F12)=0,0,E12/(E12+F12))</x:f>
        <x:v>1</x:v>
      </x:c>
      <x:c r="L12" s="19" t="n">
        <x:f t="shared" ref="L12:L20" si="4">IF((2*D12+F12+G12)=0,0,2*D12/(2*D12+F12+G12))</x:f>
        <x:v>0.6666666666666666</x:v>
      </x:c>
      <x:c r="M12" s="19" t="n">
        <x:f t="shared" ref="M12:M20" si="5">(J12+K12)/2</x:f>
        <x:v>0.75</x:v>
      </x:c>
      <x:c r="N12" s="31" t="n">
        <x:f t="shared" ref="N12:N20" si="6">(H12-(((D12+G12)*(D12+F12)+(E12+F12)*(E12+G12))/(C12*C12)))/(1-(((D12+G12)*(D12+F12)+(E12+F12)*(E12+G12))/(C12*C12)))</x:f>
        <x:v>0.3636363636363637</x:v>
      </x:c>
      <x:c r="O12" s="1"/>
      <x:c r="P12" s="1"/>
      <x:c r="Q12" s="1"/>
      <x:c r="R12" s="1"/>
      <x:c r="S12" s="1"/>
      <x:c r="T12" s="1"/>
      <x:c r="U12" s="1"/>
      <x:c r="V12" s="1"/>
      <x:c r="W12" s="1"/>
      <x:c r="X12" s="1"/>
      <x:c r="Y12" s="1"/>
      <x:c r="Z12" s="1"/>
    </x:row>
    <x:row r="13" ht="20" customHeight="1">
      <x:c r="A13" s="2" t="s">
        <x:v>143</x:v>
      </x:c>
      <x:c r="B13" s="16" t="s">
        <x:v>33</x:v>
      </x:c>
      <x:c r="C13" s="16">
        <x:v>14</x:v>
      </x:c>
      <x:c r="D13" s="16">
        <x:v>8</x:v>
      </x:c>
      <x:c r="E13" s="16">
        <x:v>4</x:v>
      </x:c>
      <x:c r="F13" s="16">
        <x:v>0</x:v>
      </x:c>
      <x:c r="G13" s="16">
        <x:v>2</x:v>
      </x:c>
      <x:c r="H13" s="19">
        <x:f t="shared" si="0"/>
        <x:v>0.8571428571428571</x:v>
      </x:c>
      <x:c r="I13" s="19">
        <x:f t="shared" si="1"/>
        <x:v>1</x:v>
      </x:c>
      <x:c r="J13" s="19">
        <x:f t="shared" si="2"/>
        <x:v>0.8</x:v>
      </x:c>
      <x:c r="K13" s="19">
        <x:f t="shared" si="3"/>
        <x:v>1</x:v>
      </x:c>
      <x:c r="L13" s="19">
        <x:f t="shared" si="4"/>
        <x:v>0.88888888888888884</x:v>
      </x:c>
      <x:c r="M13" s="19">
        <x:f t="shared" si="5"/>
        <x:v>0.9</x:v>
      </x:c>
      <x:c r="N13" s="31">
        <x:f t="shared" si="6"/>
        <x:v>0.69565217391304335</x:v>
      </x:c>
      <x:c r="O13" s="1"/>
      <x:c r="P13" s="1"/>
      <x:c r="Q13" s="1"/>
      <x:c r="R13" s="1"/>
      <x:c r="S13" s="1"/>
      <x:c r="T13" s="1"/>
      <x:c r="U13" s="1"/>
      <x:c r="V13" s="1"/>
      <x:c r="W13" s="1"/>
      <x:c r="X13" s="1"/>
      <x:c r="Y13" s="1"/>
      <x:c r="Z13" s="1"/>
    </x:row>
    <x:row r="14" ht="20" customHeight="1">
      <x:c r="A14" s="2" t="s">
        <x:v>143</x:v>
      </x:c>
      <x:c r="B14" s="16" t="s">
        <x:v>30</x:v>
      </x:c>
      <x:c r="C14" s="16">
        <x:v>14</x:v>
      </x:c>
      <x:c r="D14" s="16">
        <x:v>4</x:v>
      </x:c>
      <x:c r="E14" s="16">
        <x:v>4</x:v>
      </x:c>
      <x:c r="F14" s="16">
        <x:v>0</x:v>
      </x:c>
      <x:c r="G14" s="16">
        <x:v>6</x:v>
      </x:c>
      <x:c r="H14" s="19">
        <x:f t="shared" si="0"/>
        <x:v>0.5714285714285714</x:v>
      </x:c>
      <x:c r="I14" s="19">
        <x:f t="shared" si="1"/>
        <x:v>1</x:v>
      </x:c>
      <x:c r="J14" s="19">
        <x:f t="shared" si="2"/>
        <x:v>0.4</x:v>
      </x:c>
      <x:c r="K14" s="19">
        <x:f t="shared" si="3"/>
        <x:v>1</x:v>
      </x:c>
      <x:c r="L14" s="19">
        <x:f t="shared" si="4"/>
        <x:v>0.5714285714285714</x:v>
      </x:c>
      <x:c r="M14" s="19">
        <x:f t="shared" si="5"/>
        <x:v>0.7</x:v>
      </x:c>
      <x:c r="N14" s="31">
        <x:f t="shared" si="6"/>
        <x:v>0.27586206896551718</x:v>
      </x:c>
      <x:c r="O14" s="1"/>
      <x:c r="P14" s="1"/>
      <x:c r="Q14" s="1"/>
      <x:c r="R14" s="1"/>
      <x:c r="S14" s="1"/>
      <x:c r="T14" s="1"/>
      <x:c r="U14" s="1"/>
      <x:c r="V14" s="1"/>
      <x:c r="W14" s="1"/>
      <x:c r="X14" s="1"/>
      <x:c r="Y14" s="1"/>
      <x:c r="Z14" s="1"/>
    </x:row>
    <x:row r="15" ht="20" customHeight="1">
      <x:c r="A15" s="2" t="s">
        <x:v>144</x:v>
      </x:c>
      <x:c r="B15" s="16" t="s">
        <x:v>36</x:v>
      </x:c>
      <x:c r="C15" s="16">
        <x:v>21</x:v>
      </x:c>
      <x:c r="D15" s="16">
        <x:v>0</x:v>
      </x:c>
      <x:c r="E15" s="16">
        <x:v>5</x:v>
      </x:c>
      <x:c r="F15" s="16">
        <x:v>0</x:v>
      </x:c>
      <x:c r="G15" s="16">
        <x:v>16</x:v>
      </x:c>
      <x:c r="H15" s="19">
        <x:f t="shared" si="0"/>
        <x:v>0.23809523809523808</x:v>
      </x:c>
      <x:c r="I15" s="19">
        <x:f t="shared" si="1"/>
        <x:v>0</x:v>
      </x:c>
      <x:c r="J15" s="19">
        <x:f t="shared" si="2"/>
        <x:v>0</x:v>
      </x:c>
      <x:c r="K15" s="19">
        <x:f t="shared" si="3"/>
        <x:v>1</x:v>
      </x:c>
      <x:c r="L15" s="19">
        <x:f t="shared" si="4"/>
        <x:v>0</x:v>
      </x:c>
      <x:c r="M15" s="19">
        <x:f t="shared" si="5"/>
        <x:v>0.5</x:v>
      </x:c>
      <x:c r="N15" s="31">
        <x:f t="shared" si="6"/>
        <x:v>0</x:v>
      </x:c>
      <x:c r="O15" s="1"/>
      <x:c r="P15" s="1"/>
      <x:c r="Q15" s="1"/>
      <x:c r="R15" s="1"/>
      <x:c r="S15" s="1"/>
      <x:c r="T15" s="1"/>
      <x:c r="U15" s="1"/>
      <x:c r="V15" s="1"/>
      <x:c r="W15" s="1"/>
      <x:c r="X15" s="1"/>
      <x:c r="Y15" s="1"/>
      <x:c r="Z15" s="1"/>
    </x:row>
    <x:row r="16" ht="20" customHeight="1">
      <x:c r="A16" s="2" t="s">
        <x:v>144</x:v>
      </x:c>
      <x:c r="B16" s="16" t="s">
        <x:v>33</x:v>
      </x:c>
      <x:c r="C16" s="16">
        <x:v>21</x:v>
      </x:c>
      <x:c r="D16" s="16">
        <x:v>0</x:v>
      </x:c>
      <x:c r="E16" s="16">
        <x:v>5</x:v>
      </x:c>
      <x:c r="F16" s="16">
        <x:v>0</x:v>
      </x:c>
      <x:c r="G16" s="16">
        <x:v>16</x:v>
      </x:c>
      <x:c r="H16" s="19">
        <x:f t="shared" si="0"/>
        <x:v>0.23809523809523808</x:v>
      </x:c>
      <x:c r="I16" s="19">
        <x:f t="shared" si="1"/>
        <x:v>0</x:v>
      </x:c>
      <x:c r="J16" s="19">
        <x:f t="shared" si="2"/>
        <x:v>0</x:v>
      </x:c>
      <x:c r="K16" s="19">
        <x:f t="shared" si="3"/>
        <x:v>1</x:v>
      </x:c>
      <x:c r="L16" s="19">
        <x:f t="shared" si="4"/>
        <x:v>0</x:v>
      </x:c>
      <x:c r="M16" s="19">
        <x:f t="shared" si="5"/>
        <x:v>0.5</x:v>
      </x:c>
      <x:c r="N16" s="31">
        <x:f t="shared" si="6"/>
        <x:v>0</x:v>
      </x:c>
      <x:c r="O16" s="1"/>
      <x:c r="P16" s="1"/>
      <x:c r="Q16" s="1"/>
      <x:c r="R16" s="1"/>
      <x:c r="S16" s="1"/>
      <x:c r="T16" s="1"/>
      <x:c r="U16" s="1"/>
      <x:c r="V16" s="1"/>
      <x:c r="W16" s="1"/>
      <x:c r="X16" s="1"/>
      <x:c r="Y16" s="1"/>
      <x:c r="Z16" s="1"/>
    </x:row>
    <x:row r="17" ht="20" customHeight="1">
      <x:c r="A17" s="2" t="s">
        <x:v>144</x:v>
      </x:c>
      <x:c r="B17" s="16" t="s">
        <x:v>30</x:v>
      </x:c>
      <x:c r="C17" s="16">
        <x:v>21</x:v>
      </x:c>
      <x:c r="D17" s="16">
        <x:v>0</x:v>
      </x:c>
      <x:c r="E17" s="16">
        <x:v>5</x:v>
      </x:c>
      <x:c r="F17" s="16">
        <x:v>0</x:v>
      </x:c>
      <x:c r="G17" s="16">
        <x:v>16</x:v>
      </x:c>
      <x:c r="H17" s="19">
        <x:f t="shared" si="0"/>
        <x:v>0.23809523809523808</x:v>
      </x:c>
      <x:c r="I17" s="19">
        <x:f t="shared" si="1"/>
        <x:v>0</x:v>
      </x:c>
      <x:c r="J17" s="19">
        <x:f t="shared" si="2"/>
        <x:v>0</x:v>
      </x:c>
      <x:c r="K17" s="19">
        <x:f t="shared" si="3"/>
        <x:v>1</x:v>
      </x:c>
      <x:c r="L17" s="19">
        <x:f t="shared" si="4"/>
        <x:v>0</x:v>
      </x:c>
      <x:c r="M17" s="19">
        <x:f t="shared" si="5"/>
        <x:v>0.5</x:v>
      </x:c>
      <x:c r="N17" s="31">
        <x:f t="shared" si="6"/>
        <x:v>0</x:v>
      </x:c>
      <x:c r="O17" s="1"/>
      <x:c r="P17" s="1"/>
      <x:c r="Q17" s="1"/>
      <x:c r="R17" s="1"/>
      <x:c r="S17" s="1"/>
      <x:c r="T17" s="1"/>
      <x:c r="U17" s="1"/>
      <x:c r="V17" s="1"/>
      <x:c r="W17" s="1"/>
      <x:c r="X17" s="1"/>
      <x:c r="Y17" s="1"/>
      <x:c r="Z17" s="1"/>
    </x:row>
    <x:row r="18" ht="20" customHeight="1">
      <x:c r="A18" s="2" t="s">
        <x:v>145</x:v>
      </x:c>
      <x:c r="B18" s="16" t="s">
        <x:v>36</x:v>
      </x:c>
      <x:c r="C18" s="16">
        <x:v>7</x:v>
      </x:c>
      <x:c r="D18" s="16">
        <x:v>4</x:v>
      </x:c>
      <x:c r="E18" s="16">
        <x:v>1</x:v>
      </x:c>
      <x:c r="F18" s="16">
        <x:v>0</x:v>
      </x:c>
      <x:c r="G18" s="16">
        <x:v>2</x:v>
      </x:c>
      <x:c r="H18" s="19">
        <x:f t="shared" si="0"/>
        <x:v>0.7142857142857143</x:v>
      </x:c>
      <x:c r="I18" s="19">
        <x:f t="shared" si="1"/>
        <x:v>1</x:v>
      </x:c>
      <x:c r="J18" s="19">
        <x:f t="shared" si="2"/>
        <x:v>0.66666666666666663</x:v>
      </x:c>
      <x:c r="K18" s="19">
        <x:f t="shared" si="3"/>
        <x:v>1</x:v>
      </x:c>
      <x:c r="L18" s="19">
        <x:f t="shared" si="4"/>
        <x:v>0.8</x:v>
      </x:c>
      <x:c r="M18" s="19">
        <x:f t="shared" si="5"/>
        <x:v>0.83333333333333326</x:v>
      </x:c>
      <x:c r="N18" s="31">
        <x:f t="shared" si="6"/>
        <x:v>0.36363636363636376</x:v>
      </x:c>
      <x:c r="O18" s="1"/>
      <x:c r="P18" s="1"/>
      <x:c r="Q18" s="1"/>
      <x:c r="R18" s="1"/>
      <x:c r="S18" s="1"/>
      <x:c r="T18" s="1"/>
      <x:c r="U18" s="1"/>
      <x:c r="V18" s="1"/>
      <x:c r="W18" s="1"/>
      <x:c r="X18" s="1"/>
      <x:c r="Y18" s="1"/>
      <x:c r="Z18" s="1"/>
    </x:row>
    <x:row r="19" ht="20" customHeight="1">
      <x:c r="A19" s="2" t="s">
        <x:v>145</x:v>
      </x:c>
      <x:c r="B19" s="16" t="s">
        <x:v>33</x:v>
      </x:c>
      <x:c r="C19" s="16">
        <x:v>7</x:v>
      </x:c>
      <x:c r="D19" s="16">
        <x:v>6</x:v>
      </x:c>
      <x:c r="E19" s="16">
        <x:v>0</x:v>
      </x:c>
      <x:c r="F19" s="16">
        <x:v>1</x:v>
      </x:c>
      <x:c r="G19" s="16">
        <x:v>0</x:v>
      </x:c>
      <x:c r="H19" s="19">
        <x:f t="shared" si="0"/>
        <x:v>0.8571428571428571</x:v>
      </x:c>
      <x:c r="I19" s="19">
        <x:f t="shared" si="1"/>
        <x:v>0.8571428571428571</x:v>
      </x:c>
      <x:c r="J19" s="19">
        <x:f t="shared" si="2"/>
        <x:v>1</x:v>
      </x:c>
      <x:c r="K19" s="19">
        <x:f t="shared" si="3"/>
        <x:v>0</x:v>
      </x:c>
      <x:c r="L19" s="19">
        <x:f t="shared" si="4"/>
        <x:v>0.92307692307692313</x:v>
      </x:c>
      <x:c r="M19" s="19">
        <x:f t="shared" si="5"/>
        <x:v>0.5</x:v>
      </x:c>
      <x:c r="N19" s="31">
        <x:f t="shared" si="6"/>
        <x:v>0</x:v>
      </x:c>
      <x:c r="O19" s="1"/>
      <x:c r="P19" s="1"/>
      <x:c r="Q19" s="1"/>
      <x:c r="R19" s="1"/>
      <x:c r="S19" s="1"/>
      <x:c r="T19" s="1"/>
      <x:c r="U19" s="1"/>
      <x:c r="V19" s="1"/>
      <x:c r="W19" s="1"/>
      <x:c r="X19" s="1"/>
      <x:c r="Y19" s="1"/>
      <x:c r="Z19" s="1"/>
    </x:row>
    <x:row r="20" ht="20" customHeight="1">
      <x:c r="A20" s="4" t="s">
        <x:v>145</x:v>
      </x:c>
      <x:c r="B20" s="18" t="s">
        <x:v>30</x:v>
      </x:c>
      <x:c r="C20" s="18">
        <x:v>7</x:v>
      </x:c>
      <x:c r="D20" s="18">
        <x:v>3</x:v>
      </x:c>
      <x:c r="E20" s="18">
        <x:v>1</x:v>
      </x:c>
      <x:c r="F20" s="18">
        <x:v>0</x:v>
      </x:c>
      <x:c r="G20" s="18">
        <x:v>3</x:v>
      </x:c>
      <x:c r="H20" s="20">
        <x:f t="shared" si="0"/>
        <x:v>0.5714285714285714</x:v>
      </x:c>
      <x:c r="I20" s="20">
        <x:f t="shared" si="1"/>
        <x:v>1</x:v>
      </x:c>
      <x:c r="J20" s="20">
        <x:f t="shared" si="2"/>
        <x:v>0.5</x:v>
      </x:c>
      <x:c r="K20" s="20">
        <x:f t="shared" si="3"/>
        <x:v>1</x:v>
      </x:c>
      <x:c r="L20" s="20">
        <x:f t="shared" si="4"/>
        <x:v>0.66666666666666663</x:v>
      </x:c>
      <x:c r="M20" s="20">
        <x:f t="shared" si="5"/>
        <x:v>0.75</x:v>
      </x:c>
      <x:c r="N20" s="32">
        <x:f t="shared" si="6"/>
        <x:v>0.22222222222222218</x:v>
      </x:c>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ht="42" customHeight="1">
      <x:c r="A23" s="114" t="s">
        <x:v>146</x:v>
      </x:c>
      <x:c r="B23" s="114"/>
      <x:c r="C23" s="114"/>
      <x:c r="D23" s="114"/>
      <x:c r="E23" s="114"/>
      <x:c r="F23" s="114"/>
      <x:c r="G23" s="114"/>
      <x:c r="H23" s="114"/>
      <x:c r="I23" s="114"/>
      <x:c r="J23" s="114"/>
      <x:c r="K23" s="114"/>
      <x:c r="L23" s="114"/>
      <x:c r="M23" s="114"/>
      <x:c r="N23" s="114"/>
      <x:c r="O23" s="114"/>
      <x:c r="P23" s="114"/>
      <x:c r="Q23" s="114"/>
      <x:c r="R23" s="1"/>
      <x:c r="S23" s="1"/>
      <x:c r="T23" s="1"/>
      <x:c r="U23" s="1"/>
      <x:c r="V23" s="1"/>
      <x:c r="W23" s="1"/>
      <x:c r="X23" s="1"/>
      <x:c r="Y23" s="1"/>
      <x:c r="Z23" s="1"/>
    </x:row>
    <x:row r="24">
      <x:c r="A24" s="40"/>
      <x:c r="B24" s="40"/>
      <x:c r="C24" s="40"/>
      <x:c r="D24" s="40"/>
      <x:c r="E24" s="40"/>
      <x:c r="F24" s="40"/>
      <x:c r="G24" s="40"/>
      <x:c r="H24" s="40"/>
      <x:c r="I24" s="40"/>
      <x:c r="J24" s="40"/>
      <x:c r="K24" s="40"/>
      <x:c r="L24" s="40"/>
      <x:c r="M24" s="40"/>
      <x:c r="N24" s="40"/>
      <x:c r="O24" s="40"/>
      <x:c r="P24" s="40"/>
      <x:c r="Q24" s="40"/>
      <x:c r="R24" s="1"/>
      <x:c r="S24" s="1"/>
      <x:c r="T24" s="1"/>
      <x:c r="U24" s="1"/>
      <x:c r="V24" s="1"/>
      <x:c r="W24" s="1"/>
      <x:c r="X24" s="1"/>
      <x:c r="Y24" s="1"/>
      <x:c r="Z24" s="1"/>
    </x:row>
    <x:row r="25" ht="22" customHeight="1">
      <x:c r="A25" s="123" t="str">
        <x:v>Interpretation of the Local-Context Results</x:v>
      </x:c>
      <x:c r="B25" s="123"/>
      <x:c r="C25" s="123"/>
      <x:c r="D25" s="123"/>
      <x:c r="E25" s="123"/>
      <x:c r="F25" s="123"/>
      <x:c r="G25" s="123"/>
      <x:c r="H25" s="123"/>
      <x:c r="I25" s="40"/>
      <x:c r="J25" s="40"/>
      <x:c r="K25" s="40"/>
      <x:c r="L25" s="40"/>
      <x:c r="M25" s="40"/>
      <x:c r="N25" s="40"/>
      <x:c r="O25" s="40"/>
      <x:c r="P25" s="40"/>
      <x:c r="Q25" s="40"/>
      <x:c r="R25" s="1"/>
      <x:c r="S25" s="1"/>
      <x:c r="T25" s="1"/>
      <x:c r="U25" s="1"/>
      <x:c r="V25" s="1"/>
      <x:c r="W25" s="1"/>
      <x:c r="X25" s="1"/>
      <x:c r="Y25" s="1"/>
      <x:c r="Z25" s="1"/>
    </x:row>
    <x:row r="26">
      <x:c r="A26" s="136" t="str">
        <x:v>Finding</x:v>
      </x:c>
      <x:c r="B26" s="137" t="str">
        <x:v>What it means</x:v>
      </x:c>
      <x:c r="C26" s="1"/>
      <x:c r="D26" s="1"/>
      <x:c r="E26" s="1"/>
      <x:c r="F26" s="1"/>
      <x:c r="G26" s="1"/>
      <x:c r="H26" s="1"/>
      <x:c r="I26" s="1"/>
      <x:c r="J26" s="1"/>
      <x:c r="K26" s="1"/>
      <x:c r="L26" s="1"/>
      <x:c r="M26" s="1"/>
      <x:c r="N26" s="1"/>
      <x:c r="O26" s="1"/>
      <x:c r="P26" s="1"/>
      <x:c r="Q26" s="1"/>
      <x:c r="R26" s="1"/>
      <x:c r="S26" s="1"/>
      <x:c r="T26" s="1"/>
      <x:c r="U26" s="1"/>
      <x:c r="V26" s="1"/>
      <x:c r="W26" s="1"/>
      <x:c r="X26" s="1"/>
      <x:c r="Y26" s="1"/>
      <x:c r="Z26" s="1"/>
    </x:row>
    <x:row r="27" ht="50" customHeight="1">
      <x:c r="A27" s="160" t="str">
        <x:v>Context was diagnostically useful</x:v>
      </x:c>
      <x:c r="B27" s="161" t="str">
        <x:v>It clarified sequence and institutional setting, even though it did not act as a universal accuracy boost.</x:v>
      </x:c>
      <x:c r="C27" s="1"/>
      <x:c r="D27" s="1"/>
      <x:c r="E27" s="1"/>
      <x:c r="F27" s="1"/>
      <x:c r="G27" s="1"/>
      <x:c r="H27" s="1"/>
      <x:c r="I27" s="1"/>
      <x:c r="J27" s="1"/>
      <x:c r="K27" s="1"/>
      <x:c r="L27" s="1"/>
      <x:c r="M27" s="1"/>
      <x:c r="N27" s="1"/>
      <x:c r="O27" s="1"/>
      <x:c r="P27" s="1"/>
      <x:c r="Q27" s="1"/>
      <x:c r="R27" s="1"/>
      <x:c r="S27" s="1"/>
      <x:c r="T27" s="1"/>
      <x:c r="U27" s="1"/>
      <x:c r="V27" s="1"/>
      <x:c r="W27" s="1"/>
      <x:c r="X27" s="1"/>
      <x:c r="Y27" s="1"/>
      <x:c r="Z27" s="1"/>
    </x:row>
    <x:row r="28" ht="50" customHeight="1">
      <x:c r="A28" s="162" t="str">
        <x:v>EPA remained the decisive boundary case</x:v>
      </x:c>
      <x:c r="B28" s="163" t="str">
        <x:v>All three providers recovered 0 of 16 human-positive EPA cases and consistently treated additive improvements as learning rather than abandonment.</x:v>
      </x:c>
      <x:c r="C28" s="1"/>
      <x:c r="D28" s="1"/>
      <x:c r="E28" s="1"/>
      <x:c r="F28" s="1"/>
      <x:c r="G28" s="1"/>
      <x:c r="H28" s="1"/>
      <x:c r="I28" s="1"/>
      <x:c r="J28" s="1"/>
      <x:c r="K28" s="1"/>
      <x:c r="L28" s="1"/>
      <x:c r="M28" s="1"/>
      <x:c r="N28" s="1"/>
      <x:c r="O28" s="1"/>
      <x:c r="P28" s="1"/>
      <x:c r="Q28" s="1"/>
      <x:c r="R28" s="1"/>
      <x:c r="S28" s="1"/>
      <x:c r="T28" s="1"/>
      <x:c r="U28" s="1"/>
      <x:c r="V28" s="1"/>
      <x:c r="W28" s="1"/>
      <x:c r="X28" s="1"/>
      <x:c r="Y28" s="1"/>
      <x:c r="Z28" s="1"/>
    </x:row>
    <x:row r="29" ht="50" customHeight="1">
      <x:c r="A29" s="162" t="str">
        <x:v>GAO was easier to classify</x:v>
      </x:c>
      <x:c r="B29" s="163" t="str">
        <x:v>GAO more often uses explicit language that an approach does not make sense, business-as-usual should be replaced, or restrictions should be removed.</x:v>
      </x:c>
      <x:c r="C29" s="1"/>
      <x:c r="D29" s="1"/>
      <x:c r="E29" s="1"/>
      <x:c r="F29" s="1"/>
      <x:c r="G29" s="1"/>
      <x:c r="H29" s="1"/>
      <x:c r="I29" s="1"/>
      <x:c r="J29" s="1"/>
      <x:c r="K29" s="1"/>
      <x:c r="L29" s="1"/>
      <x:c r="M29" s="1"/>
      <x:c r="N29" s="1"/>
      <x:c r="O29" s="1"/>
      <x:c r="P29" s="1"/>
      <x:c r="Q29" s="1"/>
      <x:c r="R29" s="1"/>
      <x:c r="S29" s="1"/>
      <x:c r="T29" s="1"/>
      <x:c r="U29" s="1"/>
      <x:c r="V29" s="1"/>
      <x:c r="W29" s="1"/>
      <x:c r="X29" s="1"/>
      <x:c r="Y29" s="1"/>
      <x:c r="Z29" s="1"/>
    </x:row>
    <x:row r="30" ht="50" customHeight="1">
      <x:c r="A30" s="162" t="str">
        <x:v>Post-Katrina was easiest for Gemini</x:v>
      </x:c>
      <x:c r="B30" s="163" t="str">
        <x:v>The report contains overt reform and replacement language, including moving away from previous arrangements and consolidating authority.</x:v>
      </x:c>
      <x:c r="C30" s="1"/>
      <x:c r="D30" s="1"/>
      <x:c r="E30" s="1"/>
      <x:c r="F30" s="1"/>
      <x:c r="G30" s="1"/>
      <x:c r="H30" s="1"/>
      <x:c r="I30" s="1"/>
      <x:c r="J30" s="1"/>
      <x:c r="K30" s="1"/>
      <x:c r="L30" s="1"/>
      <x:c r="M30" s="1"/>
      <x:c r="N30" s="1"/>
      <x:c r="O30" s="1"/>
      <x:c r="P30" s="1"/>
      <x:c r="Q30" s="1"/>
      <x:c r="R30" s="1"/>
      <x:c r="S30" s="1"/>
      <x:c r="T30" s="1"/>
      <x:c r="U30" s="1"/>
      <x:c r="V30" s="1"/>
      <x:c r="W30" s="1"/>
      <x:c r="X30" s="1"/>
      <x:c r="Y30" s="1"/>
      <x:c r="Z30" s="1"/>
    </x:row>
    <x:row r="31" ht="50" customHeight="1">
      <x:c r="A31" s="164" t="str">
        <x:v>Research implication</x:v>
      </x:c>
      <x:c r="B31" s="165" t="str">
        <x:v>The team must adjudicate the threshold between organizational learning and unlearning; context can reveal that boundary but cannot settle it.</x:v>
      </x:c>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ht="48" customHeight="1">
      <x:c r="A33" s="196" t="str">
        <x:v>Recommended context design: present the target paragraph once; add clearly separated previous and next paragraphs; retain section and document titles; and ask the model to identify the prior practice, its inadequacy, and the proposed departure. Incomplete evidence should be routed to boundary review.</x:v>
      </x:c>
      <x:c r="B33" s="292"/>
      <x:c r="C33" s="292"/>
      <x:c r="D33" s="292"/>
      <x:c r="E33" s="292"/>
      <x:c r="F33" s="292"/>
      <x:c r="G33" s="292"/>
      <x:c r="H33" s="197"/>
      <x:c r="I33" s="1"/>
      <x:c r="J33" s="1"/>
      <x:c r="K33" s="1"/>
      <x:c r="L33" s="1"/>
      <x:c r="M33" s="1"/>
      <x:c r="N33" s="1"/>
      <x:c r="O33" s="1"/>
      <x:c r="P33" s="1"/>
      <x:c r="Q33" s="1"/>
      <x:c r="R33" s="1"/>
      <x:c r="S33" s="1"/>
      <x:c r="T33" s="1"/>
      <x:c r="U33" s="1"/>
      <x:c r="V33" s="1"/>
      <x:c r="W33" s="1"/>
      <x:c r="X33" s="1"/>
      <x:c r="Y33" s="1"/>
      <x:c r="Z33" s="1"/>
    </x:row>
    <x:row r="34" ht="48" customHeight="1">
      <x:c r="A34" s="198"/>
      <x:c r="B34" s="114"/>
      <x:c r="C34" s="114"/>
      <x:c r="D34" s="114"/>
      <x:c r="E34" s="114"/>
      <x:c r="F34" s="114"/>
      <x:c r="G34" s="114"/>
      <x:c r="H34" s="199"/>
      <x:c r="I34" s="1"/>
      <x:c r="J34" s="1"/>
      <x:c r="K34" s="1"/>
      <x:c r="L34" s="1"/>
      <x:c r="M34" s="1"/>
      <x:c r="N34" s="1"/>
      <x:c r="O34" s="1"/>
      <x:c r="P34" s="1"/>
      <x:c r="Q34" s="1"/>
      <x:c r="R34" s="1"/>
      <x:c r="S34" s="1"/>
      <x:c r="T34" s="1"/>
      <x:c r="U34" s="1"/>
      <x:c r="V34" s="1"/>
      <x:c r="W34" s="1"/>
      <x:c r="X34" s="1"/>
      <x:c r="Y34" s="1"/>
      <x:c r="Z34" s="1"/>
    </x:row>
    <x:row r="35" ht="48" customHeight="1">
      <x:c r="A35" s="200"/>
      <x:c r="B35" s="293"/>
      <x:c r="C35" s="293"/>
      <x:c r="D35" s="293"/>
      <x:c r="E35" s="293"/>
      <x:c r="F35" s="293"/>
      <x:c r="G35" s="293"/>
      <x:c r="H35" s="201"/>
      <x:c r="I35" s="1"/>
      <x:c r="J35" s="1"/>
      <x:c r="K35" s="1"/>
      <x:c r="L35" s="1"/>
      <x:c r="M35" s="1"/>
      <x:c r="N35" s="1"/>
      <x:c r="O35" s="1"/>
      <x:c r="P35" s="1"/>
      <x:c r="Q35" s="1"/>
      <x:c r="R35" s="1"/>
      <x:c r="S35" s="1"/>
      <x:c r="T35" s="1"/>
      <x:c r="U35" s="1"/>
      <x:c r="V35" s="1"/>
      <x:c r="W35" s="1"/>
      <x:c r="X35" s="1"/>
      <x:c r="Y35" s="1"/>
      <x:c r="Z35" s="1"/>
    </x:row>
    <x:row r="36" ht="64" customHeight="1">
      <x:c r="A36" s="198"/>
      <x:c r="B36" s="114"/>
      <x:c r="C36" s="114"/>
      <x:c r="D36" s="114"/>
      <x:c r="E36" s="114"/>
      <x:c r="F36" s="114"/>
      <x:c r="G36" s="114"/>
      <x:c r="H36" s="199"/>
      <x:c r="I36" s="1"/>
      <x:c r="J36" s="1"/>
      <x:c r="K36" s="1"/>
      <x:c r="L36" s="1"/>
      <x:c r="M36" s="1"/>
      <x:c r="N36" s="1"/>
      <x:c r="O36" s="1"/>
      <x:c r="P36" s="1"/>
      <x:c r="Q36" s="1"/>
      <x:c r="R36" s="1"/>
      <x:c r="S36" s="1"/>
      <x:c r="T36" s="1"/>
      <x:c r="U36" s="1"/>
      <x:c r="V36" s="1"/>
      <x:c r="W36" s="1"/>
      <x:c r="X36" s="1"/>
      <x:c r="Y36" s="1"/>
      <x:c r="Z36" s="1"/>
    </x:row>
    <x:row r="37" ht="64" customHeight="1">
      <x:c r="A37" s="200"/>
      <x:c r="B37" s="293"/>
      <x:c r="C37" s="293"/>
      <x:c r="D37" s="293"/>
      <x:c r="E37" s="293"/>
      <x:c r="F37" s="293"/>
      <x:c r="G37" s="293"/>
      <x:c r="H37" s="20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sheetData>
  <x:mergeCells>
    <x:mergeCell ref="A25:H25"/>
    <x:mergeCell ref="A1:Q1"/>
    <x:mergeCell ref="A2:Q3"/>
    <x:mergeCell ref="A33:H35"/>
  </x:mergeCells>
  <x:pageMargins left="0.7" right="0.7" top="0.75" bottom="0.75" header="0.3" footer="0.3"/>
  <x:tableParts count="2">
    <x:tablePart xmlns:r="http://schemas.openxmlformats.org/officeDocument/2006/relationships" r:id="R735cab66fdc7437e"/>
    <x:tablePart xmlns:r="http://schemas.openxmlformats.org/officeDocument/2006/relationships" r:id="R6d12dc46b5744d73"/>
  </x:tableParts>
</x:worksheet>
</file>

<file path=xl/worksheets/sheet9.xml><?xml version="1.0" encoding="utf-8"?>
<x:worksheet xmlns:x="http://schemas.openxmlformats.org/spreadsheetml/2006/main">
  <x:sheetFormatPr defaultRowHeight="14"/>
  <x:cols>
    <x:col min="1" max="1" width="14" customWidth="1"/>
    <x:col min="2" max="2" width="25" customWidth="1"/>
    <x:col min="3" max="3" width="36" customWidth="1"/>
    <x:col min="4" max="7" width="8" customWidth="1"/>
    <x:col min="8" max="8" width="48" customWidth="1"/>
    <x:col min="9" max="13" width="13" customWidth="1"/>
    <x:col min="14" max="14" width="16" customWidth="1"/>
    <x:col min="15" max="15" width="12" customWidth="1"/>
  </x:cols>
  <x:sheetData>
    <x:row r="1" ht="28" customHeight="1">
      <x:c r="A1" s="490" t="str">
        <x:v>Cleaned Provider and Prompt Comparison</x:v>
      </x:c>
      <x:c r="B1" s="490"/>
      <x:c r="C1" s="490"/>
      <x:c r="D1" s="490"/>
      <x:c r="E1" s="490"/>
      <x:c r="F1" s="490"/>
      <x:c r="G1" s="490"/>
      <x:c r="H1" s="490"/>
      <x:c r="I1" s="490"/>
      <x:c r="J1" s="490"/>
      <x:c r="K1" s="490"/>
      <x:c r="L1" s="490"/>
      <x:c r="M1" s="490"/>
      <x:c r="N1" s="490"/>
      <x:c r="O1" s="490"/>
      <x:c r="P1" s="490"/>
      <x:c r="Q1" s="490"/>
      <x:c r="R1" s="490"/>
      <x:c r="S1" s="490"/>
      <x:c r="T1" s="6"/>
      <x:c r="U1" s="6"/>
      <x:c r="V1" s="6"/>
      <x:c r="W1" s="6"/>
      <x:c r="X1" s="6"/>
      <x:c r="Y1" s="6"/>
      <x:c r="Z1" s="6"/>
    </x:row>
    <x:row r="2" ht="20" customHeight="1">
      <x:c r="A2" s="491" t="str">
        <x:v>This is the main strategy-selection sheet. Direct and definitions conditions use 46 cleaned rows; example-based conditions use 40 cleaned rows. </x:v>
      </x:c>
      <x:c r="B2" s="491"/>
      <x:c r="C2" s="491"/>
      <x:c r="D2" s="491"/>
      <x:c r="E2" s="491"/>
      <x:c r="F2" s="491"/>
      <x:c r="G2" s="491"/>
      <x:c r="H2" s="491"/>
      <x:c r="I2" s="491"/>
      <x:c r="J2" s="491"/>
      <x:c r="K2" s="491"/>
      <x:c r="L2" s="491"/>
      <x:c r="M2" s="491"/>
      <x:c r="N2" s="491"/>
      <x:c r="O2" s="491"/>
      <x:c r="P2" s="491"/>
      <x:c r="Q2" s="491"/>
      <x:c r="R2" s="491"/>
      <x:c r="S2" s="491"/>
      <x:c r="T2" s="1"/>
      <x:c r="U2" s="1"/>
      <x:c r="V2" s="1"/>
      <x:c r="W2" s="1"/>
      <x:c r="X2" s="1"/>
      <x:c r="Y2" s="1"/>
      <x:c r="Z2" s="1"/>
    </x:row>
    <x:row r="3" ht="20" customHeight="1">
      <x:c r="A3" s="491" t="s">
        <x:v>147</x:v>
      </x:c>
      <x:c r="B3" s="491"/>
      <x:c r="C3" s="491"/>
      <x:c r="D3" s="491"/>
      <x:c r="E3" s="491"/>
      <x:c r="F3" s="491"/>
      <x:c r="G3" s="491"/>
      <x:c r="H3" s="491"/>
      <x:c r="I3" s="491"/>
      <x:c r="J3" s="491"/>
      <x:c r="K3" s="491"/>
      <x:c r="L3" s="491"/>
      <x:c r="M3" s="491"/>
      <x:c r="N3" s="491"/>
      <x:c r="O3" s="491"/>
      <x:c r="P3" s="491"/>
      <x:c r="Q3" s="491"/>
      <x:c r="R3" s="491"/>
      <x:c r="S3" s="49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35" t="s">
        <x:v>22</x:v>
      </x:c>
      <x:c r="B5" s="37" t="s">
        <x:v>23</x:v>
      </x:c>
      <x:c r="C5" s="37" t="s">
        <x:v>111</x:v>
      </x:c>
      <x:c r="D5" s="37" t="s">
        <x:v>128</x:v>
      </x:c>
      <x:c r="E5" s="37" t="s">
        <x:v>129</x:v>
      </x:c>
      <x:c r="F5" s="37" t="s">
        <x:v>130</x:v>
      </x:c>
      <x:c r="G5" s="37" t="s">
        <x:v>131</x:v>
      </x:c>
      <x:c r="H5" s="37" t="s">
        <x:v>132</x:v>
      </x:c>
      <x:c r="I5" s="37" t="s">
        <x:v>26</x:v>
      </x:c>
      <x:c r="J5" s="37" t="s">
        <x:v>133</x:v>
      </x:c>
      <x:c r="K5" s="37" t="s">
        <x:v>56</x:v>
      </x:c>
      <x:c r="L5" s="37" t="s">
        <x:v>134</x:v>
      </x:c>
      <x:c r="M5" s="37" t="s">
        <x:v>27</x:v>
      </x:c>
      <x:c r="N5" s="37" t="s">
        <x:v>135</x:v>
      </x:c>
      <x:c r="O5" s="36" t="s">
        <x:v>136</x:v>
      </x:c>
      <x:c r="P5" s="1"/>
      <x:c r="Q5" s="1" t="s">
        <x:v>22</x:v>
      </x:c>
      <x:c r="R5" s="1" t="s">
        <x:v>26</x:v>
      </x:c>
      <x:c r="S5" s="1" t="s">
        <x:v>27</x:v>
      </x:c>
      <x:c r="T5" s="1"/>
      <x:c r="U5" s="1"/>
      <x:c r="V5" s="1"/>
      <x:c r="W5" s="1"/>
      <x:c r="X5" s="1"/>
      <x:c r="Y5" s="1"/>
      <x:c r="Z5" s="1"/>
    </x:row>
    <x:row r="6" ht="18.649999618530273" customHeight="1">
      <x:c r="A6" s="7" t="s">
        <x:v>35</x:v>
      </x:c>
      <x:c r="B6" s="1" t="s">
        <x:v>36</x:v>
      </x:c>
      <x:c r="C6" s="1" t="s">
        <x:v>34</x:v>
      </x:c>
      <x:c r="D6" s="1">
        <x:v>46</x:v>
      </x:c>
      <x:c r="E6" s="1">
        <x:v>8</x:v>
      </x:c>
      <x:c r="F6" s="1">
        <x:v>9</x:v>
      </x:c>
      <x:c r="G6" s="1">
        <x:v>1</x:v>
      </x:c>
      <x:c r="H6" s="1">
        <x:v>28</x:v>
      </x:c>
      <x:c r="I6" s="8" t="n">
        <x:f t="shared" ref="I6:I17" si="0">(E6+F6)/D6</x:f>
        <x:v>0.3695652173913043</x:v>
      </x:c>
      <x:c r="J6" s="8" t="n">
        <x:f t="shared" ref="J6:J17" si="1">IF((E6+G6)=0,0,E6/(E6+G6))</x:f>
        <x:v>0.8888888888888888</x:v>
      </x:c>
      <x:c r="K6" s="8" t="n">
        <x:f t="shared" ref="K6:K17" si="2">IF((E6+H6)=0,0,E6/(E6+H6))</x:f>
        <x:v>0.2222222222222222</x:v>
      </x:c>
      <x:c r="L6" s="8" t="n">
        <x:f t="shared" ref="L6:L17" si="3">IF((F6+G6)=0,0,F6/(F6+G6))</x:f>
        <x:v>0.9</x:v>
      </x:c>
      <x:c r="M6" s="8" t="n">
        <x:f t="shared" ref="M6:M17" si="4">IF((2*E6+G6+H6)=0,0,2*E6/(2*E6+G6+H6))</x:f>
        <x:v>0.35555555555555557</x:v>
      </x:c>
      <x:c r="N6" s="8" t="n">
        <x:f t="shared" ref="N6:N17" si="5">(K6+L6)/2</x:f>
        <x:v>0.5611111111111111</x:v>
      </x:c>
      <x:c r="O6" s="9" t="n">
        <x:f t="shared" ref="O6:O17" si="6">(I6-(((E6+H6)*(E6+G6)+(F6+G6)*(F6+H6))/(D6*D6)))/(1-(((E6+H6)*(E6+G6)+(F6+G6)*(F6+H6))/(D6*D6)))</x:f>
        <x:v>0.06188466947960612</x:v>
      </x:c>
      <x:c r="P6" s="1"/>
      <x:c r="Q6" s="1" t="s">
        <x:v>29</x:v>
      </x:c>
      <x:c r="R6" s="8" t="n">
        <x:f t="shared" ref="R6:S8" si="7">D21</x:f>
        <x:v>0.725</x:v>
      </x:c>
      <x:c r="S6" s="8">
        <x:f t="shared" si="7"/>
        <x:v>0.80701754385964908</x:v>
      </x:c>
      <x:c r="T6" s="1"/>
      <x:c r="U6" s="1"/>
      <x:c r="V6" s="1"/>
      <x:c r="W6" s="1"/>
      <x:c r="X6" s="1"/>
      <x:c r="Y6" s="1"/>
      <x:c r="Z6" s="1"/>
    </x:row>
    <x:row r="7" ht="18.649999618530273" customHeight="1">
      <x:c r="A7" s="7" t="s">
        <x:v>35</x:v>
      </x:c>
      <x:c r="B7" s="1" t="s">
        <x:v>36</x:v>
      </x:c>
      <x:c r="C7" s="1" t="s">
        <x:v>97</x:v>
      </x:c>
      <x:c r="D7" s="1">
        <x:v>46</x:v>
      </x:c>
      <x:c r="E7" s="1">
        <x:v>21</x:v>
      </x:c>
      <x:c r="F7" s="1">
        <x:v>7</x:v>
      </x:c>
      <x:c r="G7" s="1">
        <x:v>3</x:v>
      </x:c>
      <x:c r="H7" s="1">
        <x:v>15</x:v>
      </x:c>
      <x:c r="I7" s="8">
        <x:f t="shared" si="0"/>
        <x:v>0.60869565217391308</x:v>
      </x:c>
      <x:c r="J7" s="8">
        <x:f t="shared" si="1"/>
        <x:v>0.875</x:v>
      </x:c>
      <x:c r="K7" s="8">
        <x:f t="shared" si="2"/>
        <x:v>0.58333333333333337</x:v>
      </x:c>
      <x:c r="L7" s="8">
        <x:f t="shared" si="3"/>
        <x:v>0.7</x:v>
      </x:c>
      <x:c r="M7" s="8">
        <x:f t="shared" si="4"/>
        <x:v>0.7</x:v>
      </x:c>
      <x:c r="N7" s="8">
        <x:f t="shared" si="5"/>
        <x:v>0.64166666666666661</x:v>
      </x:c>
      <x:c r="O7" s="9">
        <x:f t="shared" si="6"/>
        <x:v>0.19767441860465124</x:v>
      </x:c>
      <x:c r="P7" s="1"/>
      <x:c r="Q7" s="1" t="s">
        <x:v>32</x:v>
      </x:c>
      <x:c r="R7" s="8">
        <x:f t="shared" si="7"/>
        <x:v>0.71739130434782605</x:v>
      </x:c>
      <x:c r="S7" s="8">
        <x:f t="shared" si="7"/>
        <x:v>0.81159420289855078</x:v>
      </x:c>
      <x:c r="T7" s="1"/>
      <x:c r="U7" s="1"/>
      <x:c r="V7" s="1"/>
      <x:c r="W7" s="1"/>
      <x:c r="X7" s="1"/>
      <x:c r="Y7" s="1"/>
      <x:c r="Z7" s="1"/>
    </x:row>
    <x:row r="8" ht="18.649999618530273" customHeight="1">
      <x:c r="A8" s="7" t="s">
        <x:v>35</x:v>
      </x:c>
      <x:c r="B8" s="1" t="s">
        <x:v>36</x:v>
      </x:c>
      <x:c r="C8" s="1" t="s">
        <x:v>31</x:v>
      </x:c>
      <x:c r="D8" s="1">
        <x:v>40</x:v>
      </x:c>
      <x:c r="E8" s="1">
        <x:v>25</x:v>
      </x:c>
      <x:c r="F8" s="1">
        <x:v>3</x:v>
      </x:c>
      <x:c r="G8" s="1">
        <x:v>4</x:v>
      </x:c>
      <x:c r="H8" s="1">
        <x:v>8</x:v>
      </x:c>
      <x:c r="I8" s="8">
        <x:f t="shared" si="0"/>
        <x:v>0.7</x:v>
      </x:c>
      <x:c r="J8" s="8">
        <x:f t="shared" si="1"/>
        <x:v>0.86206896551724133</x:v>
      </x:c>
      <x:c r="K8" s="8">
        <x:f t="shared" si="2"/>
        <x:v>0.75757575757575757</x:v>
      </x:c>
      <x:c r="L8" s="8">
        <x:f t="shared" si="3"/>
        <x:v>0.42857142857142855</x:v>
      </x:c>
      <x:c r="M8" s="8">
        <x:f t="shared" si="4"/>
        <x:v>0.80645161290322576</x:v>
      </x:c>
      <x:c r="N8" s="8">
        <x:f t="shared" si="5"/>
        <x:v>0.59307359307359309</x:v>
      </x:c>
      <x:c r="O8" s="9">
        <x:f t="shared" si="6"/>
        <x:v>0.15194346289752639</x:v>
      </x:c>
      <x:c r="P8" s="1"/>
      <x:c r="Q8" s="1" t="s">
        <x:v>35</x:v>
      </x:c>
      <x:c r="R8" s="8">
        <x:f t="shared" si="7"/>
        <x:v>0.7</x:v>
      </x:c>
      <x:c r="S8" s="8">
        <x:f t="shared" si="7"/>
        <x:v>0.80645161290322576</x:v>
      </x:c>
      <x:c r="T8" s="1"/>
      <x:c r="U8" s="1"/>
      <x:c r="V8" s="1"/>
      <x:c r="W8" s="1"/>
      <x:c r="X8" s="1"/>
      <x:c r="Y8" s="1"/>
      <x:c r="Z8" s="1"/>
    </x:row>
    <x:row r="9" ht="18.649999618530273" customHeight="1">
      <x:c r="A9" s="7" t="s">
        <x:v>35</x:v>
      </x:c>
      <x:c r="B9" s="1" t="s">
        <x:v>36</x:v>
      </x:c>
      <x:c r="C9" s="1" t="s">
        <x:v>98</x:v>
      </x:c>
      <x:c r="D9" s="1">
        <x:v>40</x:v>
      </x:c>
      <x:c r="E9" s="1">
        <x:v>24</x:v>
      </x:c>
      <x:c r="F9" s="1">
        <x:v>4</x:v>
      </x:c>
      <x:c r="G9" s="1">
        <x:v>3</x:v>
      </x:c>
      <x:c r="H9" s="1">
        <x:v>9</x:v>
      </x:c>
      <x:c r="I9" s="8">
        <x:f t="shared" si="0"/>
        <x:v>0.7</x:v>
      </x:c>
      <x:c r="J9" s="8">
        <x:f t="shared" si="1"/>
        <x:v>0.88888888888888884</x:v>
      </x:c>
      <x:c r="K9" s="8">
        <x:f t="shared" si="2"/>
        <x:v>0.72727272727272729</x:v>
      </x:c>
      <x:c r="L9" s="8">
        <x:f t="shared" si="3"/>
        <x:v>0.5714285714285714</x:v>
      </x:c>
      <x:c r="M9" s="8">
        <x:f t="shared" si="4"/>
        <x:v>0.8</x:v>
      </x:c>
      <x:c r="N9" s="8">
        <x:f t="shared" si="5"/>
        <x:v>0.64935064935064934</x:v>
      </x:c>
      <x:c r="O9" s="9">
        <x:f t="shared" si="6"/>
        <x:v>0.22330097087378625</x:v>
      </x:c>
      <x:c r="P9" s="1"/>
      <x:c r="Q9" s="1"/>
      <x:c r="R9" s="1"/>
      <x:c r="S9" s="1"/>
      <x:c r="T9" s="1"/>
      <x:c r="U9" s="1"/>
      <x:c r="V9" s="1"/>
      <x:c r="W9" s="1"/>
      <x:c r="X9" s="1"/>
      <x:c r="Y9" s="1"/>
      <x:c r="Z9" s="1"/>
    </x:row>
    <x:row r="10" ht="18.649999618530273" customHeight="1">
      <x:c r="A10" s="7" t="s">
        <x:v>32</x:v>
      </x:c>
      <x:c r="B10" s="1" t="s">
        <x:v>33</x:v>
      </x:c>
      <x:c r="C10" s="1" t="s">
        <x:v>34</x:v>
      </x:c>
      <x:c r="D10" s="1">
        <x:v>46</x:v>
      </x:c>
      <x:c r="E10" s="1">
        <x:v>28</x:v>
      </x:c>
      <x:c r="F10" s="1">
        <x:v>5</x:v>
      </x:c>
      <x:c r="G10" s="1">
        <x:v>5</x:v>
      </x:c>
      <x:c r="H10" s="1">
        <x:v>8</x:v>
      </x:c>
      <x:c r="I10" s="8">
        <x:f t="shared" si="0"/>
        <x:v>0.71739130434782605</x:v>
      </x:c>
      <x:c r="J10" s="8">
        <x:f t="shared" si="1"/>
        <x:v>0.84848484848484851</x:v>
      </x:c>
      <x:c r="K10" s="8">
        <x:f t="shared" si="2"/>
        <x:v>0.77777777777777779</x:v>
      </x:c>
      <x:c r="L10" s="8">
        <x:f t="shared" si="3"/>
        <x:v>0.5</x:v>
      </x:c>
      <x:c r="M10" s="8">
        <x:f t="shared" si="4"/>
        <x:v>0.81159420289855078</x:v>
      </x:c>
      <x:c r="N10" s="8">
        <x:f t="shared" si="5"/>
        <x:v>0.63888888888888884</x:v>
      </x:c>
      <x:c r="O10" s="9">
        <x:f t="shared" si="6"/>
        <x:v>0.25062656641604009</x:v>
      </x:c>
      <x:c r="P10" s="1"/>
      <x:c r="Q10" s="1"/>
      <x:c r="R10" s="1"/>
      <x:c r="S10" s="1"/>
      <x:c r="T10" s="1"/>
      <x:c r="U10" s="1"/>
      <x:c r="V10" s="1"/>
      <x:c r="W10" s="1"/>
      <x:c r="X10" s="1"/>
      <x:c r="Y10" s="1"/>
      <x:c r="Z10" s="1"/>
    </x:row>
    <x:row r="11" ht="18.649999618530273" customHeight="1">
      <x:c r="A11" s="7" t="s">
        <x:v>32</x:v>
      </x:c>
      <x:c r="B11" s="1" t="s">
        <x:v>33</x:v>
      </x:c>
      <x:c r="C11" s="1" t="s">
        <x:v>97</x:v>
      </x:c>
      <x:c r="D11" s="1">
        <x:v>46</x:v>
      </x:c>
      <x:c r="E11" s="1">
        <x:v>25</x:v>
      </x:c>
      <x:c r="F11" s="1">
        <x:v>5</x:v>
      </x:c>
      <x:c r="G11" s="1">
        <x:v>5</x:v>
      </x:c>
      <x:c r="H11" s="1">
        <x:v>11</x:v>
      </x:c>
      <x:c r="I11" s="8">
        <x:f t="shared" si="0"/>
        <x:v>0.65217391304347827</x:v>
      </x:c>
      <x:c r="J11" s="8">
        <x:f t="shared" si="1"/>
        <x:v>0.83333333333333337</x:v>
      </x:c>
      <x:c r="K11" s="8">
        <x:f t="shared" si="2"/>
        <x:v>0.69444444444444442</x:v>
      </x:c>
      <x:c r="L11" s="8">
        <x:f t="shared" si="3"/>
        <x:v>0.5</x:v>
      </x:c>
      <x:c r="M11" s="8">
        <x:f t="shared" si="4"/>
        <x:v>0.75757575757575757</x:v>
      </x:c>
      <x:c r="N11" s="8">
        <x:f t="shared" si="5"/>
        <x:v>0.59722222222222221</x:v>
      </x:c>
      <x:c r="O11" s="9">
        <x:f t="shared" si="6"/>
        <x:v>0.15981735159817345</x:v>
      </x:c>
      <x:c r="P11" s="1"/>
      <x:c r="Q11" s="1"/>
      <x:c r="R11" s="1"/>
      <x:c r="S11" s="1"/>
      <x:c r="T11" s="1"/>
      <x:c r="U11" s="1"/>
      <x:c r="V11" s="1"/>
      <x:c r="W11" s="1"/>
      <x:c r="X11" s="1"/>
      <x:c r="Y11" s="1"/>
      <x:c r="Z11" s="1"/>
    </x:row>
    <x:row r="12" ht="18.649999618530273" customHeight="1">
      <x:c r="A12" s="7" t="s">
        <x:v>32</x:v>
      </x:c>
      <x:c r="B12" s="1" t="s">
        <x:v>33</x:v>
      </x:c>
      <x:c r="C12" s="1" t="s">
        <x:v>31</x:v>
      </x:c>
      <x:c r="D12" s="1">
        <x:v>40</x:v>
      </x:c>
      <x:c r="E12" s="1">
        <x:v>23</x:v>
      </x:c>
      <x:c r="F12" s="1">
        <x:v>2</x:v>
      </x:c>
      <x:c r="G12" s="1">
        <x:v>5</x:v>
      </x:c>
      <x:c r="H12" s="1">
        <x:v>10</x:v>
      </x:c>
      <x:c r="I12" s="8">
        <x:f t="shared" si="0"/>
        <x:v>0.625</x:v>
      </x:c>
      <x:c r="J12" s="8">
        <x:f t="shared" si="1"/>
        <x:v>0.8214285714285714</x:v>
      </x:c>
      <x:c r="K12" s="8">
        <x:f t="shared" si="2"/>
        <x:v>0.69696969696969702</x:v>
      </x:c>
      <x:c r="L12" s="8">
        <x:f t="shared" si="3"/>
        <x:v>0.2857142857142857</x:v>
      </x:c>
      <x:c r="M12" s="8">
        <x:f t="shared" si="4"/>
        <x:v>0.75409836065573765</x:v>
      </x:c>
      <x:c r="N12" s="8">
        <x:f t="shared" si="5"/>
        <x:v>0.49134199134199136</x:v>
      </x:c>
      <x:c r="O12" s="9">
        <x:f t="shared" si="6"/>
        <x:v>-1.3513513513513526E-2</x:v>
      </x:c>
      <x:c r="P12" s="1"/>
      <x:c r="Q12" s="1"/>
      <x:c r="R12" s="1"/>
      <x:c r="S12" s="1"/>
      <x:c r="T12" s="1"/>
      <x:c r="U12" s="1"/>
      <x:c r="V12" s="1"/>
      <x:c r="W12" s="1"/>
      <x:c r="X12" s="1"/>
      <x:c r="Y12" s="1"/>
      <x:c r="Z12" s="1"/>
    </x:row>
    <x:row r="13" ht="18.649999618530273" customHeight="1">
      <x:c r="A13" s="7" t="s">
        <x:v>32</x:v>
      </x:c>
      <x:c r="B13" s="1" t="s">
        <x:v>33</x:v>
      </x:c>
      <x:c r="C13" s="1" t="s">
        <x:v>98</x:v>
      </x:c>
      <x:c r="D13" s="1">
        <x:v>40</x:v>
      </x:c>
      <x:c r="E13" s="1">
        <x:v>24</x:v>
      </x:c>
      <x:c r="F13" s="1">
        <x:v>3</x:v>
      </x:c>
      <x:c r="G13" s="1">
        <x:v>4</x:v>
      </x:c>
      <x:c r="H13" s="1">
        <x:v>9</x:v>
      </x:c>
      <x:c r="I13" s="8">
        <x:f t="shared" si="0"/>
        <x:v>0.67500000000000004</x:v>
      </x:c>
      <x:c r="J13" s="8">
        <x:f t="shared" si="1"/>
        <x:v>0.8571428571428571</x:v>
      </x:c>
      <x:c r="K13" s="8">
        <x:f t="shared" si="2"/>
        <x:v>0.72727272727272729</x:v>
      </x:c>
      <x:c r="L13" s="8">
        <x:f t="shared" si="3"/>
        <x:v>0.42857142857142855</x:v>
      </x:c>
      <x:c r="M13" s="8">
        <x:f t="shared" si="4"/>
        <x:v>0.78688524590163933</x:v>
      </x:c>
      <x:c r="N13" s="8">
        <x:f t="shared" si="5"/>
        <x:v>0.57792207792207795</x:v>
      </x:c>
      <x:c r="O13" s="9">
        <x:f t="shared" si="6"/>
        <x:v>0.12162162162162173</x:v>
      </x:c>
      <x:c r="P13" s="1"/>
      <x:c r="Q13" s="1"/>
      <x:c r="R13" s="1"/>
      <x:c r="S13" s="1"/>
      <x:c r="T13" s="1"/>
      <x:c r="U13" s="1"/>
      <x:c r="V13" s="1"/>
      <x:c r="W13" s="1"/>
      <x:c r="X13" s="1"/>
      <x:c r="Y13" s="1"/>
      <x:c r="Z13" s="1"/>
    </x:row>
    <x:row r="14" ht="18.649999618530273" customHeight="1">
      <x:c r="A14" s="7" t="s">
        <x:v>29</x:v>
      </x:c>
      <x:c r="B14" s="1" t="s">
        <x:v>30</x:v>
      </x:c>
      <x:c r="C14" s="1" t="s">
        <x:v>34</x:v>
      </x:c>
      <x:c r="D14" s="1">
        <x:v>46</x:v>
      </x:c>
      <x:c r="E14" s="1">
        <x:v>21</x:v>
      </x:c>
      <x:c r="F14" s="1">
        <x:v>8</x:v>
      </x:c>
      <x:c r="G14" s="1">
        <x:v>2</x:v>
      </x:c>
      <x:c r="H14" s="1">
        <x:v>15</x:v>
      </x:c>
      <x:c r="I14" s="8">
        <x:f t="shared" si="0"/>
        <x:v>0.63043478260869568</x:v>
      </x:c>
      <x:c r="J14" s="8">
        <x:f t="shared" si="1"/>
        <x:v>0.91304347826086951</x:v>
      </x:c>
      <x:c r="K14" s="8">
        <x:f t="shared" si="2"/>
        <x:v>0.58333333333333337</x:v>
      </x:c>
      <x:c r="L14" s="8">
        <x:f t="shared" si="3"/>
        <x:v>0.8</x:v>
      </x:c>
      <x:c r="M14" s="8">
        <x:f t="shared" si="4"/>
        <x:v>0.71186440677966101</x:v>
      </x:c>
      <x:c r="N14" s="8">
        <x:f t="shared" si="5"/>
        <x:v>0.69166666666666665</x:v>
      </x:c>
      <x:c r="O14" s="9">
        <x:f t="shared" si="6"/>
        <x:v>0.26086956521739135</x:v>
      </x:c>
      <x:c r="P14" s="1"/>
      <x:c r="Q14" s="1"/>
      <x:c r="R14" s="1"/>
      <x:c r="S14" s="1"/>
      <x:c r="T14" s="1"/>
      <x:c r="U14" s="1"/>
      <x:c r="V14" s="1"/>
      <x:c r="W14" s="1"/>
      <x:c r="X14" s="1"/>
      <x:c r="Y14" s="1"/>
      <x:c r="Z14" s="1"/>
    </x:row>
    <x:row r="15" ht="18.649999618530273" customHeight="1">
      <x:c r="A15" s="7" t="s">
        <x:v>29</x:v>
      </x:c>
      <x:c r="B15" s="1" t="s">
        <x:v>30</x:v>
      </x:c>
      <x:c r="C15" s="1" t="s">
        <x:v>97</x:v>
      </x:c>
      <x:c r="D15" s="1">
        <x:v>46</x:v>
      </x:c>
      <x:c r="E15" s="1">
        <x:v>16</x:v>
      </x:c>
      <x:c r="F15" s="1">
        <x:v>10</x:v>
      </x:c>
      <x:c r="G15" s="1">
        <x:v>0</x:v>
      </x:c>
      <x:c r="H15" s="1">
        <x:v>20</x:v>
      </x:c>
      <x:c r="I15" s="8">
        <x:f t="shared" si="0"/>
        <x:v>0.56521739130434778</x:v>
      </x:c>
      <x:c r="J15" s="8">
        <x:f t="shared" si="1"/>
        <x:v>1</x:v>
      </x:c>
      <x:c r="K15" s="8">
        <x:f t="shared" si="2"/>
        <x:v>0.44444444444444442</x:v>
      </x:c>
      <x:c r="L15" s="8">
        <x:f t="shared" si="3"/>
        <x:v>1</x:v>
      </x:c>
      <x:c r="M15" s="8">
        <x:f t="shared" si="4"/>
        <x:v>0.61538461538461542</x:v>
      </x:c>
      <x:c r="N15" s="8">
        <x:f t="shared" si="5"/>
        <x:v>0.72222222222222221</x:v>
      </x:c>
      <x:c r="O15" s="9">
        <x:f t="shared" si="6"/>
        <x:v>0.25806451612903214</x:v>
      </x:c>
      <x:c r="P15" s="1"/>
      <x:c r="Q15" s="1"/>
      <x:c r="R15" s="1"/>
      <x:c r="S15" s="1"/>
      <x:c r="T15" s="1"/>
      <x:c r="U15" s="1"/>
      <x:c r="V15" s="1"/>
      <x:c r="W15" s="1"/>
      <x:c r="X15" s="1"/>
      <x:c r="Y15" s="1"/>
      <x:c r="Z15" s="1"/>
    </x:row>
    <x:row r="16" ht="18.649999618530273" customHeight="1">
      <x:c r="A16" s="7" t="s">
        <x:v>29</x:v>
      </x:c>
      <x:c r="B16" s="1" t="s">
        <x:v>30</x:v>
      </x:c>
      <x:c r="C16" s="1" t="s">
        <x:v>31</x:v>
      </x:c>
      <x:c r="D16" s="1">
        <x:v>40</x:v>
      </x:c>
      <x:c r="E16" s="1">
        <x:v>23</x:v>
      </x:c>
      <x:c r="F16" s="1">
        <x:v>6</x:v>
      </x:c>
      <x:c r="G16" s="1">
        <x:v>1</x:v>
      </x:c>
      <x:c r="H16" s="1">
        <x:v>10</x:v>
      </x:c>
      <x:c r="I16" s="8">
        <x:f t="shared" si="0"/>
        <x:v>0.72499999999999998</x:v>
      </x:c>
      <x:c r="J16" s="8">
        <x:f t="shared" si="1"/>
        <x:v>0.95833333333333337</x:v>
      </x:c>
      <x:c r="K16" s="8">
        <x:f t="shared" si="2"/>
        <x:v>0.69696969696969702</x:v>
      </x:c>
      <x:c r="L16" s="8">
        <x:f t="shared" si="3"/>
        <x:v>0.8571428571428571</x:v>
      </x:c>
      <x:c r="M16" s="8">
        <x:f t="shared" si="4"/>
        <x:v>0.80701754385964908</x:v>
      </x:c>
      <x:c r="N16" s="8">
        <x:f t="shared" si="5"/>
        <x:v>0.777056277056277</x:v>
      </x:c>
      <x:c r="O16" s="9">
        <x:f t="shared" si="6"/>
        <x:v>0.36781609195402304</x:v>
      </x:c>
      <x:c r="P16" s="1"/>
      <x:c r="Q16" s="1"/>
      <x:c r="R16" s="1"/>
      <x:c r="S16" s="1"/>
      <x:c r="T16" s="1"/>
      <x:c r="U16" s="1"/>
      <x:c r="V16" s="1"/>
      <x:c r="W16" s="1"/>
      <x:c r="X16" s="1"/>
      <x:c r="Y16" s="1"/>
      <x:c r="Z16" s="1"/>
    </x:row>
    <x:row r="17" ht="18.649999618530273" customHeight="1">
      <x:c r="A17" s="10" t="s">
        <x:v>29</x:v>
      </x:c>
      <x:c r="B17" s="11" t="s">
        <x:v>30</x:v>
      </x:c>
      <x:c r="C17" s="11" t="s">
        <x:v>98</x:v>
      </x:c>
      <x:c r="D17" s="11">
        <x:v>40</x:v>
      </x:c>
      <x:c r="E17" s="11">
        <x:v>24</x:v>
      </x:c>
      <x:c r="F17" s="11">
        <x:v>4</x:v>
      </x:c>
      <x:c r="G17" s="11">
        <x:v>3</x:v>
      </x:c>
      <x:c r="H17" s="11">
        <x:v>9</x:v>
      </x:c>
      <x:c r="I17" s="12">
        <x:f t="shared" si="0"/>
        <x:v>0.7</x:v>
      </x:c>
      <x:c r="J17" s="12">
        <x:f t="shared" si="1"/>
        <x:v>0.88888888888888884</x:v>
      </x:c>
      <x:c r="K17" s="12">
        <x:f t="shared" si="2"/>
        <x:v>0.72727272727272729</x:v>
      </x:c>
      <x:c r="L17" s="12">
        <x:f t="shared" si="3"/>
        <x:v>0.5714285714285714</x:v>
      </x:c>
      <x:c r="M17" s="12">
        <x:f t="shared" si="4"/>
        <x:v>0.8</x:v>
      </x:c>
      <x:c r="N17" s="12">
        <x:f t="shared" si="5"/>
        <x:v>0.64935064935064934</x:v>
      </x:c>
      <x:c r="O17" s="13">
        <x:f t="shared" si="6"/>
        <x:v>0.22330097087378625</x:v>
      </x:c>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ht="26">
      <x:c r="A20" s="35" t="s">
        <x:v>22</x:v>
      </x:c>
      <x:c r="B20" s="37" t="s">
        <x:v>148</x:v>
      </x:c>
      <x:c r="C20" s="37" t="s">
        <x:v>128</x:v>
      </x:c>
      <x:c r="D20" s="37" t="s">
        <x:v>26</x:v>
      </x:c>
      <x:c r="E20" s="37" t="s">
        <x:v>27</x:v>
      </x:c>
      <x:c r="F20" s="37" t="s">
        <x:v>136</x:v>
      </x:c>
      <x:c r="G20" s="37" t="s">
        <x:v>149</x:v>
      </x:c>
      <x:c r="H20" s="36" t="s">
        <x:v>150</x:v>
      </x:c>
      <x:c r="I20" s="1"/>
      <x:c r="J20" s="1"/>
      <x:c r="K20" s="1"/>
      <x:c r="L20" s="1"/>
      <x:c r="M20" s="1"/>
      <x:c r="N20" s="1"/>
      <x:c r="O20" s="1"/>
      <x:c r="P20" s="1"/>
      <x:c r="Q20" s="1"/>
      <x:c r="R20" s="1"/>
      <x:c r="S20" s="1"/>
      <x:c r="T20" s="1"/>
      <x:c r="U20" s="1"/>
      <x:c r="V20" s="1"/>
      <x:c r="W20" s="1"/>
      <x:c r="X20" s="1"/>
      <x:c r="Y20" s="1"/>
      <x:c r="Z20" s="1"/>
    </x:row>
    <x:row r="21" ht="22.649999618530273" customHeight="1">
      <x:c r="A21" s="2" t="s">
        <x:v>29</x:v>
      </x:c>
      <x:c r="B21" s="16" t="s">
        <x:v>31</x:v>
      </x:c>
      <x:c r="C21" s="16">
        <x:v>40</x:v>
      </x:c>
      <x:c r="D21" s="19" t="n">
        <x:f>I16</x:f>
        <x:v>0.725</x:v>
      </x:c>
      <x:c r="E21" s="19" t="n">
        <x:f>M16</x:f>
        <x:v>0.8070175438596491</x:v>
      </x:c>
      <x:c r="F21" s="19" t="n">
        <x:f>O16</x:f>
        <x:v>0.36781609195402304</x:v>
      </x:c>
      <x:c r="G21" s="16">
        <x:v>1</x:v>
      </x:c>
      <x:c r="H21" s="3" t="s">
        <x:v>151</x:v>
      </x:c>
      <x:c r="I21" s="1"/>
      <x:c r="J21" s="1"/>
      <x:c r="K21" s="1"/>
      <x:c r="L21" s="1"/>
      <x:c r="M21" s="1"/>
      <x:c r="N21" s="1"/>
      <x:c r="O21" s="1"/>
      <x:c r="P21" s="1"/>
      <x:c r="Q21" s="1"/>
      <x:c r="R21" s="1"/>
      <x:c r="S21" s="1"/>
      <x:c r="T21" s="1"/>
      <x:c r="U21" s="1"/>
      <x:c r="V21" s="1"/>
      <x:c r="W21" s="1"/>
      <x:c r="X21" s="1"/>
      <x:c r="Y21" s="1"/>
      <x:c r="Z21" s="1"/>
    </x:row>
    <x:row r="22" ht="22.649999618530273" customHeight="1">
      <x:c r="A22" s="2" t="s">
        <x:v>32</x:v>
      </x:c>
      <x:c r="B22" s="16" t="s">
        <x:v>34</x:v>
      </x:c>
      <x:c r="C22" s="16">
        <x:v>46</x:v>
      </x:c>
      <x:c r="D22" s="19" t="n">
        <x:f>I10</x:f>
        <x:v>0.717391304347826</x:v>
      </x:c>
      <x:c r="E22" s="19" t="n">
        <x:f>M10</x:f>
        <x:v>0.8115942028985508</x:v>
      </x:c>
      <x:c r="F22" s="19" t="n">
        <x:f>O10</x:f>
        <x:v>0.2506265664160401</x:v>
      </x:c>
      <x:c r="G22" s="16">
        <x:v>5</x:v>
      </x:c>
      <x:c r="H22" s="3" t="s">
        <x:v>152</x:v>
      </x:c>
      <x:c r="I22" s="1"/>
      <x:c r="J22" s="1"/>
      <x:c r="K22" s="1"/>
      <x:c r="L22" s="1"/>
      <x:c r="M22" s="1"/>
      <x:c r="N22" s="1"/>
      <x:c r="O22" s="1"/>
      <x:c r="P22" s="1"/>
      <x:c r="Q22" s="1"/>
      <x:c r="R22" s="1"/>
      <x:c r="S22" s="1"/>
      <x:c r="T22" s="1"/>
      <x:c r="U22" s="1"/>
      <x:c r="V22" s="1"/>
      <x:c r="W22" s="1"/>
      <x:c r="X22" s="1"/>
      <x:c r="Y22" s="1"/>
      <x:c r="Z22" s="1"/>
    </x:row>
    <x:row r="23" ht="22.649999618530273" customHeight="1">
      <x:c r="A23" s="4" t="s">
        <x:v>35</x:v>
      </x:c>
      <x:c r="B23" s="18" t="s">
        <x:v>31</x:v>
      </x:c>
      <x:c r="C23" s="18">
        <x:v>40</x:v>
      </x:c>
      <x:c r="D23" s="20" t="n">
        <x:f>I8</x:f>
        <x:v>0.7</x:v>
      </x:c>
      <x:c r="E23" s="20" t="n">
        <x:f>M8</x:f>
        <x:v>0.8064516129032258</x:v>
      </x:c>
      <x:c r="F23" s="20" t="n">
        <x:f>O8</x:f>
        <x:v>0.1519434628975264</x:v>
      </x:c>
      <x:c r="G23" s="18">
        <x:v>4</x:v>
      </x:c>
      <x:c r="H23" s="5" t="s">
        <x:v>153</x:v>
      </x:c>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sheetData>
  <x:mergeCells>
    <x:mergeCell ref="A1:S1"/>
    <x:mergeCell ref="A2:S3"/>
  </x:mergeCells>
  <x:conditionalFormatting sqref="D21:F23">
    <x:cfRule type="colorScale" priority="2">
      <x:colorScale>
        <x:cfvo type="min"/>
        <x:cfvo type="percentile" val="50"/>
        <x:cfvo type="max"/>
        <x:color rgb="FFFCE4D6"/>
        <x:color rgb="FFFFF2CC"/>
        <x:color rgb="FFE2F0D9"/>
      </x:colorScale>
    </x:cfRule>
  </x:conditionalFormatting>
  <x:conditionalFormatting sqref="I6:O17">
    <x:cfRule type="colorScale" priority="1">
      <x:colorScale>
        <x:cfvo type="min"/>
        <x:cfvo type="percentile" val="50"/>
        <x:cfvo type="max"/>
        <x:color rgb="FFF4CCCC"/>
        <x:color rgb="FFFFF2CC"/>
        <x:color rgb="FFD9EAD3"/>
      </x:colorScale>
    </x:cfRule>
  </x:conditionalFormatting>
  <x:pageMargins left="0.7" right="0.7" top="0.75" bottom="0.75" header="0.3" footer="0.3"/>
  <x:drawing xmlns:r="http://schemas.openxmlformats.org/officeDocument/2006/relationships" r:id="Rc398c79b1b3b4440"/>
  <x:tableParts count="2">
    <x:tablePart xmlns:r="http://schemas.openxmlformats.org/officeDocument/2006/relationships" r:id="R06c9c97ad59b4e2b"/>
    <x:tablePart xmlns:r="http://schemas.openxmlformats.org/officeDocument/2006/relationships" r:id="Rc2561d09a1e84f01"/>
  </x:tableParts>
</x:worksheet>
</file>

<file path=xl/worksheets/sheet10.xml><?xml version="1.0" encoding="utf-8"?>
<x:worksheet xmlns:x="http://schemas.openxmlformats.org/spreadsheetml/2006/main">
  <x:sheetFormatPr defaultRowHeight="14"/>
  <x:cols>
    <x:col min="1" max="1" width="27" hidden="0" customWidth="1"/>
    <x:col min="2" max="2" width="23" hidden="0" customWidth="1"/>
    <x:col min="3" max="3" width="16" hidden="0" customWidth="1"/>
    <x:col min="4" max="7" width="15" customWidth="1"/>
    <x:col min="4" max="4" width="16" hidden="0" customWidth="1"/>
    <x:col min="5" max="5" width="14" hidden="0" customWidth="1"/>
    <x:col min="6" max="6" width="18" hidden="0" customWidth="1"/>
    <x:col min="7" max="7" width="38" hidden="0" customWidth="1"/>
  </x:cols>
  <x:sheetData>
    <x:row r="1" ht="28" customHeight="1">
      <x:c r="A1" s="490" t="str">
        <x:v>Inter-Coder Reliability</x:v>
      </x:c>
      <x:c r="B1" s="490"/>
      <x:c r="C1" s="490"/>
      <x:c r="D1" s="490"/>
      <x:c r="E1" s="490"/>
      <x:c r="F1" s="490"/>
      <x:c r="G1" s="490"/>
      <x:c r="H1" s="490"/>
      <x:c r="I1" s="490"/>
      <x:c r="J1" s="490"/>
      <x:c r="K1" s="6"/>
      <x:c r="L1" s="6"/>
      <x:c r="M1" s="6"/>
      <x:c r="N1" s="6"/>
      <x:c r="O1" s="6"/>
      <x:c r="P1" s="6"/>
      <x:c r="Q1" s="6"/>
      <x:c r="R1" s="6"/>
      <x:c r="S1" s="6"/>
      <x:c r="T1" s="6"/>
      <x:c r="U1" s="6"/>
      <x:c r="V1" s="6"/>
      <x:c r="W1" s="6"/>
      <x:c r="X1" s="6"/>
      <x:c r="Y1" s="6"/>
      <x:c r="Z1" s="6"/>
    </x:row>
    <x:row r="2" ht="20" customHeight="1">
      <x:c r="A2" s="491" t="str">
        <x:v>Model–human agreement is shown for the best cleaned provider strategies and for the current-codebook local-context test. Model–model agreement comes from the new production-document run.</x:v>
      </x:c>
      <x:c r="B2" s="491"/>
      <x:c r="C2" s="491"/>
      <x:c r="D2" s="491"/>
      <x:c r="E2" s="491"/>
      <x:c r="F2" s="491"/>
      <x:c r="G2" s="491"/>
      <x:c r="H2" s="491"/>
      <x:c r="I2" s="491"/>
      <x:c r="J2" s="491"/>
      <x:c r="K2" s="1"/>
      <x:c r="L2" s="1"/>
      <x:c r="M2" s="1"/>
      <x:c r="N2" s="1"/>
      <x:c r="O2" s="1"/>
      <x:c r="P2" s="1"/>
      <x:c r="Q2" s="1"/>
      <x:c r="R2" s="1"/>
      <x:c r="S2" s="1"/>
      <x:c r="T2" s="1"/>
      <x:c r="U2" s="1"/>
      <x:c r="V2" s="1"/>
      <x:c r="W2" s="1"/>
      <x:c r="X2" s="1"/>
      <x:c r="Y2" s="1"/>
      <x:c r="Z2" s="1"/>
    </x:row>
    <x:row r="3" ht="20" customHeight="1">
      <x:c r="A3" s="491"/>
      <x:c r="B3" s="491"/>
      <x:c r="C3" s="491"/>
      <x:c r="D3" s="491"/>
      <x:c r="E3" s="491"/>
      <x:c r="F3" s="491"/>
      <x:c r="G3" s="491"/>
      <x:c r="H3" s="491"/>
      <x:c r="I3" s="491"/>
      <x:c r="J3" s="49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35" t="s">
        <x:v>154</x:v>
      </x:c>
      <x:c r="B5" s="37" t="s">
        <x:v>22</x:v>
      </x:c>
      <x:c r="C5" s="37" t="s">
        <x:v>155</x:v>
      </x:c>
      <x:c r="D5" s="37" t="s">
        <x:v>128</x:v>
      </x:c>
      <x:c r="E5" s="37" t="s">
        <x:v>26</x:v>
      </x:c>
      <x:c r="F5" s="37" t="s">
        <x:v>27</x:v>
      </x:c>
      <x:c r="G5" s="36" t="s">
        <x:v>28</x:v>
      </x:c>
      <x:c r="H5" s="1"/>
      <x:c r="I5" s="1" t="s">
        <x:v>155</x:v>
      </x:c>
      <x:c r="J5" s="1" t="s">
        <x:v>136</x:v>
      </x:c>
      <x:c r="K5" s="1"/>
      <x:c r="L5" s="1"/>
      <x:c r="M5" s="1"/>
      <x:c r="N5" s="1"/>
      <x:c r="O5" s="1"/>
      <x:c r="P5" s="1"/>
      <x:c r="Q5" s="1"/>
      <x:c r="R5" s="1"/>
      <x:c r="S5" s="1"/>
      <x:c r="T5" s="1"/>
      <x:c r="U5" s="1"/>
      <x:c r="V5" s="1"/>
      <x:c r="W5" s="1"/>
      <x:c r="X5" s="1"/>
      <x:c r="Y5" s="1"/>
      <x:c r="Z5" s="1"/>
    </x:row>
    <x:row r="6">
      <x:c r="A6" s="7" t="s">
        <x:v>156</x:v>
      </x:c>
      <x:c r="B6" s="1" t="s">
        <x:v>29</x:v>
      </x:c>
      <x:c r="C6" s="1" t="s">
        <x:v>157</x:v>
      </x:c>
      <x:c r="D6" s="1">
        <x:v>40</x:v>
      </x:c>
      <x:c r="E6" s="8">
        <x:v>0.72499999999999998</x:v>
      </x:c>
      <x:c r="F6" s="8">
        <x:v>0.80701754390000002</x:v>
      </x:c>
      <x:c r="G6" s="9">
        <x:v>0.36781609199999998</x:v>
      </x:c>
      <x:c r="H6" s="1"/>
      <x:c r="I6" s="1" t="s">
        <x:v>157</x:v>
      </x:c>
      <x:c r="J6" s="8">
        <x:v>0.36781609199999998</x:v>
      </x:c>
      <x:c r="K6" s="1"/>
      <x:c r="L6" s="1"/>
      <x:c r="M6" s="1"/>
      <x:c r="N6" s="1"/>
      <x:c r="O6" s="1"/>
      <x:c r="P6" s="1"/>
      <x:c r="Q6" s="1"/>
      <x:c r="R6" s="1"/>
      <x:c r="S6" s="1"/>
      <x:c r="T6" s="1"/>
      <x:c r="U6" s="1"/>
      <x:c r="V6" s="1"/>
      <x:c r="W6" s="1"/>
      <x:c r="X6" s="1"/>
      <x:c r="Y6" s="1"/>
      <x:c r="Z6" s="1"/>
    </x:row>
    <x:row r="7">
      <x:c r="A7" s="7" t="s">
        <x:v>156</x:v>
      </x:c>
      <x:c r="B7" s="1" t="s">
        <x:v>32</x:v>
      </x:c>
      <x:c r="C7" s="1" t="s">
        <x:v>158</x:v>
      </x:c>
      <x:c r="D7" s="1">
        <x:v>46</x:v>
      </x:c>
      <x:c r="E7" s="8">
        <x:v>0.71739130429999998</x:v>
      </x:c>
      <x:c r="F7" s="8">
        <x:v>0.81159420289999995</x:v>
      </x:c>
      <x:c r="G7" s="9">
        <x:v>0.25062656639999997</x:v>
      </x:c>
      <x:c r="H7" s="1"/>
      <x:c r="I7" s="1" t="s">
        <x:v>158</x:v>
      </x:c>
      <x:c r="J7" s="8">
        <x:v>0.25062656639999997</x:v>
      </x:c>
      <x:c r="K7" s="1"/>
      <x:c r="L7" s="1"/>
      <x:c r="M7" s="1"/>
      <x:c r="N7" s="1"/>
      <x:c r="O7" s="1"/>
      <x:c r="P7" s="1"/>
      <x:c r="Q7" s="1"/>
      <x:c r="R7" s="1"/>
      <x:c r="S7" s="1"/>
      <x:c r="T7" s="1"/>
      <x:c r="U7" s="1"/>
      <x:c r="V7" s="1"/>
      <x:c r="W7" s="1"/>
      <x:c r="X7" s="1"/>
      <x:c r="Y7" s="1"/>
      <x:c r="Z7" s="1"/>
    </x:row>
    <x:row r="8">
      <x:c r="A8" s="7" t="s">
        <x:v>156</x:v>
      </x:c>
      <x:c r="B8" s="1" t="s">
        <x:v>35</x:v>
      </x:c>
      <x:c r="C8" s="1" t="s">
        <x:v>159</x:v>
      </x:c>
      <x:c r="D8" s="1">
        <x:v>40</x:v>
      </x:c>
      <x:c r="E8" s="8">
        <x:v>0.7</x:v>
      </x:c>
      <x:c r="F8" s="8">
        <x:v>0.8064516129</x:v>
      </x:c>
      <x:c r="G8" s="9">
        <x:v>0.15194346289999999</x:v>
      </x:c>
      <x:c r="H8" s="1"/>
      <x:c r="I8" s="1" t="s">
        <x:v>159</x:v>
      </x:c>
      <x:c r="J8" s="8">
        <x:v>0.15194346289999999</x:v>
      </x:c>
      <x:c r="K8" s="1"/>
      <x:c r="L8" s="1"/>
      <x:c r="M8" s="1"/>
      <x:c r="N8" s="1"/>
      <x:c r="O8" s="1"/>
      <x:c r="P8" s="1"/>
      <x:c r="Q8" s="1"/>
      <x:c r="R8" s="1"/>
      <x:c r="S8" s="1"/>
      <x:c r="T8" s="1"/>
      <x:c r="U8" s="1"/>
      <x:c r="V8" s="1"/>
      <x:c r="W8" s="1"/>
      <x:c r="X8" s="1"/>
      <x:c r="Y8" s="1"/>
      <x:c r="Z8" s="1"/>
    </x:row>
    <x:row r="9">
      <x:c r="A9" s="7" t="s">
        <x:v>160</x:v>
      </x:c>
      <x:c r="B9" s="1" t="s">
        <x:v>32</x:v>
      </x:c>
      <x:c r="C9" s="1" t="s">
        <x:v>33</x:v>
      </x:c>
      <x:c r="D9" s="1">
        <x:v>42</x:v>
      </x:c>
      <x:c r="E9" s="8">
        <x:v>0.54761904760000002</x:v>
      </x:c>
      <x:c r="F9" s="8">
        <x:v>0.59574468089999999</x:v>
      </x:c>
      <x:c r="G9" s="9">
        <x:v>0.21301775149999999</x:v>
      </x:c>
      <x:c r="H9" s="1"/>
      <x:c r="I9" s="1" t="s">
        <x:v>33</x:v>
      </x:c>
      <x:c r="J9" s="8">
        <x:v>0.21301775149999999</x:v>
      </x:c>
      <x:c r="K9" s="1"/>
      <x:c r="L9" s="1"/>
      <x:c r="M9" s="1"/>
      <x:c r="N9" s="1"/>
      <x:c r="O9" s="1"/>
      <x:c r="P9" s="1"/>
      <x:c r="Q9" s="1"/>
      <x:c r="R9" s="1"/>
      <x:c r="S9" s="1"/>
      <x:c r="T9" s="1"/>
      <x:c r="U9" s="1"/>
      <x:c r="V9" s="1"/>
      <x:c r="W9" s="1"/>
      <x:c r="X9" s="1"/>
      <x:c r="Y9" s="1"/>
      <x:c r="Z9" s="1"/>
    </x:row>
    <x:row r="10">
      <x:c r="A10" s="7" t="s">
        <x:v>160</x:v>
      </x:c>
      <x:c r="B10" s="1" t="s">
        <x:v>35</x:v>
      </x:c>
      <x:c r="C10" s="1" t="s">
        <x:v>36</x:v>
      </x:c>
      <x:c r="D10" s="1">
        <x:v>42</x:v>
      </x:c>
      <x:c r="E10" s="8">
        <x:v>0.45238095239999998</x:v>
      </x:c>
      <x:c r="F10" s="8">
        <x:v>0.4390243902</x:v>
      </x:c>
      <x:c r="G10" s="9">
        <x:v>0.15706806279999999</x:v>
      </x:c>
      <x:c r="H10" s="1"/>
      <x:c r="I10" s="1" t="s">
        <x:v>36</x:v>
      </x:c>
      <x:c r="J10" s="8">
        <x:v>0.15706806279999999</x:v>
      </x:c>
      <x:c r="K10" s="1"/>
      <x:c r="L10" s="1"/>
      <x:c r="M10" s="1"/>
      <x:c r="N10" s="1"/>
      <x:c r="O10" s="1"/>
      <x:c r="P10" s="1"/>
      <x:c r="Q10" s="1"/>
      <x:c r="R10" s="1"/>
      <x:c r="S10" s="1"/>
      <x:c r="T10" s="1"/>
      <x:c r="U10" s="1"/>
      <x:c r="V10" s="1"/>
      <x:c r="W10" s="1"/>
      <x:c r="X10" s="1"/>
      <x:c r="Y10" s="1"/>
      <x:c r="Z10" s="1"/>
    </x:row>
    <x:row r="11">
      <x:c r="A11" s="10" t="s">
        <x:v>160</x:v>
      </x:c>
      <x:c r="B11" s="11" t="s">
        <x:v>29</x:v>
      </x:c>
      <x:c r="C11" s="11" t="s">
        <x:v>30</x:v>
      </x:c>
      <x:c r="D11" s="11">
        <x:v>42</x:v>
      </x:c>
      <x:c r="E11" s="12">
        <x:v>0.40476190480000002</x:v>
      </x:c>
      <x:c r="F11" s="12">
        <x:v>0.35897435900000002</x:v>
      </x:c>
      <x:c r="G11" s="13">
        <x:v>0.1176470588</x:v>
      </x:c>
      <x:c r="H11" s="1"/>
      <x:c r="I11" s="1" t="s">
        <x:v>30</x:v>
      </x:c>
      <x:c r="J11" s="8">
        <x:v>0.1176470588</x:v>
      </x:c>
      <x:c r="K11" s="1"/>
      <x:c r="L11" s="1"/>
      <x:c r="M11" s="1"/>
      <x:c r="N11" s="1"/>
      <x:c r="O11" s="1"/>
      <x:c r="P11" s="1"/>
      <x:c r="Q11" s="1"/>
      <x:c r="R11" s="1"/>
      <x:c r="S11" s="1"/>
      <x:c r="T11" s="1"/>
      <x:c r="U11" s="1"/>
      <x:c r="V11" s="1"/>
      <x:c r="W11" s="1"/>
      <x:c r="X11" s="1"/>
      <x:c r="Y11" s="1"/>
      <x:c r="Z11" s="1"/>
    </x:row>
    <x:row r="12">
      <x:c r="A12" s="1"/>
      <x:c r="B12" s="1"/>
      <x:c r="C12" s="1"/>
      <x:c r="D12" s="1"/>
      <x:c r="E12" s="1"/>
      <x:c r="F12" s="1"/>
      <x:c r="G12" s="1"/>
      <x:c r="H12" s="1"/>
      <x:c r="I12" s="1"/>
      <x:c r="J12" s="1"/>
      <x:c r="K12" s="1"/>
      <x:c r="L12" s="1"/>
      <x:c r="M12" s="1"/>
      <x:c r="N12" s="1"/>
      <x:c r="O12" s="1"/>
      <x:c r="P12" s="1"/>
      <x:c r="Q12" s="1"/>
      <x:c r="R12" s="1"/>
      <x:c r="S12" s="1"/>
      <x:c r="T12" s="1"/>
      <x:c r="U12" s="1"/>
      <x:c r="V12" s="1"/>
      <x:c r="W12" s="1"/>
      <x:c r="X12" s="1"/>
      <x:c r="Y12" s="1"/>
      <x:c r="Z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row>
    <x:row r="14" ht="26">
      <x:c r="A14" s="136" t="str">
        <x:v>Dimension</x:v>
      </x:c>
      <x:c r="B14" s="225" t="str">
        <x:v>Scope</x:v>
      </x:c>
      <x:c r="C14" s="225" t="str">
        <x:v>Units</x:v>
      </x:c>
      <x:c r="D14" s="225" t="str">
        <x:v>Unanimous agreement</x:v>
      </x:c>
      <x:c r="E14" s="225" t="str">
        <x:v>Fleiss κ</x:v>
      </x:c>
      <x:c r="F14" s="137" t="str">
        <x:v>Krippendorff α</x:v>
      </x:c>
      <x:c r="G14" s="137" t="str">
        <x:v>Interpretation</x:v>
      </x:c>
      <x:c r="H14" s="1"/>
      <x:c r="I14" s="1"/>
      <x:c r="J14" s="1"/>
      <x:c r="K14" s="1"/>
      <x:c r="L14" s="1"/>
      <x:c r="M14" s="1"/>
      <x:c r="N14" s="1"/>
      <x:c r="O14" s="1"/>
      <x:c r="P14" s="1"/>
      <x:c r="Q14" s="1"/>
      <x:c r="R14" s="1"/>
      <x:c r="S14" s="1"/>
      <x:c r="T14" s="1"/>
      <x:c r="U14" s="1"/>
      <x:c r="V14" s="1"/>
      <x:c r="W14" s="1"/>
      <x:c r="X14" s="1"/>
      <x:c r="Y14" s="1"/>
      <x:c r="Z14" s="1"/>
    </x:row>
    <x:row r="15">
      <x:c r="A15" s="160" t="str">
        <x:v>Unlearning binary</x:v>
      </x:c>
      <x:c r="B15" s="235" t="str">
        <x:v>Logical paragraphs</x:v>
      </x:c>
      <x:c r="C15" s="235" t="n">
        <x:v>32</x:v>
      </x:c>
      <x:c r="D15" s="236" t="n">
        <x:v>0.6875</x:v>
      </x:c>
      <x:c r="E15" s="252" t="n">
        <x:v>0.484702</x:v>
      </x:c>
      <x:c r="F15" s="330" t="n">
        <x:v>0.49007</x:v>
      </x:c>
      <x:c r="G15" s="161" t="str">
        <x:v>Moderate; appropriate for screening and prioritizing review.</x:v>
      </x:c>
      <x:c r="H15" s="1"/>
      <x:c r="I15" s="1"/>
      <x:c r="J15" s="1"/>
      <x:c r="K15" s="1"/>
      <x:c r="L15" s="1"/>
      <x:c r="M15" s="1"/>
      <x:c r="N15" s="1"/>
      <x:c r="O15" s="1"/>
      <x:c r="P15" s="1"/>
      <x:c r="Q15" s="1"/>
      <x:c r="R15" s="1"/>
      <x:c r="S15" s="1"/>
      <x:c r="T15" s="1"/>
      <x:c r="U15" s="1"/>
      <x:c r="V15" s="1"/>
      <x:c r="W15" s="1"/>
      <x:c r="X15" s="1"/>
      <x:c r="Y15" s="1"/>
      <x:c r="Z15" s="1"/>
    </x:row>
    <x:row r="16">
      <x:c r="A16" s="162" t="str">
        <x:v>Target including none</x:v>
      </x:c>
      <x:c r="B16" s="237" t="str">
        <x:v>Logical paragraphs</x:v>
      </x:c>
      <x:c r="C16" s="237" t="n">
        <x:v>32</x:v>
      </x:c>
      <x:c r="D16" s="238" t="n">
        <x:v>0.65625</x:v>
      </x:c>
      <x:c r="E16" s="253" t="n">
        <x:v>0.438596</x:v>
      </x:c>
      <x:c r="F16" s="331" t="n">
        <x:v>0.444444</x:v>
      </x:c>
      <x:c r="G16" s="163" t="str">
        <x:v>Moderate overall, but less stable than the binary decision.</x:v>
      </x:c>
      <x:c r="H16" s="1"/>
      <x:c r="I16" s="1"/>
      <x:c r="J16" s="1"/>
      <x:c r="K16" s="1"/>
      <x:c r="L16" s="1"/>
      <x:c r="M16" s="1"/>
      <x:c r="N16" s="1"/>
      <x:c r="O16" s="1"/>
      <x:c r="P16" s="1"/>
      <x:c r="Q16" s="1"/>
      <x:c r="R16" s="1"/>
      <x:c r="S16" s="1"/>
      <x:c r="T16" s="1"/>
      <x:c r="U16" s="1"/>
      <x:c r="V16" s="1"/>
      <x:c r="W16" s="1"/>
      <x:c r="X16" s="1"/>
      <x:c r="Y16" s="1"/>
      <x:c r="Z16" s="1"/>
    </x:row>
    <x:row r="17">
      <x:c r="A17" s="164" t="str">
        <x:v>Target on any-model-positive</x:v>
      </x:c>
      <x:c r="B17" s="239" t="str">
        <x:v>Flagged paragraphs</x:v>
      </x:c>
      <x:c r="C17" s="239" t="n">
        <x:v>14</x:v>
      </x:c>
      <x:c r="D17" s="240" t="n">
        <x:v>0.214286</x:v>
      </x:c>
      <x:c r="E17" s="254" t="n">
        <x:v>0.151515</x:v>
      </x:c>
      <x:c r="F17" s="332" t="n">
        <x:v>0.171717</x:v>
      </x:c>
      <x:c r="G17" s="165" t="str">
        <x:v>Weak; final target categories require human adjudication.</x:v>
      </x:c>
      <x:c r="H17" s="1"/>
      <x:c r="I17" s="1"/>
      <x:c r="J17" s="1"/>
      <x:c r="K17" s="1"/>
      <x:c r="L17" s="1"/>
      <x:c r="M17" s="1"/>
      <x:c r="N17" s="1"/>
      <x:c r="O17" s="1"/>
      <x:c r="P17" s="1"/>
      <x:c r="Q17" s="1"/>
      <x:c r="R17" s="1"/>
      <x:c r="S17" s="1"/>
      <x:c r="T17" s="1"/>
      <x:c r="U17" s="1"/>
      <x:c r="V17" s="1"/>
      <x:c r="W17" s="1"/>
      <x:c r="X17" s="1"/>
      <x:c r="Y17" s="1"/>
      <x:c r="Z17" s="1"/>
    </x:row>
    <x:row r="18">
      <x:c r="A18" s="7"/>
      <x:c r="B18" s="1"/>
      <x:c r="C18" s="1"/>
      <x:c r="D18" s="8"/>
      <x:c r="E18" s="8"/>
      <x:c r="F18" s="9"/>
      <x:c r="G18" s="1"/>
      <x:c r="H18" s="1"/>
      <x:c r="I18" s="1"/>
      <x:c r="J18" s="1"/>
      <x:c r="K18" s="1"/>
      <x:c r="L18" s="1"/>
      <x:c r="M18" s="1"/>
      <x:c r="N18" s="1"/>
      <x:c r="O18" s="1"/>
      <x:c r="P18" s="1"/>
      <x:c r="Q18" s="1"/>
      <x:c r="R18" s="1"/>
      <x:c r="S18" s="1"/>
      <x:c r="T18" s="1"/>
      <x:c r="U18" s="1"/>
      <x:c r="V18" s="1"/>
      <x:c r="W18" s="1"/>
      <x:c r="X18" s="1"/>
      <x:c r="Y18" s="1"/>
      <x:c r="Z18" s="1"/>
    </x:row>
    <x:row r="19">
      <x:c r="A19" s="7"/>
      <x:c r="B19" s="1"/>
      <x:c r="C19" s="1"/>
      <x:c r="D19" s="8"/>
      <x:c r="E19" s="8"/>
      <x:c r="F19" s="9"/>
      <x:c r="G19" s="1"/>
      <x:c r="H19" s="1"/>
      <x:c r="I19" s="1"/>
      <x:c r="J19" s="1"/>
      <x:c r="K19" s="1"/>
      <x:c r="L19" s="1"/>
      <x:c r="M19" s="1"/>
      <x:c r="N19" s="1"/>
      <x:c r="O19" s="1"/>
      <x:c r="P19" s="1"/>
      <x:c r="Q19" s="1"/>
      <x:c r="R19" s="1"/>
      <x:c r="S19" s="1"/>
      <x:c r="T19" s="1"/>
      <x:c r="U19" s="1"/>
      <x:c r="V19" s="1"/>
      <x:c r="W19" s="1"/>
      <x:c r="X19" s="1"/>
      <x:c r="Y19" s="1"/>
      <x:c r="Z19" s="1"/>
    </x:row>
    <x:row r="20">
      <x:c r="A20" s="10"/>
      <x:c r="B20" s="11"/>
      <x:c r="C20" s="11"/>
      <x:c r="D20" s="12"/>
      <x:c r="E20" s="12"/>
      <x:c r="F20" s="13"/>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ht="26">
      <x:c r="A23" s="136" t="str">
        <x:v>Dimension</x:v>
      </x:c>
      <x:c r="B23" s="225" t="str">
        <x:v>Scope</x:v>
      </x:c>
      <x:c r="C23" s="225" t="str">
        <x:v>Coder A</x:v>
      </x:c>
      <x:c r="D23" s="225" t="str">
        <x:v>Coder B</x:v>
      </x:c>
      <x:c r="E23" s="225" t="str">
        <x:v>Units</x:v>
      </x:c>
      <x:c r="F23" s="225" t="str">
        <x:v>Percent agreement</x:v>
      </x:c>
      <x:c r="G23" s="137" t="str">
        <x:v>Cohen κ</x:v>
      </x:c>
      <x:c r="H23" s="1"/>
      <x:c r="I23" s="1"/>
      <x:c r="J23" s="1"/>
      <x:c r="K23" s="1"/>
      <x:c r="L23" s="1"/>
      <x:c r="M23" s="1"/>
      <x:c r="N23" s="1"/>
      <x:c r="O23" s="1"/>
      <x:c r="P23" s="1"/>
      <x:c r="Q23" s="1"/>
      <x:c r="R23" s="1"/>
      <x:c r="S23" s="1"/>
      <x:c r="T23" s="1"/>
      <x:c r="U23" s="1"/>
      <x:c r="V23" s="1"/>
      <x:c r="W23" s="1"/>
      <x:c r="X23" s="1"/>
      <x:c r="Y23" s="1"/>
      <x:c r="Z23" s="1"/>
    </x:row>
    <x:row r="24">
      <x:c r="A24" s="160" t="str">
        <x:v>Unlearning binary</x:v>
      </x:c>
      <x:c r="B24" s="235" t="str">
        <x:v>Logical paragraphs</x:v>
      </x:c>
      <x:c r="C24" s="235" t="str">
        <x:v>OpenAI</x:v>
      </x:c>
      <x:c r="D24" s="235" t="str">
        <x:v>Anthropic</x:v>
      </x:c>
      <x:c r="E24" s="235" t="n">
        <x:v>32</x:v>
      </x:c>
      <x:c r="F24" s="236" t="n">
        <x:v>0.84375</x:v>
      </x:c>
      <x:c r="G24" s="330" t="n">
        <x:v>0.518072</x:v>
      </x:c>
      <x:c r="H24" s="1"/>
      <x:c r="I24" s="1"/>
      <x:c r="J24" s="1"/>
      <x:c r="K24" s="1"/>
      <x:c r="L24" s="1"/>
      <x:c r="M24" s="1"/>
      <x:c r="N24" s="1"/>
      <x:c r="O24" s="1"/>
      <x:c r="P24" s="1"/>
      <x:c r="Q24" s="1"/>
      <x:c r="R24" s="1"/>
      <x:c r="S24" s="1"/>
      <x:c r="T24" s="1"/>
      <x:c r="U24" s="1"/>
      <x:c r="V24" s="1"/>
      <x:c r="W24" s="1"/>
      <x:c r="X24" s="1"/>
      <x:c r="Y24" s="1"/>
      <x:c r="Z24" s="1"/>
    </x:row>
    <x:row r="25">
      <x:c r="A25" s="162" t="str">
        <x:v>Unlearning binary</x:v>
      </x:c>
      <x:c r="B25" s="237" t="str">
        <x:v>Logical paragraphs</x:v>
      </x:c>
      <x:c r="C25" s="237" t="str">
        <x:v>OpenAI</x:v>
      </x:c>
      <x:c r="D25" s="237" t="str">
        <x:v>Google</x:v>
      </x:c>
      <x:c r="E25" s="237" t="n">
        <x:v>32</x:v>
      </x:c>
      <x:c r="F25" s="238" t="n">
        <x:v>0.75</x:v>
      </x:c>
      <x:c r="G25" s="331" t="n">
        <x:v>0.457627</x:v>
      </x:c>
      <x:c r="H25" s="1"/>
      <x:c r="I25" s="1"/>
      <x:c r="J25" s="1"/>
      <x:c r="K25" s="1"/>
      <x:c r="L25" s="1"/>
      <x:c r="M25" s="1"/>
      <x:c r="N25" s="1"/>
      <x:c r="O25" s="1"/>
      <x:c r="P25" s="1"/>
      <x:c r="Q25" s="1"/>
      <x:c r="R25" s="1"/>
      <x:c r="S25" s="1"/>
      <x:c r="T25" s="1"/>
      <x:c r="U25" s="1"/>
      <x:c r="V25" s="1"/>
      <x:c r="W25" s="1"/>
      <x:c r="X25" s="1"/>
      <x:c r="Y25" s="1"/>
      <x:c r="Z25" s="1"/>
    </x:row>
    <x:row r="26">
      <x:c r="A26" s="162" t="str">
        <x:v>Unlearning binary</x:v>
      </x:c>
      <x:c r="B26" s="237" t="str">
        <x:v>Logical paragraphs</x:v>
      </x:c>
      <x:c r="C26" s="237" t="str">
        <x:v>Anthropic</x:v>
      </x:c>
      <x:c r="D26" s="237" t="str">
        <x:v>Google</x:v>
      </x:c>
      <x:c r="E26" s="237" t="n">
        <x:v>32</x:v>
      </x:c>
      <x:c r="F26" s="238" t="n">
        <x:v>0.78125</x:v>
      </x:c>
      <x:c r="G26" s="331" t="n">
        <x:v>0.529412</x:v>
      </x:c>
      <x:c r="H26" s="1"/>
      <x:c r="I26" s="1"/>
      <x:c r="J26" s="1"/>
      <x:c r="K26" s="1"/>
      <x:c r="L26" s="1"/>
      <x:c r="M26" s="1"/>
      <x:c r="N26" s="1"/>
      <x:c r="O26" s="1"/>
      <x:c r="P26" s="1"/>
      <x:c r="Q26" s="1"/>
      <x:c r="R26" s="1"/>
      <x:c r="S26" s="1"/>
      <x:c r="T26" s="1"/>
      <x:c r="U26" s="1"/>
      <x:c r="V26" s="1"/>
      <x:c r="W26" s="1"/>
      <x:c r="X26" s="1"/>
      <x:c r="Y26" s="1"/>
      <x:c r="Z26" s="1"/>
    </x:row>
    <x:row r="27">
      <x:c r="A27" s="162" t="str">
        <x:v>Target including none</x:v>
      </x:c>
      <x:c r="B27" s="237" t="str">
        <x:v>Logical paragraphs</x:v>
      </x:c>
      <x:c r="C27" s="237" t="str">
        <x:v>OpenAI</x:v>
      </x:c>
      <x:c r="D27" s="237" t="str">
        <x:v>Anthropic</x:v>
      </x:c>
      <x:c r="E27" s="237" t="n">
        <x:v>32</x:v>
      </x:c>
      <x:c r="F27" s="238" t="n">
        <x:v>0.8125</x:v>
      </x:c>
      <x:c r="G27" s="331" t="n">
        <x:v>0.457627</x:v>
      </x:c>
      <x:c r="H27" s="1"/>
      <x:c r="I27" s="1"/>
      <x:c r="J27" s="1"/>
      <x:c r="K27" s="1"/>
      <x:c r="L27" s="1"/>
      <x:c r="M27" s="1"/>
      <x:c r="N27" s="1"/>
      <x:c r="O27" s="1"/>
      <x:c r="P27" s="1"/>
      <x:c r="Q27" s="1"/>
      <x:c r="R27" s="1"/>
      <x:c r="S27" s="1"/>
      <x:c r="T27" s="1"/>
      <x:c r="U27" s="1"/>
      <x:c r="V27" s="1"/>
      <x:c r="W27" s="1"/>
      <x:c r="X27" s="1"/>
      <x:c r="Y27" s="1"/>
      <x:c r="Z27" s="1"/>
    </x:row>
    <x:row r="28">
      <x:c r="A28" s="162" t="str">
        <x:v>Target including none</x:v>
      </x:c>
      <x:c r="B28" s="237" t="str">
        <x:v>Logical paragraphs</x:v>
      </x:c>
      <x:c r="C28" s="237" t="str">
        <x:v>OpenAI</x:v>
      </x:c>
      <x:c r="D28" s="237" t="str">
        <x:v>Google</x:v>
      </x:c>
      <x:c r="E28" s="237" t="n">
        <x:v>32</x:v>
      </x:c>
      <x:c r="F28" s="238" t="n">
        <x:v>0.6875</x:v>
      </x:c>
      <x:c r="G28" s="331" t="n">
        <x:v>0.382239</x:v>
      </x:c>
      <x:c r="H28" s="1"/>
      <x:c r="I28" s="1"/>
      <x:c r="J28" s="1"/>
      <x:c r="K28" s="1"/>
      <x:c r="L28" s="1"/>
      <x:c r="M28" s="1"/>
      <x:c r="N28" s="1"/>
      <x:c r="O28" s="1"/>
      <x:c r="P28" s="1"/>
      <x:c r="Q28" s="1"/>
      <x:c r="R28" s="1"/>
      <x:c r="S28" s="1"/>
      <x:c r="T28" s="1"/>
      <x:c r="U28" s="1"/>
      <x:c r="V28" s="1"/>
      <x:c r="W28" s="1"/>
      <x:c r="X28" s="1"/>
      <x:c r="Y28" s="1"/>
      <x:c r="Z28" s="1"/>
    </x:row>
    <x:row r="29">
      <x:c r="A29" s="162" t="str">
        <x:v>Target including none</x:v>
      </x:c>
      <x:c r="B29" s="237" t="str">
        <x:v>Logical paragraphs</x:v>
      </x:c>
      <x:c r="C29" s="237" t="str">
        <x:v>Anthropic</x:v>
      </x:c>
      <x:c r="D29" s="237" t="str">
        <x:v>Google</x:v>
      </x:c>
      <x:c r="E29" s="237" t="n">
        <x:v>32</x:v>
      </x:c>
      <x:c r="F29" s="238" t="n">
        <x:v>0.75</x:v>
      </x:c>
      <x:c r="G29" s="331" t="n">
        <x:v>0.512381</x:v>
      </x:c>
      <x:c r="H29" s="1"/>
      <x:c r="I29" s="1"/>
      <x:c r="J29" s="1"/>
      <x:c r="K29" s="1"/>
      <x:c r="L29" s="1"/>
      <x:c r="M29" s="1"/>
      <x:c r="N29" s="1"/>
      <x:c r="O29" s="1"/>
      <x:c r="P29" s="1"/>
      <x:c r="Q29" s="1"/>
      <x:c r="R29" s="1"/>
      <x:c r="S29" s="1"/>
      <x:c r="T29" s="1"/>
      <x:c r="U29" s="1"/>
      <x:c r="V29" s="1"/>
      <x:c r="W29" s="1"/>
      <x:c r="X29" s="1"/>
      <x:c r="Y29" s="1"/>
      <x:c r="Z29" s="1"/>
    </x:row>
    <x:row r="30">
      <x:c r="A30" s="162" t="str">
        <x:v>Target on flagged rows</x:v>
      </x:c>
      <x:c r="B30" s="237" t="str">
        <x:v>14 positive candidates</x:v>
      </x:c>
      <x:c r="C30" s="237" t="str">
        <x:v>OpenAI</x:v>
      </x:c>
      <x:c r="D30" s="237" t="str">
        <x:v>Anthropic</x:v>
      </x:c>
      <x:c r="E30" s="237" t="n">
        <x:v>14</x:v>
      </x:c>
      <x:c r="F30" s="238" t="n">
        <x:v>0.571429</x:v>
      </x:c>
      <x:c r="G30" s="331" t="n">
        <x:v>0.3</x:v>
      </x:c>
      <x:c r="H30" s="1"/>
      <x:c r="I30" s="1"/>
      <x:c r="J30" s="1"/>
      <x:c r="K30" s="1"/>
      <x:c r="L30" s="1"/>
      <x:c r="M30" s="1"/>
      <x:c r="N30" s="1"/>
      <x:c r="O30" s="1"/>
      <x:c r="P30" s="1"/>
      <x:c r="Q30" s="1"/>
      <x:c r="R30" s="1"/>
      <x:c r="S30" s="1"/>
      <x:c r="T30" s="1"/>
      <x:c r="U30" s="1"/>
      <x:c r="V30" s="1"/>
      <x:c r="W30" s="1"/>
      <x:c r="X30" s="1"/>
      <x:c r="Y30" s="1"/>
      <x:c r="Z30" s="1"/>
    </x:row>
    <x:row r="31">
      <x:c r="A31" s="162" t="str">
        <x:v>Target on flagged rows</x:v>
      </x:c>
      <x:c r="B31" s="237" t="str">
        <x:v>14 positive candidates</x:v>
      </x:c>
      <x:c r="C31" s="237" t="str">
        <x:v>OpenAI</x:v>
      </x:c>
      <x:c r="D31" s="237" t="str">
        <x:v>Google</x:v>
      </x:c>
      <x:c r="E31" s="237" t="n">
        <x:v>14</x:v>
      </x:c>
      <x:c r="F31" s="238" t="n">
        <x:v>0.285714</x:v>
      </x:c>
      <x:c r="G31" s="331" t="n">
        <x:v>0.113924</x:v>
      </x:c>
      <x:c r="H31" s="1"/>
      <x:c r="I31" s="1"/>
      <x:c r="J31" s="1"/>
      <x:c r="K31" s="1"/>
      <x:c r="L31" s="1"/>
      <x:c r="M31" s="1"/>
      <x:c r="N31" s="1"/>
      <x:c r="O31" s="1"/>
      <x:c r="P31" s="1"/>
      <x:c r="Q31" s="1"/>
      <x:c r="R31" s="1"/>
      <x:c r="S31" s="1"/>
      <x:c r="T31" s="1"/>
      <x:c r="U31" s="1"/>
      <x:c r="V31" s="1"/>
      <x:c r="W31" s="1"/>
      <x:c r="X31" s="1"/>
      <x:c r="Y31" s="1"/>
      <x:c r="Z31" s="1"/>
    </x:row>
    <x:row r="32">
      <x:c r="A32" s="164" t="str">
        <x:v>Target on flagged rows</x:v>
      </x:c>
      <x:c r="B32" s="239" t="str">
        <x:v>14 positive candidates</x:v>
      </x:c>
      <x:c r="C32" s="239" t="str">
        <x:v>Anthropic</x:v>
      </x:c>
      <x:c r="D32" s="239" t="str">
        <x:v>Google</x:v>
      </x:c>
      <x:c r="E32" s="239" t="n">
        <x:v>14</x:v>
      </x:c>
      <x:c r="F32" s="240" t="n">
        <x:v>0.428571</x:v>
      </x:c>
      <x:c r="G32" s="332" t="n">
        <x:v>0.238095</x:v>
      </x:c>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ht="46" customHeight="1">
      <x:c r="A34" s="196" t="str">
        <x:v>Percent agreement is the share of paragraphs receiving the same label. Kappa discounts agreement that may occur because one label is common. Binary agreement is useful for triage, but target agreement among flagged passages is too low for automatic final coding.</x:v>
      </x:c>
      <x:c r="B34" s="292"/>
      <x:c r="C34" s="292"/>
      <x:c r="D34" s="292"/>
      <x:c r="E34" s="292"/>
      <x:c r="F34" s="292"/>
      <x:c r="G34" s="197"/>
      <x:c r="H34" s="1"/>
      <x:c r="I34" s="1"/>
      <x:c r="J34" s="1"/>
      <x:c r="K34" s="1"/>
      <x:c r="L34" s="1"/>
      <x:c r="M34" s="1"/>
      <x:c r="N34" s="1"/>
      <x:c r="O34" s="1"/>
      <x:c r="P34" s="1"/>
      <x:c r="Q34" s="1"/>
      <x:c r="R34" s="1"/>
      <x:c r="S34" s="1"/>
      <x:c r="T34" s="1"/>
      <x:c r="U34" s="1"/>
      <x:c r="V34" s="1"/>
      <x:c r="W34" s="1"/>
      <x:c r="X34" s="1"/>
      <x:c r="Y34" s="1"/>
      <x:c r="Z34" s="1"/>
    </x:row>
    <x:row r="35" ht="46" customHeight="1">
      <x:c r="A35" s="198"/>
      <x:c r="B35" s="114"/>
      <x:c r="C35" s="114"/>
      <x:c r="D35" s="114"/>
      <x:c r="E35" s="114"/>
      <x:c r="F35" s="114"/>
      <x:c r="G35" s="199"/>
      <x:c r="H35" s="1"/>
      <x:c r="I35" s="1"/>
      <x:c r="J35" s="1"/>
      <x:c r="K35" s="1"/>
      <x:c r="L35" s="1"/>
      <x:c r="M35" s="1"/>
      <x:c r="N35" s="1"/>
      <x:c r="O35" s="1"/>
      <x:c r="P35" s="1"/>
      <x:c r="Q35" s="1"/>
      <x:c r="R35" s="1"/>
      <x:c r="S35" s="1"/>
      <x:c r="T35" s="1"/>
      <x:c r="U35" s="1"/>
      <x:c r="V35" s="1"/>
      <x:c r="W35" s="1"/>
      <x:c r="X35" s="1"/>
      <x:c r="Y35" s="1"/>
      <x:c r="Z35" s="1"/>
    </x:row>
    <x:row r="36" ht="46" customHeight="1">
      <x:c r="A36" s="200"/>
      <x:c r="B36" s="293"/>
      <x:c r="C36" s="293"/>
      <x:c r="D36" s="293"/>
      <x:c r="E36" s="293"/>
      <x:c r="F36" s="293"/>
      <x:c r="G36" s="201"/>
      <x:c r="H36" s="1"/>
      <x:c r="I36" s="1"/>
      <x:c r="J36" s="1"/>
      <x:c r="K36" s="1"/>
      <x:c r="L36" s="1"/>
      <x:c r="M36" s="1"/>
      <x:c r="N36" s="1"/>
      <x:c r="O36" s="1"/>
      <x:c r="P36" s="1"/>
      <x:c r="Q36" s="1"/>
      <x:c r="R36" s="1"/>
      <x:c r="S36" s="1"/>
      <x:c r="T36" s="1"/>
      <x:c r="U36" s="1"/>
      <x:c r="V36" s="1"/>
      <x:c r="W36" s="1"/>
      <x:c r="X36" s="1"/>
      <x:c r="Y36" s="1"/>
      <x:c r="Z36" s="1"/>
    </x:row>
    <x:row r="37" ht="58" customHeight="1">
      <x:c r="A37" s="198"/>
      <x:c r="B37" s="114"/>
      <x:c r="C37" s="114"/>
      <x:c r="D37" s="114"/>
      <x:c r="E37" s="114"/>
      <x:c r="F37" s="114"/>
      <x:c r="G37" s="199"/>
      <x:c r="H37" s="1"/>
      <x:c r="I37" s="1"/>
      <x:c r="J37" s="1"/>
      <x:c r="K37" s="1"/>
      <x:c r="L37" s="1"/>
      <x:c r="M37" s="1"/>
      <x:c r="N37" s="1"/>
      <x:c r="O37" s="1"/>
      <x:c r="P37" s="1"/>
      <x:c r="Q37" s="1"/>
      <x:c r="R37" s="1"/>
      <x:c r="S37" s="1"/>
      <x:c r="T37" s="1"/>
      <x:c r="U37" s="1"/>
      <x:c r="V37" s="1"/>
      <x:c r="W37" s="1"/>
      <x:c r="X37" s="1"/>
      <x:c r="Y37" s="1"/>
      <x:c r="Z37" s="1"/>
    </x:row>
    <x:row r="38" ht="58" customHeight="1">
      <x:c r="A38" s="200"/>
      <x:c r="B38" s="293"/>
      <x:c r="C38" s="293"/>
      <x:c r="D38" s="293"/>
      <x:c r="E38" s="293"/>
      <x:c r="F38" s="293"/>
      <x:c r="G38" s="20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sheetData>
  <x:mergeCells>
    <x:mergeCell ref="A1:J1"/>
    <x:mergeCell ref="A2:J3"/>
    <x:mergeCell ref="A34:G36"/>
  </x:mergeCells>
  <x:pageMargins left="0.7" right="0.7" top="0.75" bottom="0.75" header="0.3" footer="0.3"/>
  <x:drawing xmlns:r="http://schemas.openxmlformats.org/officeDocument/2006/relationships" r:id="R406e739098564a2a"/>
  <x:tableParts count="3">
    <x:tablePart xmlns:r="http://schemas.openxmlformats.org/officeDocument/2006/relationships" r:id="R803ec67036a14b87"/>
    <x:tablePart xmlns:r="http://schemas.openxmlformats.org/officeDocument/2006/relationships" r:id="R0b776bf322ba40f6"/>
    <x:tablePart xmlns:r="http://schemas.openxmlformats.org/officeDocument/2006/relationships" r:id="Rf3fa48ce67b24d8c"/>
  </x:tableParts>
</x:worksheet>
</file>

<file path=xl/worksheets/sheet11.xml><?xml version="1.0" encoding="utf-8"?>
<x:worksheet xmlns:x="http://schemas.openxmlformats.org/spreadsheetml/2006/main">
  <x:sheetFormatPr defaultRowHeight="14"/>
  <x:cols>
    <x:col min="1" max="1" width="28" hidden="0" customWidth="1"/>
    <x:col min="2" max="2" width="12" hidden="0" customWidth="1"/>
    <x:col min="3" max="3" width="38" hidden="0" customWidth="1"/>
    <x:col min="4" max="4" width="3" hidden="0" customWidth="1"/>
    <x:col min="5" max="5" width="23" hidden="0" customWidth="1"/>
    <x:col min="6" max="6" width="11" hidden="0" customWidth="1"/>
  </x:cols>
  <x:sheetData>
    <x:row r="1" ht="28" customHeight="1">
      <x:c r="A1" s="490" t="str">
        <x:v>Production Multi-Document Annotation Pipeline</x:v>
      </x:c>
      <x:c r="B1" s="490"/>
      <x:c r="C1" s="490"/>
      <x:c r="D1" s="490"/>
      <x:c r="E1" s="490"/>
      <x:c r="F1" s="490"/>
      <x:c r="G1" s="38"/>
      <x:c r="H1" s="6"/>
      <x:c r="I1" s="6"/>
      <x:c r="J1" s="6"/>
      <x:c r="K1" s="6"/>
      <x:c r="L1" s="6"/>
      <x:c r="M1" s="6"/>
      <x:c r="N1" s="6"/>
      <x:c r="O1" s="6"/>
      <x:c r="P1" s="6"/>
      <x:c r="Q1" s="6"/>
      <x:c r="R1" s="6"/>
      <x:c r="S1" s="6"/>
      <x:c r="T1" s="6"/>
      <x:c r="U1" s="6"/>
      <x:c r="V1" s="6"/>
      <x:c r="W1" s="6"/>
      <x:c r="X1" s="6"/>
      <x:c r="Y1" s="6"/>
      <x:c r="Z1" s="6"/>
    </x:row>
    <x:row r="2" ht="20" customHeight="1">
      <x:c r="A2" s="491" t="str">
        <x:v>The pipeline extracted paragraphs from a new source document, obtained three provider labels per unique paragraph, calculated consensus and reliability, and created verified editable PDF annotations.</x:v>
      </x:c>
      <x:c r="B2" s="491"/>
      <x:c r="C2" s="491"/>
      <x:c r="D2" s="491"/>
      <x:c r="E2" s="491"/>
      <x:c r="F2" s="491"/>
      <x:c r="G2" s="39"/>
      <x:c r="H2" s="1"/>
      <x:c r="I2" s="1"/>
      <x:c r="J2" s="1"/>
      <x:c r="K2" s="1"/>
      <x:c r="L2" s="1"/>
      <x:c r="M2" s="1"/>
      <x:c r="N2" s="1"/>
      <x:c r="O2" s="1"/>
      <x:c r="P2" s="1"/>
      <x:c r="Q2" s="1"/>
      <x:c r="R2" s="1"/>
      <x:c r="S2" s="1"/>
      <x:c r="T2" s="1"/>
      <x:c r="U2" s="1"/>
      <x:c r="V2" s="1"/>
      <x:c r="W2" s="1"/>
      <x:c r="X2" s="1"/>
      <x:c r="Y2" s="1"/>
      <x:c r="Z2" s="1"/>
    </x:row>
    <x:row r="3" ht="20" customHeight="1">
      <x:c r="A3" s="491"/>
      <x:c r="B3" s="491"/>
      <x:c r="C3" s="491"/>
      <x:c r="D3" s="491"/>
      <x:c r="E3" s="491"/>
      <x:c r="F3" s="491"/>
      <x:c r="G3" s="39"/>
      <x:c r="H3" s="1"/>
      <x:c r="I3" s="1"/>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ht="39">
      <x:c r="A5" s="136" t="str">
        <x:v>Output measure</x:v>
      </x:c>
      <x:c r="B5" s="225" t="str">
        <x:v>Value</x:v>
      </x:c>
      <x:c r="C5" s="137" t="str">
        <x:v>Meaning</x:v>
      </x:c>
      <x:c r="D5" s="225"/>
      <x:c r="E5" s="136" t="str">
        <x:v>Agreement bucket</x:v>
      </x:c>
      <x:c r="F5" s="137" t="str">
        <x:v>Paragraphs</x:v>
      </x:c>
      <x:c r="G5" s="1"/>
      <x:c r="H5" s="1"/>
      <x:c r="I5" s="1"/>
      <x:c r="J5" s="1"/>
      <x:c r="K5" s="1"/>
      <x:c r="L5" s="1"/>
      <x:c r="M5" s="1"/>
      <x:c r="N5" s="1"/>
      <x:c r="O5" s="1"/>
      <x:c r="P5" s="1"/>
      <x:c r="Q5" s="1"/>
      <x:c r="R5" s="1"/>
      <x:c r="S5" s="1"/>
      <x:c r="T5" s="1"/>
      <x:c r="U5" s="1"/>
      <x:c r="V5" s="1"/>
      <x:c r="W5" s="1"/>
      <x:c r="X5" s="1"/>
      <x:c r="Y5" s="1"/>
      <x:c r="Z5" s="1"/>
    </x:row>
    <x:row r="6" ht="28" customHeight="1">
      <x:c r="A6" s="160" t="str">
        <x:v>Documents processed</x:v>
      </x:c>
      <x:c r="B6" s="370" t="n">
        <x:v>1</x:v>
      </x:c>
      <x:c r="C6" s="161" t="str">
        <x:v>One Public Administration Review article</x:v>
      </x:c>
      <x:c r="D6" s="1"/>
      <x:c r="E6" s="160" t="str">
        <x:v>Unanimous No</x:v>
      </x:c>
      <x:c r="F6" s="161" t="n">
        <x:v>18</x:v>
      </x:c>
      <x:c r="G6" s="1"/>
      <x:c r="H6" s="1"/>
      <x:c r="I6" s="1"/>
      <x:c r="J6" s="1"/>
      <x:c r="K6" s="1"/>
      <x:c r="L6" s="1"/>
      <x:c r="M6" s="1"/>
      <x:c r="N6" s="1"/>
      <x:c r="O6" s="1"/>
      <x:c r="P6" s="1"/>
      <x:c r="Q6" s="1"/>
      <x:c r="R6" s="1"/>
      <x:c r="S6" s="1"/>
      <x:c r="T6" s="1"/>
      <x:c r="U6" s="1"/>
      <x:c r="V6" s="1"/>
      <x:c r="W6" s="1"/>
      <x:c r="X6" s="1"/>
      <x:c r="Y6" s="1"/>
      <x:c r="Z6" s="1"/>
    </x:row>
    <x:row r="7" ht="28" customHeight="1">
      <x:c r="A7" s="162" t="str">
        <x:v>Logical paragraphs</x:v>
      </x:c>
      <x:c r="B7" s="371" t="n">
        <x:v>32</x:v>
      </x:c>
      <x:c r="C7" s="163" t="str">
        <x:v>Complete analytical units after cross-page and cross-column reconstruction</x:v>
      </x:c>
      <x:c r="D7" s="1"/>
      <x:c r="E7" s="162" t="str">
        <x:v>Majority No / one positive</x:v>
      </x:c>
      <x:c r="F7" s="163" t="n">
        <x:v>5</x:v>
      </x:c>
      <x:c r="G7" s="1"/>
      <x:c r="H7" s="1"/>
      <x:c r="I7" s="1"/>
      <x:c r="J7" s="1"/>
      <x:c r="K7" s="1"/>
      <x:c r="L7" s="1"/>
      <x:c r="M7" s="1"/>
      <x:c r="N7" s="1"/>
      <x:c r="O7" s="1"/>
      <x:c r="P7" s="1"/>
      <x:c r="Q7" s="1"/>
      <x:c r="R7" s="1"/>
      <x:c r="S7" s="1"/>
      <x:c r="T7" s="1"/>
      <x:c r="U7" s="1"/>
      <x:c r="V7" s="1"/>
      <x:c r="W7" s="1"/>
      <x:c r="X7" s="1"/>
      <x:c r="Y7" s="1"/>
      <x:c r="Z7" s="1"/>
    </x:row>
    <x:row r="8" ht="28" customHeight="1">
      <x:c r="A8" s="162" t="str">
        <x:v>Cross-page paragraphs</x:v>
      </x:c>
      <x:c r="B8" s="371" t="n">
        <x:v>5</x:v>
      </x:c>
      <x:c r="C8" s="163" t="str">
        <x:v>Paragraphs reconstructed across page boundaries</x:v>
      </x:c>
      <x:c r="D8" s="1"/>
      <x:c r="E8" s="162" t="str">
        <x:v>Majority Yes</x:v>
      </x:c>
      <x:c r="F8" s="163" t="n">
        <x:v>5</x:v>
      </x:c>
      <x:c r="G8" s="1"/>
      <x:c r="H8" s="1"/>
      <x:c r="I8" s="1"/>
      <x:c r="J8" s="1"/>
      <x:c r="K8" s="1"/>
      <x:c r="L8" s="1"/>
      <x:c r="M8" s="1"/>
      <x:c r="N8" s="1"/>
      <x:c r="O8" s="1"/>
      <x:c r="P8" s="1"/>
      <x:c r="Q8" s="1"/>
      <x:c r="R8" s="1"/>
      <x:c r="S8" s="1"/>
      <x:c r="T8" s="1"/>
      <x:c r="U8" s="1"/>
      <x:c r="V8" s="1"/>
      <x:c r="W8" s="1"/>
      <x:c r="X8" s="1"/>
      <x:c r="Y8" s="1"/>
      <x:c r="Z8" s="1"/>
    </x:row>
    <x:row r="9" ht="28" customHeight="1">
      <x:c r="A9" s="162" t="str">
        <x:v>Cross-column paragraphs</x:v>
      </x:c>
      <x:c r="B9" s="371" t="n">
        <x:v>10</x:v>
      </x:c>
      <x:c r="C9" s="163" t="str">
        <x:v>Paragraphs reconstructed across column boundaries</x:v>
      </x:c>
      <x:c r="D9" s="1"/>
      <x:c r="E9" s="164" t="str">
        <x:v>Unanimous Yes</x:v>
      </x:c>
      <x:c r="F9" s="165" t="n">
        <x:v>4</x:v>
      </x:c>
      <x:c r="G9" s="1"/>
      <x:c r="H9" s="1"/>
      <x:c r="I9" s="1"/>
      <x:c r="J9" s="1"/>
      <x:c r="K9" s="1"/>
      <x:c r="L9" s="1"/>
      <x:c r="M9" s="1"/>
      <x:c r="N9" s="1"/>
      <x:c r="O9" s="1"/>
      <x:c r="P9" s="1"/>
      <x:c r="Q9" s="1"/>
      <x:c r="R9" s="1"/>
      <x:c r="S9" s="1"/>
      <x:c r="T9" s="1"/>
      <x:c r="U9" s="1"/>
      <x:c r="V9" s="1"/>
      <x:c r="W9" s="1"/>
      <x:c r="X9" s="1"/>
      <x:c r="Y9" s="1"/>
      <x:c r="Z9" s="1"/>
    </x:row>
    <x:row r="10" ht="34" customHeight="1">
      <x:c r="A10" s="162" t="str">
        <x:v>Extraction review rows</x:v>
      </x:c>
      <x:c r="B10" s="371" t="n">
        <x:v>0</x:v>
      </x:c>
      <x:c r="C10" s="163" t="str">
        <x:v>No paragraph remained below the extraction-quality threshold</x:v>
      </x:c>
      <x:c r="D10" s="1"/>
      <x:c r="E10" s="1"/>
      <x:c r="F10" s="1"/>
      <x:c r="G10" s="1"/>
      <x:c r="H10" s="1"/>
      <x:c r="I10" s="1"/>
      <x:c r="J10" s="1"/>
      <x:c r="K10" s="1"/>
      <x:c r="L10" s="1"/>
      <x:c r="M10" s="1"/>
      <x:c r="N10" s="1"/>
      <x:c r="O10" s="1"/>
      <x:c r="P10" s="1"/>
      <x:c r="Q10" s="1"/>
      <x:c r="R10" s="1"/>
      <x:c r="S10" s="1"/>
      <x:c r="T10" s="1"/>
      <x:c r="U10" s="1"/>
      <x:c r="V10" s="1"/>
      <x:c r="W10" s="1"/>
      <x:c r="X10" s="1"/>
      <x:c r="Y10" s="1"/>
      <x:c r="Z10" s="1"/>
    </x:row>
    <x:row r="11" ht="34" customHeight="1">
      <x:c r="A11" s="162" t="str">
        <x:v>Provider predictions</x:v>
      </x:c>
      <x:c r="B11" s="371" t="n">
        <x:v>96</x:v>
      </x:c>
      <x:c r="C11" s="163" t="str">
        <x:v>32 logical paragraphs × 3 providers</x:v>
      </x:c>
      <x:c r="D11" s="1"/>
      <x:c r="E11" s="1"/>
      <x:c r="F11" s="1"/>
      <x:c r="G11" s="1"/>
      <x:c r="H11" s="1"/>
      <x:c r="I11" s="1"/>
      <x:c r="J11" s="1"/>
      <x:c r="K11" s="1"/>
      <x:c r="L11" s="1"/>
      <x:c r="M11" s="1"/>
      <x:c r="N11" s="1"/>
      <x:c r="O11" s="1"/>
      <x:c r="P11" s="1"/>
      <x:c r="Q11" s="1"/>
      <x:c r="R11" s="1"/>
      <x:c r="S11" s="1"/>
      <x:c r="T11" s="1"/>
      <x:c r="U11" s="1"/>
      <x:c r="V11" s="1"/>
      <x:c r="W11" s="1"/>
      <x:c r="X11" s="1"/>
      <x:c r="Y11" s="1"/>
      <x:c r="Z11" s="1"/>
    </x:row>
    <x:row r="12" ht="34" customHeight="1">
      <x:c r="A12" s="162" t="str">
        <x:v>Any-model-positive paragraphs</x:v>
      </x:c>
      <x:c r="B12" s="371" t="n">
        <x:v>14</x:v>
      </x:c>
      <x:c r="C12" s="163" t="str">
        <x:v>Paragraphs receiving at least one Yes vote</x:v>
      </x:c>
      <x:c r="D12" s="1"/>
      <x:c r="E12" s="1"/>
      <x:c r="F12" s="1"/>
      <x:c r="G12" s="1"/>
      <x:c r="H12" s="1"/>
      <x:c r="I12" s="1"/>
      <x:c r="J12" s="1"/>
      <x:c r="K12" s="1"/>
      <x:c r="L12" s="1"/>
      <x:c r="M12" s="1"/>
      <x:c r="N12" s="1"/>
      <x:c r="O12" s="1"/>
      <x:c r="P12" s="1"/>
      <x:c r="Q12" s="1"/>
      <x:c r="R12" s="1"/>
      <x:c r="S12" s="1"/>
      <x:c r="T12" s="1"/>
      <x:c r="U12" s="1"/>
      <x:c r="V12" s="1"/>
      <x:c r="W12" s="1"/>
      <x:c r="X12" s="1"/>
      <x:c r="Y12" s="1"/>
      <x:c r="Z12" s="1"/>
    </x:row>
    <x:row r="13" ht="34" customHeight="1">
      <x:c r="A13" s="162" t="str">
        <x:v>PDF annotation segments</x:v>
      </x:c>
      <x:c r="B13" s="371" t="n">
        <x:v>18</x:v>
      </x:c>
      <x:c r="C13" s="163" t="str">
        <x:v>Fourteen logical paragraphs occupied eighteen page segments</x:v>
      </x:c>
      <x:c r="D13" s="1"/>
      <x:c r="E13" s="1"/>
      <x:c r="F13" s="1"/>
      <x:c r="G13" s="1"/>
      <x:c r="H13" s="1"/>
      <x:c r="I13" s="1"/>
      <x:c r="J13" s="1"/>
      <x:c r="K13" s="1"/>
      <x:c r="L13" s="1"/>
      <x:c r="M13" s="1"/>
      <x:c r="N13" s="1"/>
      <x:c r="O13" s="1"/>
      <x:c r="P13" s="1"/>
      <x:c r="Q13" s="1"/>
      <x:c r="R13" s="1"/>
      <x:c r="S13" s="1"/>
      <x:c r="T13" s="1"/>
      <x:c r="U13" s="1"/>
      <x:c r="V13" s="1"/>
      <x:c r="W13" s="1"/>
      <x:c r="X13" s="1"/>
      <x:c r="Y13" s="1"/>
      <x:c r="Z13" s="1"/>
    </x:row>
    <x:row r="14" ht="34" customHeight="1">
      <x:c r="A14" s="162" t="str">
        <x:v>Annotation failures</x:v>
      </x:c>
      <x:c r="B14" s="371" t="n">
        <x:v>0</x:v>
      </x:c>
      <x:c r="C14" s="163" t="str">
        <x:v>No ID, geometry, or coordinate-text failures</x:v>
      </x:c>
      <x:c r="D14" s="1"/>
      <x:c r="E14" s="1"/>
      <x:c r="F14" s="1"/>
      <x:c r="G14" s="1"/>
      <x:c r="H14" s="1"/>
      <x:c r="I14" s="1"/>
      <x:c r="J14" s="1"/>
      <x:c r="K14" s="1"/>
      <x:c r="L14" s="1"/>
      <x:c r="M14" s="1"/>
      <x:c r="N14" s="1"/>
      <x:c r="O14" s="1"/>
      <x:c r="P14" s="1"/>
      <x:c r="Q14" s="1"/>
      <x:c r="R14" s="1"/>
      <x:c r="S14" s="1"/>
      <x:c r="T14" s="1"/>
      <x:c r="U14" s="1"/>
      <x:c r="V14" s="1"/>
      <x:c r="W14" s="1"/>
      <x:c r="X14" s="1"/>
      <x:c r="Y14" s="1"/>
      <x:c r="Z14" s="1"/>
    </x:row>
    <x:row r="15" ht="34" customHeight="1">
      <x:c r="A15" s="162" t="str">
        <x:v>Minimum annotation text similarity</x:v>
      </x:c>
      <x:c r="B15" s="372" t="n">
        <x:v>0.843188</x:v>
      </x:c>
      <x:c r="C15" s="163" t="str">
        <x:v>Required threshold was 0.80</x:v>
      </x:c>
      <x:c r="D15" s="1"/>
      <x:c r="E15" s="1"/>
      <x:c r="F15" s="1"/>
      <x:c r="G15" s="1"/>
      <x:c r="H15" s="1"/>
      <x:c r="I15" s="1"/>
      <x:c r="J15" s="1"/>
      <x:c r="K15" s="1"/>
      <x:c r="L15" s="1"/>
      <x:c r="M15" s="1"/>
      <x:c r="N15" s="1"/>
      <x:c r="O15" s="1"/>
      <x:c r="P15" s="1"/>
      <x:c r="Q15" s="1"/>
      <x:c r="R15" s="1"/>
      <x:c r="S15" s="1"/>
      <x:c r="T15" s="1"/>
      <x:c r="U15" s="1"/>
      <x:c r="V15" s="1"/>
      <x:c r="W15" s="1"/>
      <x:c r="X15" s="1"/>
      <x:c r="Y15" s="1"/>
      <x:c r="Z15" s="1"/>
    </x:row>
    <x:row r="16" ht="34" customHeight="1">
      <x:c r="A16" s="164" t="str">
        <x:v>All automated extraction checks</x:v>
      </x:c>
      <x:c r="B16" s="365" t="str">
        <x:v>Passed</x:v>
      </x:c>
      <x:c r="C16" s="165" t="str">
        <x:v>Dual-extractor and paragraph-quality checks passed before provider calls</x:v>
      </x:c>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ht="58" customHeight="1">
      <x:c r="A19" s="114" t="str">
        <x:v>Production result: 68.8% of the 32 logical paragraphs received unanimous binary labels. Fleiss κ was 0.485, and all 18 PDF annotation segments passed ID, geometry, and coordinate-text verification.</x:v>
      </x:c>
      <x:c r="B19" s="114"/>
      <x:c r="C19" s="114"/>
      <x:c r="D19" s="114"/>
      <x:c r="E19" s="114"/>
      <x:c r="F19" s="114"/>
      <x:c r="G19" s="48"/>
      <x:c r="H19" s="1"/>
      <x:c r="I19" s="1"/>
      <x:c r="J19" s="1"/>
      <x:c r="K19" s="1"/>
      <x:c r="L19" s="1"/>
      <x:c r="M19" s="1"/>
      <x:c r="N19" s="1"/>
      <x:c r="O19" s="1"/>
      <x:c r="P19" s="1"/>
      <x:c r="Q19" s="1"/>
      <x:c r="R19" s="1"/>
      <x:c r="S19" s="1"/>
      <x:c r="T19" s="1"/>
      <x:c r="U19" s="1"/>
      <x:c r="V19" s="1"/>
      <x:c r="W19" s="1"/>
      <x:c r="X19" s="1"/>
      <x:c r="Y19" s="1"/>
      <x:c r="Z19" s="1"/>
    </x:row>
    <x:row r="20">
      <x:c r="A20" s="108"/>
      <x:c r="B20" s="108"/>
      <x:c r="C20" s="108"/>
      <x:c r="D20" s="108"/>
      <x:c r="E20" s="108"/>
      <x:c r="F20" s="108"/>
      <x:c r="G20" s="48"/>
      <x:c r="H20" s="1"/>
      <x:c r="I20" s="1"/>
      <x:c r="J20" s="1"/>
      <x:c r="K20" s="1"/>
      <x:c r="L20" s="1"/>
      <x:c r="M20" s="1"/>
      <x:c r="N20" s="1"/>
      <x:c r="O20" s="1"/>
      <x:c r="P20" s="1"/>
      <x:c r="Q20" s="1"/>
      <x:c r="R20" s="1"/>
      <x:c r="S20" s="1"/>
      <x:c r="T20" s="1"/>
      <x:c r="U20" s="1"/>
      <x:c r="V20" s="1"/>
      <x:c r="W20" s="1"/>
      <x:c r="X20" s="1"/>
      <x:c r="Y20" s="1"/>
      <x:c r="Z20" s="1"/>
    </x:row>
    <x:row r="21" ht="22" customHeight="1">
      <x:c r="A21" s="123" t="str">
        <x:v>Extraction and Annotation Verification</x:v>
      </x:c>
      <x:c r="B21" s="123"/>
      <x:c r="C21" s="123"/>
      <x:c r="D21" s="48"/>
      <x:c r="E21" s="48"/>
      <x:c r="F21" s="48"/>
      <x:c r="G21" s="48"/>
      <x:c r="H21" s="1"/>
      <x:c r="I21" s="1"/>
      <x:c r="J21" s="1"/>
      <x:c r="K21" s="1"/>
      <x:c r="L21" s="1"/>
      <x:c r="M21" s="1"/>
      <x:c r="N21" s="1"/>
      <x:c r="O21" s="1"/>
      <x:c r="P21" s="1"/>
      <x:c r="Q21" s="1"/>
      <x:c r="R21" s="1"/>
      <x:c r="S21" s="1"/>
      <x:c r="T21" s="1"/>
      <x:c r="U21" s="1"/>
      <x:c r="V21" s="1"/>
      <x:c r="W21" s="1"/>
      <x:c r="X21" s="1"/>
      <x:c r="Y21" s="1"/>
      <x:c r="Z21" s="1"/>
    </x:row>
    <x:row r="22">
      <x:c r="A22" s="136" t="str">
        <x:v>Check</x:v>
      </x:c>
      <x:c r="B22" s="225" t="str">
        <x:v>Result</x:v>
      </x:c>
      <x:c r="C22" s="137" t="str">
        <x:v>What was verified</x:v>
      </x:c>
      <x:c r="D22" s="1"/>
      <x:c r="E22" s="1"/>
      <x:c r="F22" s="1"/>
      <x:c r="G22" s="1"/>
      <x:c r="H22" s="1"/>
      <x:c r="I22" s="1"/>
      <x:c r="J22" s="1"/>
      <x:c r="K22" s="1"/>
      <x:c r="L22" s="1"/>
      <x:c r="M22" s="1"/>
      <x:c r="N22" s="1"/>
      <x:c r="O22" s="1"/>
      <x:c r="P22" s="1"/>
      <x:c r="Q22" s="1"/>
      <x:c r="R22" s="1"/>
      <x:c r="S22" s="1"/>
      <x:c r="T22" s="1"/>
      <x:c r="U22" s="1"/>
      <x:c r="V22" s="1"/>
      <x:c r="W22" s="1"/>
      <x:c r="X22" s="1"/>
      <x:c r="Y22" s="1"/>
      <x:c r="Z22" s="1"/>
    </x:row>
    <x:row r="23" ht="43" customHeight="1">
      <x:c r="A23" s="160" t="str">
        <x:v>Cross-extractor reconstruction</x:v>
      </x:c>
      <x:c r="B23" s="235" t="str">
        <x:v>Passed</x:v>
      </x:c>
      <x:c r="C23" s="161" t="str">
        <x:v>PyMuPDF and pdfplumber both produced 32 paragraphs with aligned similarity of 1.000.</x:v>
      </x:c>
      <x:c r="D23" s="1"/>
      <x:c r="E23" s="1"/>
      <x:c r="F23" s="1"/>
      <x:c r="G23" s="1"/>
      <x:c r="H23" s="1"/>
      <x:c r="I23" s="1"/>
      <x:c r="J23" s="1"/>
      <x:c r="K23" s="1"/>
      <x:c r="L23" s="1"/>
      <x:c r="M23" s="1"/>
      <x:c r="N23" s="1"/>
      <x:c r="O23" s="1"/>
      <x:c r="P23" s="1"/>
      <x:c r="Q23" s="1"/>
      <x:c r="R23" s="1"/>
      <x:c r="S23" s="1"/>
      <x:c r="T23" s="1"/>
      <x:c r="U23" s="1"/>
      <x:c r="V23" s="1"/>
      <x:c r="W23" s="1"/>
      <x:c r="X23" s="1"/>
      <x:c r="Y23" s="1"/>
      <x:c r="Z23" s="1"/>
    </x:row>
    <x:row r="24" ht="43" customHeight="1">
      <x:c r="A24" s="162" t="str">
        <x:v>Paid-call safety gate</x:v>
      </x:c>
      <x:c r="B24" s="237" t="str">
        <x:v>Passed</x:v>
      </x:c>
      <x:c r="C24" s="163" t="str">
        <x:v>Extraction checks and explicit approval were completed before provider calls.</x:v>
      </x:c>
      <x:c r="D24" s="1"/>
      <x:c r="E24" s="1"/>
      <x:c r="F24" s="1"/>
      <x:c r="G24" s="1"/>
      <x:c r="H24" s="1"/>
      <x:c r="I24" s="1"/>
      <x:c r="J24" s="1"/>
      <x:c r="K24" s="1"/>
      <x:c r="L24" s="1"/>
      <x:c r="M24" s="1"/>
      <x:c r="N24" s="1"/>
      <x:c r="O24" s="1"/>
      <x:c r="P24" s="1"/>
      <x:c r="Q24" s="1"/>
      <x:c r="R24" s="1"/>
      <x:c r="S24" s="1"/>
      <x:c r="T24" s="1"/>
      <x:c r="U24" s="1"/>
      <x:c r="V24" s="1"/>
      <x:c r="W24" s="1"/>
      <x:c r="X24" s="1"/>
      <x:c r="Y24" s="1"/>
      <x:c r="Z24" s="1"/>
    </x:row>
    <x:row r="25" ht="43" customHeight="1">
      <x:c r="A25" s="162" t="str">
        <x:v>Annotation IDs</x:v>
      </x:c>
      <x:c r="B25" s="237" t="str">
        <x:v>18 / 18</x:v>
      </x:c>
      <x:c r="C25" s="163" t="str">
        <x:v>Every expected paragraph/page annotation was found once.</x:v>
      </x:c>
      <x:c r="D25" s="1"/>
      <x:c r="E25" s="1"/>
      <x:c r="F25" s="1"/>
      <x:c r="G25" s="1"/>
      <x:c r="H25" s="1"/>
      <x:c r="I25" s="1"/>
      <x:c r="J25" s="1"/>
      <x:c r="K25" s="1"/>
      <x:c r="L25" s="1"/>
      <x:c r="M25" s="1"/>
      <x:c r="N25" s="1"/>
      <x:c r="O25" s="1"/>
      <x:c r="P25" s="1"/>
      <x:c r="Q25" s="1"/>
      <x:c r="R25" s="1"/>
      <x:c r="S25" s="1"/>
      <x:c r="T25" s="1"/>
      <x:c r="U25" s="1"/>
      <x:c r="V25" s="1"/>
      <x:c r="W25" s="1"/>
      <x:c r="X25" s="1"/>
      <x:c r="Y25" s="1"/>
      <x:c r="Z25" s="1"/>
    </x:row>
    <x:row r="26" ht="43" customHeight="1">
      <x:c r="A26" s="162" t="str">
        <x:v>Geometry coverage</x:v>
      </x:c>
      <x:c r="B26" s="237" t="str">
        <x:v>18 / 18</x:v>
      </x:c>
      <x:c r="C26" s="163" t="str">
        <x:v>Every annotation covered the expected text region.</x:v>
      </x:c>
      <x:c r="D26" s="1"/>
      <x:c r="E26" s="1"/>
      <x:c r="F26" s="1"/>
      <x:c r="G26" s="1"/>
      <x:c r="H26" s="1"/>
      <x:c r="I26" s="1"/>
      <x:c r="J26" s="1"/>
      <x:c r="K26" s="1"/>
      <x:c r="L26" s="1"/>
      <x:c r="M26" s="1"/>
      <x:c r="N26" s="1"/>
      <x:c r="O26" s="1"/>
      <x:c r="P26" s="1"/>
      <x:c r="Q26" s="1"/>
      <x:c r="R26" s="1"/>
      <x:c r="S26" s="1"/>
      <x:c r="T26" s="1"/>
      <x:c r="U26" s="1"/>
      <x:c r="V26" s="1"/>
      <x:c r="W26" s="1"/>
      <x:c r="X26" s="1"/>
      <x:c r="Y26" s="1"/>
      <x:c r="Z26" s="1"/>
    </x:row>
    <x:row r="27" ht="43" customHeight="1">
      <x:c r="A27" s="164" t="str">
        <x:v>Coordinate-text verification</x:v>
      </x:c>
      <x:c r="B27" s="239" t="str">
        <x:v>18 / 18</x:v>
      </x:c>
      <x:c r="C27" s="165" t="str">
        <x:v>Every annotated segment met the 0.80 similarity threshold.</x:v>
      </x:c>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ht="46" customHeight="1">
      <x:c r="A30" s="196" t="str">
        <x:v>Interpretation: binary model agreement is adequate for screening, but target labels among flagged paragraphs remain a human-adjudication task. Use consensus to prioritize review rather than treating model output as final coding.</x:v>
      </x:c>
      <x:c r="B30" s="292"/>
      <x:c r="C30" s="197"/>
      <x:c r="D30" s="1"/>
      <x:c r="E30" s="1"/>
      <x:c r="F30" s="1"/>
      <x:c r="G30" s="1"/>
      <x:c r="H30" s="1"/>
      <x:c r="I30" s="1"/>
      <x:c r="J30" s="1"/>
      <x:c r="K30" s="1"/>
      <x:c r="L30" s="1"/>
      <x:c r="M30" s="1"/>
      <x:c r="N30" s="1"/>
      <x:c r="O30" s="1"/>
      <x:c r="P30" s="1"/>
      <x:c r="Q30" s="1"/>
      <x:c r="R30" s="1"/>
      <x:c r="S30" s="1"/>
      <x:c r="T30" s="1"/>
      <x:c r="U30" s="1"/>
      <x:c r="V30" s="1"/>
      <x:c r="W30" s="1"/>
      <x:c r="X30" s="1"/>
      <x:c r="Y30" s="1"/>
      <x:c r="Z30" s="1"/>
    </x:row>
    <x:row r="31" ht="46" customHeight="1">
      <x:c r="A31" s="198"/>
      <x:c r="B31" s="114"/>
      <x:c r="C31" s="199"/>
      <x:c r="D31" s="1"/>
      <x:c r="E31" s="1"/>
      <x:c r="F31" s="1"/>
      <x:c r="G31" s="1"/>
      <x:c r="H31" s="1"/>
      <x:c r="I31" s="1"/>
      <x:c r="J31" s="1"/>
      <x:c r="K31" s="1"/>
      <x:c r="L31" s="1"/>
      <x:c r="M31" s="1"/>
      <x:c r="N31" s="1"/>
      <x:c r="O31" s="1"/>
      <x:c r="P31" s="1"/>
      <x:c r="Q31" s="1"/>
      <x:c r="R31" s="1"/>
      <x:c r="S31" s="1"/>
      <x:c r="T31" s="1"/>
      <x:c r="U31" s="1"/>
      <x:c r="V31" s="1"/>
      <x:c r="W31" s="1"/>
      <x:c r="X31" s="1"/>
      <x:c r="Y31" s="1"/>
      <x:c r="Z31" s="1"/>
    </x:row>
    <x:row r="32" ht="46" customHeight="1">
      <x:c r="A32" s="200"/>
      <x:c r="B32" s="293"/>
      <x:c r="C32" s="201"/>
      <x:c r="D32" s="1"/>
      <x:c r="E32" s="1"/>
      <x:c r="F32" s="1"/>
      <x:c r="G32" s="1"/>
      <x:c r="H32" s="1"/>
      <x:c r="I32" s="1"/>
      <x:c r="J32" s="1"/>
      <x:c r="K32" s="1"/>
      <x:c r="L32" s="1"/>
      <x:c r="M32" s="1"/>
      <x:c r="N32" s="1"/>
      <x:c r="O32" s="1"/>
      <x:c r="P32" s="1"/>
      <x:c r="Q32" s="1"/>
      <x:c r="R32" s="1"/>
      <x:c r="S32" s="1"/>
      <x:c r="T32" s="1"/>
      <x:c r="U32" s="1"/>
      <x:c r="V32" s="1"/>
      <x:c r="W32" s="1"/>
      <x:c r="X32" s="1"/>
      <x:c r="Y32" s="1"/>
      <x:c r="Z32" s="1"/>
    </x:row>
    <x:row r="33" ht="60" customHeight="1">
      <x:c r="A33" s="198"/>
      <x:c r="B33" s="114"/>
      <x:c r="C33" s="199"/>
      <x:c r="D33" s="1"/>
      <x:c r="E33" s="1"/>
      <x:c r="F33" s="1"/>
      <x:c r="G33" s="1"/>
      <x:c r="H33" s="1"/>
      <x:c r="I33" s="1"/>
      <x:c r="J33" s="1"/>
      <x:c r="K33" s="1"/>
      <x:c r="L33" s="1"/>
      <x:c r="M33" s="1"/>
      <x:c r="N33" s="1"/>
      <x:c r="O33" s="1"/>
      <x:c r="P33" s="1"/>
      <x:c r="Q33" s="1"/>
      <x:c r="R33" s="1"/>
      <x:c r="S33" s="1"/>
      <x:c r="T33" s="1"/>
      <x:c r="U33" s="1"/>
      <x:c r="V33" s="1"/>
      <x:c r="W33" s="1"/>
      <x:c r="X33" s="1"/>
      <x:c r="Y33" s="1"/>
      <x:c r="Z33" s="1"/>
    </x:row>
    <x:row r="34" ht="60" customHeight="1">
      <x:c r="A34" s="200"/>
      <x:c r="B34" s="293"/>
      <x:c r="C34" s="20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sheetData>
  <x:mergeCells>
    <x:mergeCell ref="A21:C21"/>
    <x:mergeCell ref="A1:F1"/>
    <x:mergeCell ref="A2:F3"/>
    <x:mergeCell ref="A30:C32"/>
  </x:mergeCells>
  <x:pageMargins left="0.7" right="0.7" top="0.75" bottom="0.75" header="0.3" footer="0.3"/>
  <x:drawing xmlns:r="http://schemas.openxmlformats.org/officeDocument/2006/relationships" r:id="R318f3d3840a54ce4"/>
  <x:tableParts count="2">
    <x:tablePart xmlns:r="http://schemas.openxmlformats.org/officeDocument/2006/relationships" r:id="R2ac8cb8711d34b43"/>
    <x:tablePart xmlns:r="http://schemas.openxmlformats.org/officeDocument/2006/relationships" r:id="R59f3ace38f6f41d9"/>
  </x:tableParts>
</x:worksheet>
</file>

<file path=xl/worksheets/sheet12.xml><?xml version="1.0" encoding="utf-8"?>
<x:worksheet xmlns:x="http://schemas.openxmlformats.org/spreadsheetml/2006/main">
  <x:sheetFormatPr defaultRowHeight="15"/>
  <x:cols>
    <x:col min="1" max="1" width="21"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s>
  <x:sheetData>
    <x:row r="1" ht="28" customHeight="1">
      <x:c r="A1" s="492" t="str">
        <x:v>Old and New Codebook — Operational Comparison</x:v>
      </x:c>
      <x:c r="B1" s="492"/>
      <x:c r="C1" s="492"/>
      <x:c r="D1" s="492"/>
      <x:c r="E1" s="492"/>
      <x:c r="F1" s="492"/>
      <x:c r="G1" s="492"/>
    </x:row>
    <x:row r="2" ht="20" customHeight="1">
      <x:c r="A2" s="491" t="str">
        <x:v>The change in scores partly reflects a change in the construct. The older framework treated several forms of integration, adaptation, and technical realignment as unlearning. The newer framework requires clearer evidence that an identifiable prior assumption, practice, policy, or system is being rejected, replaced, or fundamentally rethought.</x:v>
      </x:c>
      <x:c r="B2" s="491"/>
      <x:c r="C2" s="491"/>
      <x:c r="D2" s="491"/>
      <x:c r="E2" s="491"/>
      <x:c r="F2" s="491"/>
      <x:c r="G2" s="491"/>
    </x:row>
    <x:row r="3" ht="20" customHeight="1">
      <x:c r="A3" s="491"/>
      <x:c r="B3" s="491"/>
      <x:c r="C3" s="491"/>
      <x:c r="D3" s="491"/>
      <x:c r="E3" s="491"/>
      <x:c r="F3" s="491"/>
      <x:c r="G3" s="491"/>
    </x:row>
    <x:row r="5">
      <x:c r="A5" s="136" t="str">
        <x:v>Dimension</x:v>
      </x:c>
      <x:c r="B5" s="225" t="str">
        <x:v>Older operational definition</x:v>
      </x:c>
      <x:c r="C5" s="137"/>
      <x:c r="D5" s="225"/>
      <x:c r="E5" s="225" t="str">
        <x:v>Newer operational definition</x:v>
      </x:c>
      <x:c r="F5" s="225"/>
      <x:c r="G5" s="137"/>
    </x:row>
    <x:row r="6" ht="52" customHeight="1">
      <x:c r="A6" s="303" t="str">
        <x:v>Core question</x:v>
      </x:c>
      <x:c r="B6" s="304" t="str">
        <x:v>Does the passage show organizational unlearning through reconsidering, discarding, realignment, or merging?</x:v>
      </x:c>
      <x:c r="C6" s="305"/>
      <x:c r="D6" s="304"/>
      <x:c r="E6" s="304" t="str">
        <x:v>Does the passage identify a prior logic or practice as inadequate and indicate a departure from it?</x:v>
      </x:c>
      <x:c r="F6" s="304"/>
      <x:c r="G6" s="305"/>
    </x:row>
    <x:row r="7" ht="52" customHeight="1">
      <x:c r="A7" s="303" t="str">
        <x:v>Positive threshold</x:v>
      </x:c>
      <x:c r="B7" s="304" t="str">
        <x:v>Broad enough to include integration, changed coordination, technical realignment, and revised assumptions.</x:v>
      </x:c>
      <x:c r="C7" s="305"/>
      <x:c r="D7" s="304"/>
      <x:c r="E7" s="304" t="str">
        <x:v>Requires stronger evidence of rejection, replacement, removal, abandonment, or fundamental rethinking.</x:v>
      </x:c>
      <x:c r="F7" s="304"/>
      <x:c r="G7" s="305"/>
    </x:row>
    <x:row r="8" ht="52" customHeight="1">
      <x:c r="A8" s="303" t="str">
        <x:v>Additive improvement</x:v>
      </x:c>
      <x:c r="B8" s="304" t="str">
        <x:v>Could count when it represented meaningful adaptation or integration.</x:v>
      </x:c>
      <x:c r="C8" s="305"/>
      <x:c r="D8" s="304"/>
      <x:c r="E8" s="304" t="str">
        <x:v>Usually learning or reform unless the earlier approach being displaced is also identified.</x:v>
      </x:c>
      <x:c r="F8" s="304"/>
      <x:c r="G8" s="305"/>
    </x:row>
    <x:row r="9" ht="52" customHeight="1">
      <x:c r="A9" s="303" t="str">
        <x:v>Primary labels</x:v>
      </x:c>
      <x:c r="B9" s="304" t="str">
        <x:v>Reconsidering, Discarding, Realignment, Merging, plus depth and nature.</x:v>
      </x:c>
      <x:c r="C9" s="305"/>
      <x:c r="D9" s="304"/>
      <x:c r="E9" s="304" t="str">
        <x:v>Binary unlearning plus target type: leadership, policy, capabilities, resources, or miscellaneous.</x:v>
      </x:c>
      <x:c r="F9" s="304"/>
      <x:c r="G9" s="305"/>
    </x:row>
    <x:row r="10" ht="52" customHeight="1">
      <x:c r="A10" s="303" t="str">
        <x:v>Likely metric effect</x:v>
      </x:c>
      <x:c r="B10" s="304" t="str">
        <x:v>Higher sensitivity to implicit and incremental adaptation.</x:v>
      </x:c>
      <x:c r="C10" s="305"/>
      <x:c r="D10" s="304"/>
      <x:c r="E10" s="304" t="str">
        <x:v>Lower recall against broad legacy labels, but fewer routine improvements treated as unlearning.</x:v>
      </x:c>
      <x:c r="F10" s="304"/>
      <x:c r="G10" s="305"/>
    </x:row>
    <x:row r="11" ht="52" customHeight="1">
      <x:c r="A11" s="303" t="str">
        <x:v>Research advantage</x:v>
      </x:c>
      <x:c r="B11" s="304" t="str">
        <x:v>Captures a wider landscape of organizational transformation.</x:v>
      </x:c>
      <x:c r="C11" s="305"/>
      <x:c r="D11" s="304"/>
      <x:c r="E11" s="304" t="str">
        <x:v>Creates a sharper boundary between learning, reform, innovation, and unlearning.</x:v>
      </x:c>
      <x:c r="F11" s="304"/>
      <x:c r="G11" s="305"/>
    </x:row>
    <x:row r="13" ht="22" customHeight="1">
      <x:c r="A13" s="123" t="str">
        <x:v>Evidence Across Experimental Stages</x:v>
      </x:c>
      <x:c r="B13" s="123"/>
      <x:c r="C13" s="123"/>
      <x:c r="D13" s="123"/>
      <x:c r="E13" s="123"/>
      <x:c r="F13" s="123"/>
      <x:c r="G13" s="123"/>
    </x:row>
    <x:row r="14">
      <x:c r="A14" s="136" t="str">
        <x:v>Stage</x:v>
      </x:c>
      <x:c r="B14" s="225" t="str">
        <x:v>Codebook</x:v>
      </x:c>
      <x:c r="C14" s="225" t="str">
        <x:v>Model / prompt</x:v>
      </x:c>
      <x:c r="D14" s="225" t="str">
        <x:v>N</x:v>
      </x:c>
      <x:c r="E14" s="225" t="str">
        <x:v>Human labels</x:v>
      </x:c>
      <x:c r="F14" s="225" t="str">
        <x:v>Observed result</x:v>
      </x:c>
      <x:c r="G14" s="137" t="str">
        <x:v>Interpretation</x:v>
      </x:c>
    </x:row>
    <x:row r="15" ht="48" customHeight="1">
      <x:c r="A15" s="160" t="str">
        <x:v>v4 positive-only pilot</x:v>
      </x:c>
      <x:c r="B15" s="235" t="str">
        <x:v>Old</x:v>
      </x:c>
      <x:c r="C15" s="235" t="str">
        <x:v>Claude Sonnet 5 · definitions only</x:v>
      </x:c>
      <x:c r="D15" s="235" t="n">
        <x:v>11</x:v>
      </x:c>
      <x:c r="E15" s="235" t="str">
        <x:v>11 Yes / 0 No</x:v>
      </x:c>
      <x:c r="F15" s="235" t="str">
        <x:v>11/11 positive recall</x:v>
      </x:c>
      <x:c r="G15" s="161" t="str">
        <x:v>Strong recovery under the old construct; no false-positive test.</x:v>
      </x:c>
    </x:row>
    <x:row r="16" ht="48" customHeight="1">
      <x:c r="A16" s="162" t="str">
        <x:v>v5 mixed benchmark</x:v>
      </x:c>
      <x:c r="B16" s="237" t="str">
        <x:v>New</x:v>
      </x:c>
      <x:c r="C16" s="237" t="str">
        <x:v>Claude Sonnet 5 · definitions only</x:v>
      </x:c>
      <x:c r="D16" s="237" t="n">
        <x:v>49</x:v>
      </x:c>
      <x:c r="E16" s="237" t="str">
        <x:v>39 Yes / 10 No</x:v>
      </x:c>
      <x:c r="F16" s="237" t="str">
        <x:v>14 TP, 25 FN, 10 TN, 0 FP</x:v>
      </x:c>
      <x:c r="G16" s="163" t="str">
        <x:v>The same model became conservative, especially on EPA adaptation passages.</x:v>
      </x:c>
    </x:row>
    <x:row r="17" ht="48" customHeight="1">
      <x:c r="A17" s="164" t="str">
        <x:v>v5 EPA subset</x:v>
      </x:c>
      <x:c r="B17" s="239" t="str">
        <x:v>New</x:v>
      </x:c>
      <x:c r="C17" s="239" t="str">
        <x:v>Claude Sonnet 5</x:v>
      </x:c>
      <x:c r="D17" s="239" t="n">
        <x:v>25</x:v>
      </x:c>
      <x:c r="E17" s="239" t="str">
        <x:v>20 Yes / 5 No</x:v>
      </x:c>
      <x:c r="F17" s="239" t="str">
        <x:v>0/20 positive recall</x:v>
      </x:c>
      <x:c r="G17" s="165" t="str">
        <x:v>Shows a strong interaction between the document's discourse and the stricter threshold.</x:v>
      </x:c>
    </x:row>
    <x:row r="20" ht="46" customHeight="1">
      <x:c r="A20" s="196" t="str">
        <x:v>This is a descriptive comparison rather than a pure codebook-only A/B test. The older annotation used 33 units and one coding output; the verified run used 32 logical paragraphs and three-model consensus. Prompts and extraction also changed, but the evidence still shows that the newer definition is substantially stricter.</x:v>
      </x:c>
      <x:c r="B20" s="292"/>
      <x:c r="C20" s="292"/>
      <x:c r="D20" s="292"/>
      <x:c r="E20" s="292"/>
      <x:c r="F20" s="292"/>
      <x:c r="G20" s="197"/>
    </x:row>
    <x:row r="21" ht="46" customHeight="1">
      <x:c r="A21" s="198"/>
      <x:c r="B21" s="114"/>
      <x:c r="C21" s="114"/>
      <x:c r="D21" s="114"/>
      <x:c r="E21" s="114"/>
      <x:c r="F21" s="114"/>
      <x:c r="G21" s="199"/>
    </x:row>
    <x:row r="22" ht="46" customHeight="1">
      <x:c r="A22" s="200"/>
      <x:c r="B22" s="293"/>
      <x:c r="C22" s="293"/>
      <x:c r="D22" s="293"/>
      <x:c r="E22" s="293"/>
      <x:c r="F22" s="293"/>
      <x:c r="G22" s="201"/>
    </x:row>
    <x:row r="23" ht="65" customHeight="1">
      <x:c r="A23" s="198"/>
      <x:c r="B23" s="114"/>
      <x:c r="C23" s="114"/>
      <x:c r="D23" s="114"/>
      <x:c r="E23" s="114"/>
      <x:c r="F23" s="114"/>
      <x:c r="G23" s="199"/>
    </x:row>
    <x:row r="24" ht="65" customHeight="1">
      <x:c r="A24" s="200"/>
      <x:c r="B24" s="293"/>
      <x:c r="C24" s="293"/>
      <x:c r="D24" s="293"/>
      <x:c r="E24" s="293"/>
      <x:c r="F24" s="293"/>
      <x:c r="G24" s="201"/>
    </x:row>
    <x:row r="25" ht="52" customHeight="1">
      <x:c r="A25" s="196" t="str">
        <x:v>Substantive decision for the team: determine whether additive institutional adaptation after failure—such as extra staff, coordination routines, training, liaison roles, and upgraded equipment—counts as unlearning, or whether unlearning requires explicit displacement of an earlier logic.</x:v>
      </x:c>
      <x:c r="B25" s="292"/>
      <x:c r="C25" s="292"/>
      <x:c r="D25" s="292"/>
      <x:c r="E25" s="292"/>
      <x:c r="F25" s="292"/>
      <x:c r="G25" s="197"/>
    </x:row>
    <x:row r="26" ht="52" customHeight="1">
      <x:c r="A26" s="198"/>
      <x:c r="B26" s="114"/>
      <x:c r="C26" s="114"/>
      <x:c r="D26" s="114"/>
      <x:c r="E26" s="114"/>
      <x:c r="F26" s="114"/>
      <x:c r="G26" s="199"/>
    </x:row>
    <x:row r="27" ht="52" customHeight="1">
      <x:c r="A27" s="196"/>
      <x:c r="B27" s="292"/>
      <x:c r="C27" s="292"/>
      <x:c r="D27" s="292"/>
      <x:c r="E27" s="292"/>
      <x:c r="F27" s="292"/>
      <x:c r="G27" s="197"/>
    </x:row>
    <x:row r="28" ht="52" customHeight="1">
      <x:c r="A28" s="200"/>
      <x:c r="B28" s="293"/>
      <x:c r="C28" s="293"/>
      <x:c r="D28" s="293"/>
      <x:c r="E28" s="293"/>
      <x:c r="F28" s="293"/>
      <x:c r="G28" s="201"/>
    </x:row>
    <x:row r="29" ht="70" customHeight="1">
      <x:c r="A29" s="198"/>
      <x:c r="B29" s="114"/>
      <x:c r="C29" s="114"/>
      <x:c r="D29" s="114"/>
      <x:c r="E29" s="114"/>
      <x:c r="F29" s="114"/>
      <x:c r="G29" s="199"/>
    </x:row>
    <x:row r="30" ht="70" customHeight="1">
      <x:c r="A30" s="198"/>
      <x:c r="B30" s="114"/>
      <x:c r="C30" s="114"/>
      <x:c r="D30" s="114"/>
      <x:c r="E30" s="114"/>
      <x:c r="F30" s="114"/>
      <x:c r="G30" s="199"/>
    </x:row>
    <x:row r="31" ht="70" customHeight="1">
      <x:c r="A31" s="198"/>
      <x:c r="B31" s="114"/>
      <x:c r="C31" s="114"/>
      <x:c r="D31" s="114"/>
      <x:c r="E31" s="114"/>
      <x:c r="F31" s="114"/>
      <x:c r="G31" s="199"/>
    </x:row>
    <x:row r="32" ht="70" customHeight="1">
      <x:c r="A32" s="200"/>
      <x:c r="B32" s="293"/>
      <x:c r="C32" s="293"/>
      <x:c r="D32" s="293"/>
      <x:c r="E32" s="293"/>
      <x:c r="F32" s="293"/>
      <x:c r="G32" s="201"/>
    </x:row>
  </x:sheetData>
  <x:mergeCells>
    <x:mergeCell ref="A13:G13"/>
    <x:mergeCell ref="A1:G1"/>
    <x:mergeCell ref="A2:G3"/>
    <x:mergeCell ref="B5:D5"/>
    <x:mergeCell ref="E5:G5"/>
    <x:mergeCell ref="B6:D6"/>
    <x:mergeCell ref="E6:G6"/>
    <x:mergeCell ref="B7:D7"/>
    <x:mergeCell ref="E7:G7"/>
    <x:mergeCell ref="B8:D8"/>
    <x:mergeCell ref="E8:G8"/>
    <x:mergeCell ref="B9:D9"/>
    <x:mergeCell ref="E9:G9"/>
    <x:mergeCell ref="B10:D10"/>
    <x:mergeCell ref="E10:G10"/>
    <x:mergeCell ref="B11:D11"/>
    <x:mergeCell ref="E11:G11"/>
    <x:mergeCell ref="A20:G22"/>
    <x:mergeCell ref="A25:G28"/>
  </x:mergeCells>
  <x:pageMargins left="0.7" right="0.7" top="0.75" bottom="0.75" header="0.3" footer="0.3"/>
</x:worksheet>
</file>

<file path=xl/worksheets/sheet13.xml><?xml version="1.0" encoding="utf-8"?>
<x:worksheet xmlns:x="http://schemas.openxmlformats.org/spreadsheetml/2006/main">
  <x:sheetFormatPr defaultRowHeight="15"/>
  <x:cols>
    <x:col min="1" max="1" width="27" hidden="0" customWidth="1"/>
    <x:col min="2" max="2" width="24" hidden="0" customWidth="1"/>
    <x:col min="3" max="3" width="24" hidden="0" customWidth="1"/>
    <x:col min="4" max="4" width="24" hidden="0" customWidth="1"/>
  </x:cols>
  <x:sheetData>
    <x:row r="1" ht="28" customHeight="1">
      <x:c r="A1" s="492" t="str">
        <x:v>Metric Guide and Research Interpretation</x:v>
      </x:c>
      <x:c r="B1" s="492"/>
      <x:c r="C1" s="492"/>
      <x:c r="D1" s="492"/>
    </x:row>
    <x:row r="2" ht="20" customHeight="1">
      <x:c r="A2" s="491" t="str">
        <x:v>A plain-language guide for readers who know disaster governance and organizational change but do not routinely work with machine-learning evaluation metrics.</x:v>
      </x:c>
      <x:c r="B2" s="491"/>
      <x:c r="C2" s="491"/>
      <x:c r="D2" s="491"/>
    </x:row>
    <x:row r="3" ht="20" customHeight="1">
      <x:c r="A3" s="491"/>
      <x:c r="B3" s="491"/>
      <x:c r="C3" s="491"/>
      <x:c r="D3" s="491"/>
    </x:row>
    <x:row r="5">
      <x:c r="A5" s="136" t="str">
        <x:v>Metric</x:v>
      </x:c>
      <x:c r="B5" s="225" t="str">
        <x:v>Plain-language question</x:v>
      </x:c>
      <x:c r="C5" s="225" t="str">
        <x:v>How to read it</x:v>
      </x:c>
      <x:c r="D5" s="137" t="str">
        <x:v>What it showed here</x:v>
      </x:c>
    </x:row>
    <x:row r="6" ht="54" customHeight="1">
      <x:c r="A6" s="160" t="str">
        <x:v>True positive</x:v>
      </x:c>
      <x:c r="B6" s="235" t="str">
        <x:v>How many human-positive passages did the model identify?</x:v>
      </x:c>
      <x:c r="C6" s="235" t="str">
        <x:v>Higher is better only relative to the agreed codebook.</x:v>
      </x:c>
      <x:c r="D6" s="161" t="str">
        <x:v>v5 true-positive counts varied sharply by document.</x:v>
      </x:c>
    </x:row>
    <x:row r="7" ht="54" customHeight="1">
      <x:c r="A7" s="162" t="str">
        <x:v>False negative</x:v>
      </x:c>
      <x:c r="B7" s="237" t="str">
        <x:v>How many human-positive passages did the model miss?</x:v>
      </x:c>
      <x:c r="C7" s="237" t="str">
        <x:v>Inspect whether misses are model errors or codebook-boundary disagreements.</x:v>
      </x:c>
      <x:c r="D7" s="163" t="str">
        <x:v>EPA generated 92 of 122 v5 false-negative judgments.</x:v>
      </x:c>
    </x:row>
    <x:row r="8" ht="54" customHeight="1">
      <x:c r="A8" s="162" t="str">
        <x:v>False positive</x:v>
      </x:c>
      <x:c r="B8" s="237" t="str">
        <x:v>How often did a human No passage receive a Yes label?</x:v>
      </x:c>
      <x:c r="C8" s="237" t="str">
        <x:v>Important because each positive creates review work and evidentiary risk.</x:v>
      </x:c>
      <x:c r="D8" s="163" t="str">
        <x:v>The cleaned OpenAI setting had 1 false positive; Gemini direct had 5.</x:v>
      </x:c>
    </x:row>
    <x:row r="9" ht="54" customHeight="1">
      <x:c r="A9" s="162" t="str">
        <x:v>Recall</x:v>
      </x:c>
      <x:c r="B9" s="237" t="str">
        <x:v>Of all human Yes passages, what share did the model recover?</x:v>
      </x:c>
      <x:c r="C9" s="237" t="str">
        <x:v>Measures missed cases but not false positives.</x:v>
      </x:c>
      <x:c r="D9" s="163" t="str">
        <x:v>Claude's 11/11 result is 100% recall on an all-positive pilot.</x:v>
      </x:c>
    </x:row>
    <x:row r="10" ht="54" customHeight="1">
      <x:c r="A10" s="162" t="str">
        <x:v>Precision</x:v>
      </x:c>
      <x:c r="B10" s="237" t="str">
        <x:v>Of the model's Yes predictions, what share were human Yes?</x:v>
      </x:c>
      <x:c r="C10" s="237" t="str">
        <x:v>High precision means positive highlights are usually relevant.</x:v>
      </x:c>
      <x:c r="D10" s="163" t="str">
        <x:v>v5 precision was high partly because models defaulted to No.</x:v>
      </x:c>
    </x:row>
    <x:row r="11" ht="54" customHeight="1">
      <x:c r="A11" s="162" t="str">
        <x:v>Specificity</x:v>
      </x:c>
      <x:c r="B11" s="237" t="str">
        <x:v>Of all human No passages, what share remained No?</x:v>
      </x:c>
      <x:c r="C11" s="237" t="str">
        <x:v>High specificity limits unnecessary positive highlights.</x:v>
      </x:c>
      <x:c r="D11" s="163" t="str">
        <x:v>Four of five v5 models made no false positives.</x:v>
      </x:c>
    </x:row>
    <x:row r="12" ht="54" customHeight="1">
      <x:c r="A12" s="162" t="str">
        <x:v>Accuracy</x:v>
      </x:c>
      <x:c r="B12" s="237" t="str">
        <x:v>What share of all labels matched the human labels?</x:v>
      </x:c>
      <x:c r="C12" s="237" t="str">
        <x:v>Can be misleading when Yes and No are uneven; read with recall and F1.</x:v>
      </x:c>
      <x:c r="D12" s="163" t="str">
        <x:v>Best cleaned provider accuracy was approximately 70–73%.</x:v>
      </x:c>
    </x:row>
    <x:row r="13" ht="54" customHeight="1">
      <x:c r="A13" s="162" t="str">
        <x:v>F1 score</x:v>
      </x:c>
      <x:c r="B13" s="237" t="str">
        <x:v>How well does the model balance recall and precision?</x:v>
      </x:c>
      <x:c r="C13" s="237" t="str">
        <x:v>Useful when both misses and false alarms matter.</x:v>
      </x:c>
      <x:c r="D13" s="163" t="str">
        <x:v>Gemini direct had the highest cleaned F1; OpenAI made fewer false positives.</x:v>
      </x:c>
    </x:row>
    <x:row r="14" ht="54" customHeight="1">
      <x:c r="A14" s="162" t="str">
        <x:v>Cohen's kappa</x:v>
      </x:c>
      <x:c r="B14" s="237" t="str">
        <x:v>How much do two coders agree beyond chance?</x:v>
      </x:c>
      <x:c r="C14" s="237" t="str">
        <x:v>Larger positive values indicate more reliable consistency.</x:v>
      </x:c>
      <x:c r="D14" s="163" t="str">
        <x:v>Best cleaned model–human kappa was 0.368.</x:v>
      </x:c>
    </x:row>
    <x:row r="15" ht="54" customHeight="1">
      <x:c r="A15" s="162" t="str">
        <x:v>Fleiss' kappa</x:v>
      </x:c>
      <x:c r="B15" s="237" t="str">
        <x:v>How consistently do three or more coders agree beyond chance?</x:v>
      </x:c>
      <x:c r="C15" s="237" t="str">
        <x:v>Used for the three-provider production run.</x:v>
      </x:c>
      <x:c r="D15" s="163" t="str">
        <x:v>Production binary Fleiss kappa was 0.485.</x:v>
      </x:c>
    </x:row>
    <x:row r="16" ht="54" customHeight="1">
      <x:c r="A16" s="162" t="str">
        <x:v>Krippendorff's alpha</x:v>
      </x:c>
      <x:c r="B16" s="237" t="str">
        <x:v>How reliable is the coder group under another chance-adjusted measure?</x:v>
      </x:c>
      <x:c r="C16" s="237" t="str">
        <x:v>Interpret here similarly to Fleiss' kappa.</x:v>
      </x:c>
      <x:c r="D16" s="163" t="str">
        <x:v>Production binary alpha was 0.490.</x:v>
      </x:c>
    </x:row>
    <x:row r="17" ht="54" customHeight="1">
      <x:c r="A17" s="164" t="str">
        <x:v>Consensus bucket</x:v>
      </x:c>
      <x:c r="B17" s="239" t="str">
        <x:v>Did all models agree or only a majority?</x:v>
      </x:c>
      <x:c r="C17" s="239" t="str">
        <x:v>Split votes identify priority review cases.</x:v>
      </x:c>
      <x:c r="D17" s="165" t="str">
        <x:v>18 unanimous No, 5 majority No, 5 majority Yes, and 4 unanimous Yes.</x:v>
      </x:c>
    </x:row>
    <x:row r="20" ht="22" customHeight="1">
      <x:c r="A20" s="123" t="str">
        <x:v>Substantive Insights</x:v>
      </x:c>
      <x:c r="B20" s="123"/>
      <x:c r="C20" s="123"/>
      <x:c r="D20" s="123"/>
    </x:row>
    <x:row r="21">
      <x:c r="A21" s="136" t="str">
        <x:v>Research insight</x:v>
      </x:c>
      <x:c r="B21" s="137" t="str">
        <x:v>Meaning for analysis and workflow</x:v>
      </x:c>
      <x:c r="C21" s="225"/>
      <x:c r="D21" s="137"/>
    </x:row>
    <x:row r="22" ht="48" customHeight="1">
      <x:c r="A22" s="303" t="str">
        <x:v>Document style affects measurement</x:v>
      </x:c>
      <x:c r="B22" s="305" t="str">
        <x:v>EPA, GAO, and Post-Katrina documents express institutional change differently. Overt reform language is easier for models than retrospective lessons-learned reporting.</x:v>
      </x:c>
      <x:c r="C22" s="304"/>
      <x:c r="D22" s="305"/>
    </x:row>
    <x:row r="23" ht="48" customHeight="1">
      <x:c r="A23" s="303" t="str">
        <x:v>The codebook is a theoretical instrument</x:v>
      </x:c>
      <x:c r="B23" s="305" t="str">
        <x:v>A stricter threshold narrows the construct from broad adaptation to evidence of discontinuity. The team must decide whether this matches the research question.</x:v>
      </x:c>
      <x:c r="C23" s="304"/>
      <x:c r="D23" s="305"/>
    </x:row>
    <x:row r="24" ht="48" customHeight="1">
      <x:c r="A24" s="303" t="str">
        <x:v>High precision can hide systematic misses</x:v>
      </x:c>
      <x:c r="B24" s="305" t="str">
        <x:v>The v5 models rarely produced false positives partly because they defaulted to No; high specificity did not mean strong discovery.</x:v>
      </x:c>
      <x:c r="C24" s="304"/>
      <x:c r="D24" s="305"/>
    </x:row>
    <x:row r="25" ht="48" customHeight="1">
      <x:c r="A25" s="303" t="str">
        <x:v>Context is most valuable for explanation</x:v>
      </x:c>
      <x:c r="B25" s="305" t="str">
        <x:v>Local context revealed why EPA cases were rejected and whether recommendations were connected to an earlier failure.</x:v>
      </x:c>
      <x:c r="C25" s="304"/>
      <x:c r="D25" s="305"/>
    </x:row>
    <x:row r="26" ht="48" customHeight="1">
      <x:c r="A26" s="303" t="str">
        <x:v>Binary screening is more stable than target coding</x:v>
      </x:c>
      <x:c r="B26" s="305" t="str">
        <x:v>Production models moderately agreed on presence or absence but weakly agreed on target categories among flagged passages.</x:v>
      </x:c>
      <x:c r="C26" s="304"/>
      <x:c r="D26" s="305"/>
    </x:row>
    <x:row r="27" ht="48" customHeight="1">
      <x:c r="A27" s="303" t="str">
        <x:v>Extraction quality is controlled before scaling</x:v>
      </x:c>
      <x:c r="B27" s="305" t="str">
        <x:v>The pipeline reconstructs logical paragraphs, compares two extractors, creates a visual audit, and blocks calls until checks and approval pass.</x:v>
      </x:c>
      <x:c r="C27" s="304"/>
      <x:c r="D27" s="305"/>
    </x:row>
    <x:row r="28" ht="48" customHeight="1">
      <x:c r="A28" s="303" t="str">
        <x:v>Disagreement is useful evidence</x:v>
      </x:c>
      <x:c r="B28" s="305" t="str">
        <x:v>A two-to-one split identifies passages that can plausibly be interpreted as learning, reform, or unlearning and should be discussed by domain coders.</x:v>
      </x:c>
      <x:c r="C28" s="304"/>
      <x:c r="D28" s="305"/>
    </x:row>
    <x:row r="30" ht="46" customHeight="1">
      <x:c r="A30" s="196" t="str">
        <x:v>Recommended reporting language: the models are independent screening coders that identify candidate passages and provide rationales. The main source of disagreement is the substantive boundary between organizational learning and unlearning. Final labels and targets should therefore be human-adjudicated.</x:v>
      </x:c>
      <x:c r="B30" s="292"/>
      <x:c r="C30" s="292"/>
      <x:c r="D30" s="197"/>
    </x:row>
    <x:row r="31" ht="46" customHeight="1">
      <x:c r="A31" s="198"/>
      <x:c r="B31" s="114"/>
      <x:c r="C31" s="114"/>
      <x:c r="D31" s="199"/>
    </x:row>
    <x:row r="32" ht="46" customHeight="1">
      <x:c r="A32" s="200"/>
      <x:c r="B32" s="293"/>
      <x:c r="C32" s="293"/>
      <x:c r="D32" s="201"/>
    </x:row>
    <x:row r="33" ht="65" customHeight="1">
      <x:c r="A33" s="198"/>
      <x:c r="B33" s="114"/>
      <x:c r="C33" s="114"/>
      <x:c r="D33" s="199"/>
    </x:row>
    <x:row r="34" ht="65" customHeight="1">
      <x:c r="A34" s="200"/>
      <x:c r="B34" s="293"/>
      <x:c r="C34" s="293"/>
      <x:c r="D34" s="201"/>
    </x:row>
  </x:sheetData>
  <x:mergeCells>
    <x:mergeCell ref="A20:D20"/>
    <x:mergeCell ref="A1:D1"/>
    <x:mergeCell ref="A2:D3"/>
    <x:mergeCell ref="B21:D21"/>
    <x:mergeCell ref="B22:D22"/>
    <x:mergeCell ref="B23:D23"/>
    <x:mergeCell ref="B24:D24"/>
    <x:mergeCell ref="B25:D25"/>
    <x:mergeCell ref="B26:D26"/>
    <x:mergeCell ref="B27:D27"/>
    <x:mergeCell ref="B28:D28"/>
    <x:mergeCell ref="A30:D32"/>
  </x:mergeCells>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40" hidden="0" customWidth="1"/>
    <x:col min="3" max="3" width="39" hidden="0" customWidth="1"/>
    <x:col min="4" max="4" width="20" hidden="0" customWidth="1"/>
  </x:cols>
  <x:sheetData>
    <x:row r="1" ht="28" customHeight="1">
      <x:c r="A1" s="492" t="str">
        <x:v>Source Files and Result Artifacts</x:v>
      </x:c>
      <x:c r="B1" s="492"/>
      <x:c r="C1" s="492"/>
      <x:c r="D1" s="492"/>
    </x:row>
    <x:row r="2" ht="20" customHeight="1">
      <x:c r="A2" s="491" t="str">
        <x:v>Files are listed so each result can be traced to its corresponding analysis or audit artifact.</x:v>
      </x:c>
      <x:c r="B2" s="491"/>
      <x:c r="C2" s="491"/>
      <x:c r="D2" s="491"/>
    </x:row>
    <x:row r="3" ht="20" customHeight="1">
      <x:c r="A3" s="491"/>
      <x:c r="B3" s="491"/>
      <x:c r="C3" s="491"/>
      <x:c r="D3" s="491"/>
    </x:row>
    <x:row r="5">
      <x:c r="A5" s="477" t="str">
        <x:v>Stage</x:v>
      </x:c>
      <x:c r="B5" s="478" t="str">
        <x:v>Source file</x:v>
      </x:c>
      <x:c r="C5" s="478" t="str">
        <x:v>Use in this report</x:v>
      </x:c>
      <x:c r="D5" s="479" t="str">
        <x:v>Evidence type</x:v>
      </x:c>
    </x:row>
    <x:row r="6" ht="45" customHeight="1">
      <x:c r="A6" s="480" t="str">
        <x:v>v2</x:v>
      </x:c>
      <x:c r="B6" s="481" t="str">
        <x:v>Unlearning_AB_Test_Pipeline_v2.ipynb</x:v>
      </x:c>
      <x:c r="C6" s="481" t="str">
        <x:v>Early feasibility and prompt exploration</x:v>
      </x:c>
      <x:c r="D6" s="482" t="str">
        <x:v>Pilot results</x:v>
      </x:c>
    </x:row>
    <x:row r="7" ht="45" customHeight="1">
      <x:c r="A7" s="483" t="str">
        <x:v>v3</x:v>
      </x:c>
      <x:c r="B7" s="486" t="str">
        <x:v>Unlearning_AB_Test_Pipeline_v3_fixed_api.ipynb</x:v>
      </x:c>
      <x:c r="C7" s="486" t="str">
        <x:v>Controlled 11-row OpenAI prompt comparison</x:v>
      </x:c>
      <x:c r="D7" s="485" t="str">
        <x:v>Prompt comparison</x:v>
      </x:c>
    </x:row>
    <x:row r="8" ht="45" customHeight="1">
      <x:c r="A8" s="483" t="str">
        <x:v>v4</x:v>
      </x:c>
      <x:c r="B8" s="486" t="str">
        <x:v>Unlearning_AB_Test_Pipeline_v4_PROVIDER_SEPARATED_FIXED.ipynb</x:v>
      </x:c>
      <x:c r="C8" s="486" t="str">
        <x:v>Old-codebook provider grid and Claude Sonnet 5 11/11 result</x:v>
      </x:c>
      <x:c r="D8" s="485" t="str">
        <x:v>Provider benchmark</x:v>
      </x:c>
    </x:row>
    <x:row r="9" ht="45" customHeight="1">
      <x:c r="A9" s="483" t="str">
        <x:v>v5</x:v>
      </x:c>
      <x:c r="B9" s="486" t="str">
        <x:v>Unlearning_Definitions_Only_v5_Pipeline_Combined_Human_Test_Set.ipynb</x:v>
      </x:c>
      <x:c r="C9" s="486" t="str">
        <x:v>Five-model 49-row mixed-label benchmark</x:v>
      </x:c>
      <x:c r="D9" s="485" t="str">
        <x:v>Mixed-label benchmark</x:v>
      </x:c>
    </x:row>
    <x:row r="10" ht="45" customHeight="1">
      <x:c r="A10" s="483" t="str">
        <x:v>v5 document analysis</x:v>
      </x:c>
      <x:c r="B10" s="486" t="str">
        <x:v>Unlearning_Weekly_Update_Review_Workbook.xlsx</x:v>
      </x:c>
      <x:c r="C10" s="486" t="str">
        <x:v>Exact EPA, GAO, and Post-Katrina recall counts</x:v>
      </x:c>
      <x:c r="D10" s="485" t="str">
        <x:v>Document-level analysis</x:v>
      </x:c>
    </x:row>
    <x:row r="11" ht="45" customHeight="1">
      <x:c r="A11" s="483" t="str">
        <x:v>v6 local context</x:v>
      </x:c>
      <x:c r="B11" s="486" t="str">
        <x:v>Unlearning_Local_Context_Definitions_Only_FIXED.ipynb</x:v>
      </x:c>
      <x:c r="C11" s="486" t="str">
        <x:v>42-row context run and document-level metrics</x:v>
      </x:c>
      <x:c r="D11" s="485" t="str">
        <x:v>Context benchmark</x:v>
      </x:c>
    </x:row>
    <x:row r="12" ht="45" customHeight="1">
      <x:c r="A12" s="483" t="str">
        <x:v>Cleaned comparison</x:v>
      </x:c>
      <x:c r="B12" s="486" t="str">
        <x:v>Unlearning_PostHoc_Cleaned_Metrics.xlsx</x:v>
      </x:c>
      <x:c r="C12" s="486" t="str">
        <x:v>Duplicate- and leakage-adjusted confusion counts</x:v>
      </x:c>
      <x:c r="D12" s="485" t="str">
        <x:v>Cleaned benchmark</x:v>
      </x:c>
    </x:row>
    <x:row r="13" ht="45" customHeight="1">
      <x:c r="A13" s="483" t="str">
        <x:v>Old article coding</x:v>
      </x:c>
      <x:c r="B13" s="486" t="str">
        <x:v>mcguire_katrina_2020_labeled_codebook_original.xlsx</x:v>
      </x:c>
      <x:c r="C13" s="486" t="str">
        <x:v>Older-codebook distribution on the same article</x:v>
      </x:c>
      <x:c r="D13" s="485" t="str">
        <x:v>Codebook comparison</x:v>
      </x:c>
    </x:row>
    <x:row r="14" ht="45" customHeight="1">
      <x:c r="A14" s="487" t="str">
        <x:v>Production</x:v>
      </x:c>
      <x:c r="B14" s="488" t="str">
        <x:v>Unlearning_Production_MultiDocument_Annotation_Pipeline_v2_Verified_Extraction.ipynb</x:v>
      </x:c>
      <x:c r="C14" s="488" t="str">
        <x:v>32 logical paragraphs, reliability, and 18 verified annotations</x:v>
      </x:c>
      <x:c r="D14" s="489" t="str">
        <x:v>Production run</x:v>
      </x:c>
    </x:row>
    <x:row r="15" ht="45" customHeight="1">
      <x:c r="A15" s="164"/>
      <x:c r="B15" s="239"/>
      <x:c r="C15" s="239"/>
      <x:c r="D15" s="165"/>
    </x:row>
  </x:sheetData>
  <x:mergeCells>
    <x:mergeCell ref="A1:D1"/>
    <x:mergeCell ref="A2:D3"/>
  </x:mergeCells>
  <x:pageMargins left="0.7" right="0.7" top="0.75" bottom="0.75" header="0.3" footer="0.3"/>
</x:worksheet>
</file>